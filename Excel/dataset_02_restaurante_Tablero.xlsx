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amue\Downloads\CRISTHIAN\Análisis de Datos\"/>
    </mc:Choice>
  </mc:AlternateContent>
  <xr:revisionPtr revIDLastSave="0" documentId="13_ncr:1_{073A1209-88EF-40FB-94DA-4B2DA9CE74EA}" xr6:coauthVersionLast="47" xr6:coauthVersionMax="47" xr10:uidLastSave="{00000000-0000-0000-0000-000000000000}"/>
  <bookViews>
    <workbookView xWindow="-108" yWindow="-108" windowWidth="23256" windowHeight="12456" activeTab="1" xr2:uid="{58F9ABC1-9F21-47F0-8132-36103F650373}"/>
  </bookViews>
  <sheets>
    <sheet name="dataset_02_restaurante_operacio" sheetId="1" r:id="rId1"/>
    <sheet name="Tabla Dinámica" sheetId="2" r:id="rId2"/>
  </sheets>
  <definedNames>
    <definedName name="_xlnm._FilterDatabase" localSheetId="0" hidden="1">dataset_02_restaurante_operacio!$P$1:$Q$1181</definedName>
    <definedName name="_xlcn.WorksheetConnection_dataset_02_restaurante_operacion_Trabajado.xlsxData_Set_2" hidden="1">Data_Set_2[]</definedName>
    <definedName name="SegmentaciónDeDatos_Años__fecha_orden">#N/A</definedName>
    <definedName name="SegmentaciónDeDatos_categoria_menu">#N/A</definedName>
    <definedName name="SegmentaciónDeDatos_Meses__fecha_orden">#N/A</definedName>
    <definedName name="SegmentaciónDeDatos_sede">#N/A</definedName>
    <definedName name="SegmentaciónDeDatos_tipo_servicio">#N/A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_Set_2" name="Data_Set_2" connection="WorksheetConnection_dataset_02_restaurante_operacion_Trabajado.xlsx!Data_Set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1" l="1" a="1"/>
  <c r="W8" i="1"/>
  <c r="W11" i="1" s="1"/>
  <c r="W7" i="1"/>
  <c r="W14" i="1" s="1"/>
  <c r="Q2" i="1" s="1"/>
  <c r="T2" i="1"/>
  <c r="U2" i="1" s="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S15" i="1"/>
  <c r="R15" i="1"/>
  <c r="H1182" i="1"/>
  <c r="I1182" i="1"/>
  <c r="W996" i="1"/>
  <c r="W998" i="1"/>
  <c r="W1003" i="1"/>
  <c r="W1004" i="1"/>
  <c r="W1007" i="1"/>
  <c r="W1018" i="1"/>
  <c r="W1019" i="1"/>
  <c r="W1020" i="1"/>
  <c r="W1027" i="1"/>
  <c r="W1028" i="1"/>
  <c r="W1030" i="1"/>
  <c r="W1035" i="1"/>
  <c r="W1036" i="1"/>
  <c r="W1039" i="1"/>
  <c r="W1050" i="1"/>
  <c r="W1051" i="1"/>
  <c r="W1052" i="1"/>
  <c r="W1059" i="1"/>
  <c r="W1060" i="1"/>
  <c r="W1062" i="1"/>
  <c r="W1067" i="1"/>
  <c r="W1068" i="1"/>
  <c r="W1071" i="1"/>
  <c r="W1082" i="1"/>
  <c r="W1083" i="1"/>
  <c r="W1084" i="1"/>
  <c r="W1091" i="1"/>
  <c r="W1092" i="1"/>
  <c r="W1094" i="1"/>
  <c r="W1099" i="1"/>
  <c r="W1100" i="1"/>
  <c r="W1102" i="1"/>
  <c r="W1103" i="1"/>
  <c r="W1110" i="1"/>
  <c r="W1114" i="1"/>
  <c r="W1115" i="1"/>
  <c r="W1116" i="1"/>
  <c r="W1123" i="1"/>
  <c r="W1124" i="1"/>
  <c r="W1126" i="1"/>
  <c r="W1131" i="1"/>
  <c r="W1132" i="1"/>
  <c r="W1134" i="1"/>
  <c r="W1135" i="1"/>
  <c r="W1142" i="1"/>
  <c r="W1146" i="1"/>
  <c r="W1147" i="1"/>
  <c r="W1148" i="1"/>
  <c r="W1155" i="1"/>
  <c r="W1156" i="1"/>
  <c r="W1158" i="1"/>
  <c r="W1159" i="1"/>
  <c r="W1163" i="1"/>
  <c r="W1164" i="1"/>
  <c r="W1166" i="1"/>
  <c r="W1167" i="1"/>
  <c r="W1174" i="1"/>
  <c r="W1178" i="1"/>
  <c r="W1179" i="1"/>
  <c r="W1180" i="1"/>
  <c r="W997" i="1"/>
  <c r="W1005" i="1"/>
  <c r="W1009" i="1"/>
  <c r="W1013" i="1"/>
  <c r="W1017" i="1"/>
  <c r="W1021" i="1"/>
  <c r="W1025" i="1"/>
  <c r="W1029" i="1"/>
  <c r="W1033" i="1"/>
  <c r="W1037" i="1"/>
  <c r="W1041" i="1"/>
  <c r="W1045" i="1"/>
  <c r="W1049" i="1"/>
  <c r="W1053" i="1"/>
  <c r="W1057" i="1"/>
  <c r="W1061" i="1"/>
  <c r="W1065" i="1"/>
  <c r="W1069" i="1"/>
  <c r="W1073" i="1"/>
  <c r="W1077" i="1"/>
  <c r="W1081" i="1"/>
  <c r="W1085" i="1"/>
  <c r="W1089" i="1"/>
  <c r="W1093" i="1"/>
  <c r="W1097" i="1"/>
  <c r="W1101" i="1"/>
  <c r="W1105" i="1"/>
  <c r="W1109" i="1"/>
  <c r="W1113" i="1"/>
  <c r="W1117" i="1"/>
  <c r="W1121" i="1"/>
  <c r="W1125" i="1"/>
  <c r="W1129" i="1"/>
  <c r="W1133" i="1"/>
  <c r="W1137" i="1"/>
  <c r="W1141" i="1"/>
  <c r="W1145" i="1"/>
  <c r="W1149" i="1"/>
  <c r="W1153" i="1"/>
  <c r="W1157" i="1"/>
  <c r="W1161" i="1"/>
  <c r="W1165" i="1"/>
  <c r="W1169" i="1"/>
  <c r="W1173" i="1"/>
  <c r="W1177" i="1"/>
  <c r="W1181" i="1"/>
  <c r="T3" i="1"/>
  <c r="U3" i="1" s="1"/>
  <c r="T4" i="1"/>
  <c r="T5" i="1"/>
  <c r="T6" i="1"/>
  <c r="T7" i="1"/>
  <c r="T8" i="1"/>
  <c r="T9" i="1"/>
  <c r="T10" i="1"/>
  <c r="T11" i="1"/>
  <c r="T12" i="1"/>
  <c r="T13" i="1"/>
  <c r="T14" i="1"/>
  <c r="T15" i="1"/>
  <c r="T16" i="1"/>
  <c r="T17" i="1"/>
  <c r="T19" i="1"/>
  <c r="T20" i="1"/>
  <c r="T21" i="1"/>
  <c r="N555" i="1"/>
  <c r="N531" i="1"/>
  <c r="N1062" i="1"/>
  <c r="N87" i="1"/>
  <c r="N863" i="1"/>
  <c r="N80" i="1"/>
  <c r="N128" i="1"/>
  <c r="N506" i="1"/>
  <c r="N341" i="1"/>
  <c r="N479" i="1"/>
  <c r="N1015" i="1"/>
  <c r="N223" i="1" s="1"/>
  <c r="N916" i="1"/>
  <c r="N589" i="1"/>
  <c r="N577" i="1"/>
  <c r="N817" i="1"/>
  <c r="N1033" i="1"/>
  <c r="N976" i="1"/>
  <c r="N207" i="1"/>
  <c r="W992" i="1"/>
  <c r="W993" i="1"/>
  <c r="W994" i="1"/>
  <c r="W995" i="1"/>
  <c r="W999" i="1"/>
  <c r="W1000" i="1"/>
  <c r="W1001" i="1"/>
  <c r="W1002" i="1"/>
  <c r="W1006" i="1"/>
  <c r="W1008" i="1"/>
  <c r="W1010" i="1"/>
  <c r="W1011" i="1"/>
  <c r="W1012" i="1"/>
  <c r="W1014" i="1"/>
  <c r="W1015" i="1"/>
  <c r="W1016" i="1"/>
  <c r="W1022" i="1"/>
  <c r="W1023" i="1"/>
  <c r="W1024" i="1"/>
  <c r="W1026" i="1"/>
  <c r="W1031" i="1"/>
  <c r="W1032" i="1"/>
  <c r="W1034" i="1"/>
  <c r="W1038" i="1"/>
  <c r="W1040" i="1"/>
  <c r="W1042" i="1"/>
  <c r="W1043" i="1"/>
  <c r="W1044" i="1"/>
  <c r="W1046" i="1"/>
  <c r="W1047" i="1"/>
  <c r="W1048" i="1"/>
  <c r="W1054" i="1"/>
  <c r="W1055" i="1"/>
  <c r="W1056" i="1"/>
  <c r="W1058" i="1"/>
  <c r="W1063" i="1"/>
  <c r="W1064" i="1"/>
  <c r="W1066" i="1"/>
  <c r="W1070" i="1"/>
  <c r="W1072" i="1"/>
  <c r="W1074" i="1"/>
  <c r="W1075" i="1"/>
  <c r="W1076" i="1"/>
  <c r="W1078" i="1"/>
  <c r="W1079" i="1"/>
  <c r="W1080" i="1"/>
  <c r="W1086" i="1"/>
  <c r="W1087" i="1"/>
  <c r="W1088" i="1"/>
  <c r="W1090" i="1"/>
  <c r="W1095" i="1"/>
  <c r="W1096" i="1"/>
  <c r="W1098" i="1"/>
  <c r="W1104" i="1"/>
  <c r="W1106" i="1"/>
  <c r="W1107" i="1"/>
  <c r="W1108" i="1"/>
  <c r="W1111" i="1"/>
  <c r="W1112" i="1"/>
  <c r="W1118" i="1"/>
  <c r="W1119" i="1"/>
  <c r="W1120" i="1"/>
  <c r="W1122" i="1"/>
  <c r="W1127" i="1"/>
  <c r="W1128" i="1"/>
  <c r="W1130" i="1"/>
  <c r="W1136" i="1"/>
  <c r="W1138" i="1"/>
  <c r="W1139" i="1"/>
  <c r="W1140" i="1"/>
  <c r="W1143" i="1"/>
  <c r="W1144" i="1"/>
  <c r="W1150" i="1"/>
  <c r="W1151" i="1"/>
  <c r="W1152" i="1"/>
  <c r="W1154" i="1"/>
  <c r="W1160" i="1"/>
  <c r="W1162" i="1"/>
  <c r="W1168" i="1"/>
  <c r="W1170" i="1"/>
  <c r="W1171" i="1"/>
  <c r="W1172" i="1"/>
  <c r="W1175" i="1"/>
  <c r="W1176" i="1"/>
  <c r="F33" i="2"/>
  <c r="F25" i="2"/>
  <c r="C17" i="2"/>
  <c r="W13" i="1" l="1"/>
  <c r="P2" i="1" s="1"/>
  <c r="R18" i="1"/>
  <c r="S21" i="1" s="1"/>
  <c r="W9" i="1"/>
  <c r="W10" i="1"/>
  <c r="S5" i="1"/>
  <c r="U19" i="1"/>
  <c r="U6" i="1"/>
  <c r="U17" i="1"/>
  <c r="U13" i="1"/>
  <c r="U9" i="1"/>
  <c r="U5" i="1"/>
  <c r="U10" i="1"/>
  <c r="U21" i="1"/>
  <c r="U16" i="1"/>
  <c r="U12" i="1"/>
  <c r="U8" i="1"/>
  <c r="U4" i="1"/>
  <c r="U20" i="1"/>
  <c r="U15" i="1"/>
  <c r="U11" i="1"/>
  <c r="U7" i="1"/>
  <c r="U14" i="1"/>
  <c r="T18" i="1"/>
  <c r="U18" i="1" s="1"/>
  <c r="S20" i="1" l="1"/>
  <c r="P4" i="1" l="1"/>
  <c r="P12" i="1"/>
  <c r="P20" i="1"/>
  <c r="P28" i="1"/>
  <c r="P36" i="1"/>
  <c r="P44" i="1"/>
  <c r="P52" i="1"/>
  <c r="P60" i="1"/>
  <c r="P68" i="1"/>
  <c r="P76" i="1"/>
  <c r="P84" i="1"/>
  <c r="P92" i="1"/>
  <c r="P100" i="1"/>
  <c r="P108" i="1"/>
  <c r="P116" i="1"/>
  <c r="P124" i="1"/>
  <c r="P132" i="1"/>
  <c r="P140" i="1"/>
  <c r="P148" i="1"/>
  <c r="P156" i="1"/>
  <c r="P164" i="1"/>
  <c r="P172" i="1"/>
  <c r="P180" i="1"/>
  <c r="P188" i="1"/>
  <c r="P196" i="1"/>
  <c r="P204" i="1"/>
  <c r="P212" i="1"/>
  <c r="P220" i="1"/>
  <c r="P228" i="1"/>
  <c r="P236" i="1"/>
  <c r="P244" i="1"/>
  <c r="P252" i="1"/>
  <c r="P260" i="1"/>
  <c r="P268" i="1"/>
  <c r="P276" i="1"/>
  <c r="P6" i="1"/>
  <c r="P14" i="1"/>
  <c r="P22" i="1"/>
  <c r="P30" i="1"/>
  <c r="P38" i="1"/>
  <c r="P46" i="1"/>
  <c r="P54" i="1"/>
  <c r="P62" i="1"/>
  <c r="P70" i="1"/>
  <c r="P78" i="1"/>
  <c r="P86" i="1"/>
  <c r="P94" i="1"/>
  <c r="P102" i="1"/>
  <c r="P110" i="1"/>
  <c r="P118" i="1"/>
  <c r="P126" i="1"/>
  <c r="P134" i="1"/>
  <c r="P142" i="1"/>
  <c r="P150" i="1"/>
  <c r="P8" i="1"/>
  <c r="P16" i="1"/>
  <c r="P24" i="1"/>
  <c r="P32" i="1"/>
  <c r="P40" i="1"/>
  <c r="P48" i="1"/>
  <c r="P56" i="1"/>
  <c r="P64" i="1"/>
  <c r="P72" i="1"/>
  <c r="P80" i="1"/>
  <c r="P88" i="1"/>
  <c r="P96" i="1"/>
  <c r="P104" i="1"/>
  <c r="P112" i="1"/>
  <c r="P120" i="1"/>
  <c r="P128" i="1"/>
  <c r="P136" i="1"/>
  <c r="P144" i="1"/>
  <c r="P152" i="1"/>
  <c r="P160" i="1"/>
  <c r="P168" i="1"/>
  <c r="P176" i="1"/>
  <c r="P184" i="1"/>
  <c r="P192" i="1"/>
  <c r="P200" i="1"/>
  <c r="P208" i="1"/>
  <c r="P216" i="1"/>
  <c r="P224" i="1"/>
  <c r="P232" i="1"/>
  <c r="P240" i="1"/>
  <c r="P248" i="1"/>
  <c r="P256" i="1"/>
  <c r="P7" i="1"/>
  <c r="P19" i="1"/>
  <c r="P33" i="1"/>
  <c r="P45" i="1"/>
  <c r="P58" i="1"/>
  <c r="P71" i="1"/>
  <c r="P83" i="1"/>
  <c r="P97" i="1"/>
  <c r="P109" i="1"/>
  <c r="P122" i="1"/>
  <c r="P135" i="1"/>
  <c r="P147" i="1"/>
  <c r="P159" i="1"/>
  <c r="P170" i="1"/>
  <c r="P181" i="1"/>
  <c r="P191" i="1"/>
  <c r="P202" i="1"/>
  <c r="P213" i="1"/>
  <c r="P223" i="1"/>
  <c r="P234" i="1"/>
  <c r="P245" i="1"/>
  <c r="P255" i="1"/>
  <c r="P265" i="1"/>
  <c r="P274" i="1"/>
  <c r="P283" i="1"/>
  <c r="P291" i="1"/>
  <c r="P299" i="1"/>
  <c r="P307" i="1"/>
  <c r="P315" i="1"/>
  <c r="P323" i="1"/>
  <c r="P331" i="1"/>
  <c r="P339" i="1"/>
  <c r="P347" i="1"/>
  <c r="P355" i="1"/>
  <c r="P363" i="1"/>
  <c r="P371" i="1"/>
  <c r="P379" i="1"/>
  <c r="P387" i="1"/>
  <c r="P395" i="1"/>
  <c r="P403" i="1"/>
  <c r="P411" i="1"/>
  <c r="P419" i="1"/>
  <c r="P427" i="1"/>
  <c r="P435" i="1"/>
  <c r="P443" i="1"/>
  <c r="P451" i="1"/>
  <c r="P459" i="1"/>
  <c r="P467" i="1"/>
  <c r="P475" i="1"/>
  <c r="P483" i="1"/>
  <c r="P491" i="1"/>
  <c r="P499" i="1"/>
  <c r="P507" i="1"/>
  <c r="P515" i="1"/>
  <c r="P9" i="1"/>
  <c r="P21" i="1"/>
  <c r="P34" i="1"/>
  <c r="P47" i="1"/>
  <c r="P59" i="1"/>
  <c r="P73" i="1"/>
  <c r="P85" i="1"/>
  <c r="P98" i="1"/>
  <c r="P111" i="1"/>
  <c r="P123" i="1"/>
  <c r="P137" i="1"/>
  <c r="P149" i="1"/>
  <c r="P161" i="1"/>
  <c r="P171" i="1"/>
  <c r="P182" i="1"/>
  <c r="P193" i="1"/>
  <c r="P203" i="1"/>
  <c r="P214" i="1"/>
  <c r="P225" i="1"/>
  <c r="P235" i="1"/>
  <c r="P246" i="1"/>
  <c r="P257" i="1"/>
  <c r="P266" i="1"/>
  <c r="P275" i="1"/>
  <c r="P284" i="1"/>
  <c r="P292" i="1"/>
  <c r="P300" i="1"/>
  <c r="P308" i="1"/>
  <c r="P316" i="1"/>
  <c r="P324" i="1"/>
  <c r="P332" i="1"/>
  <c r="P340" i="1"/>
  <c r="P348" i="1"/>
  <c r="P356" i="1"/>
  <c r="P364" i="1"/>
  <c r="P372" i="1"/>
  <c r="P380" i="1"/>
  <c r="P388" i="1"/>
  <c r="P396" i="1"/>
  <c r="P404" i="1"/>
  <c r="P412" i="1"/>
  <c r="P420" i="1"/>
  <c r="P428" i="1"/>
  <c r="P436" i="1"/>
  <c r="P444" i="1"/>
  <c r="P452" i="1"/>
  <c r="P460" i="1"/>
  <c r="P468" i="1"/>
  <c r="P476" i="1"/>
  <c r="P484" i="1"/>
  <c r="P492" i="1"/>
  <c r="P500" i="1"/>
  <c r="P508" i="1"/>
  <c r="P516" i="1"/>
  <c r="P10" i="1"/>
  <c r="P23" i="1"/>
  <c r="P35" i="1"/>
  <c r="P49" i="1"/>
  <c r="P61" i="1"/>
  <c r="P74" i="1"/>
  <c r="P87" i="1"/>
  <c r="P99" i="1"/>
  <c r="P113" i="1"/>
  <c r="P125" i="1"/>
  <c r="P138" i="1"/>
  <c r="P151" i="1"/>
  <c r="P162" i="1"/>
  <c r="P173" i="1"/>
  <c r="P183" i="1"/>
  <c r="P194" i="1"/>
  <c r="P205" i="1"/>
  <c r="P215" i="1"/>
  <c r="P226" i="1"/>
  <c r="P237" i="1"/>
  <c r="P247" i="1"/>
  <c r="P258" i="1"/>
  <c r="P267" i="1"/>
  <c r="P277" i="1"/>
  <c r="P285" i="1"/>
  <c r="P293" i="1"/>
  <c r="P301" i="1"/>
  <c r="P309" i="1"/>
  <c r="P317" i="1"/>
  <c r="P325" i="1"/>
  <c r="P333" i="1"/>
  <c r="P341" i="1"/>
  <c r="P349" i="1"/>
  <c r="P357" i="1"/>
  <c r="P365" i="1"/>
  <c r="P373" i="1"/>
  <c r="P381" i="1"/>
  <c r="P389" i="1"/>
  <c r="P397" i="1"/>
  <c r="P405" i="1"/>
  <c r="P413" i="1"/>
  <c r="P421" i="1"/>
  <c r="P429" i="1"/>
  <c r="P437" i="1"/>
  <c r="P445" i="1"/>
  <c r="P453" i="1"/>
  <c r="P461" i="1"/>
  <c r="P469" i="1"/>
  <c r="P477" i="1"/>
  <c r="P485" i="1"/>
  <c r="P493" i="1"/>
  <c r="P501" i="1"/>
  <c r="P509" i="1"/>
  <c r="P517" i="1"/>
  <c r="P525" i="1"/>
  <c r="P533" i="1"/>
  <c r="P541" i="1"/>
  <c r="P549" i="1"/>
  <c r="P557" i="1"/>
  <c r="P565" i="1"/>
  <c r="P573" i="1"/>
  <c r="P581" i="1"/>
  <c r="P589" i="1"/>
  <c r="P597" i="1"/>
  <c r="P605" i="1"/>
  <c r="P613" i="1"/>
  <c r="P621" i="1"/>
  <c r="P629" i="1"/>
  <c r="P637" i="1"/>
  <c r="P645" i="1"/>
  <c r="P653" i="1"/>
  <c r="P661" i="1"/>
  <c r="P669" i="1"/>
  <c r="P677" i="1"/>
  <c r="P685" i="1"/>
  <c r="P693" i="1"/>
  <c r="P701" i="1"/>
  <c r="P709" i="1"/>
  <c r="P717" i="1"/>
  <c r="P725" i="1"/>
  <c r="P733" i="1"/>
  <c r="P741" i="1"/>
  <c r="P749" i="1"/>
  <c r="P757" i="1"/>
  <c r="P765" i="1"/>
  <c r="P773" i="1"/>
  <c r="P781" i="1"/>
  <c r="P789" i="1"/>
  <c r="P797" i="1"/>
  <c r="P805" i="1"/>
  <c r="P813" i="1"/>
  <c r="P821" i="1"/>
  <c r="P829" i="1"/>
  <c r="P837" i="1"/>
  <c r="P845" i="1"/>
  <c r="P853" i="1"/>
  <c r="P861" i="1"/>
  <c r="P869" i="1"/>
  <c r="P877" i="1"/>
  <c r="P885" i="1"/>
  <c r="P893" i="1"/>
  <c r="P901" i="1"/>
  <c r="P909" i="1"/>
  <c r="P917" i="1"/>
  <c r="P925" i="1"/>
  <c r="P933" i="1"/>
  <c r="P941" i="1"/>
  <c r="P949" i="1"/>
  <c r="P957" i="1"/>
  <c r="P965" i="1"/>
  <c r="P973" i="1"/>
  <c r="P981" i="1"/>
  <c r="P989" i="1"/>
  <c r="P997" i="1"/>
  <c r="P1005" i="1"/>
  <c r="P1013" i="1"/>
  <c r="P1021" i="1"/>
  <c r="P1029" i="1"/>
  <c r="P1037" i="1"/>
  <c r="P1045" i="1"/>
  <c r="P1053" i="1"/>
  <c r="P1061" i="1"/>
  <c r="P1069" i="1"/>
  <c r="P1077" i="1"/>
  <c r="P1085" i="1"/>
  <c r="P1093" i="1"/>
  <c r="P1101" i="1"/>
  <c r="P1109" i="1"/>
  <c r="P1117" i="1"/>
  <c r="P1125" i="1"/>
  <c r="P1133" i="1"/>
  <c r="P1141" i="1"/>
  <c r="P1149" i="1"/>
  <c r="P1157" i="1"/>
  <c r="P1165" i="1"/>
  <c r="P1173" i="1"/>
  <c r="P1181" i="1"/>
  <c r="P11" i="1"/>
  <c r="P25" i="1"/>
  <c r="P37" i="1"/>
  <c r="P50" i="1"/>
  <c r="P63" i="1"/>
  <c r="P75" i="1"/>
  <c r="P89" i="1"/>
  <c r="P101" i="1"/>
  <c r="P114" i="1"/>
  <c r="P127" i="1"/>
  <c r="P139" i="1"/>
  <c r="P153" i="1"/>
  <c r="P163" i="1"/>
  <c r="P174" i="1"/>
  <c r="P185" i="1"/>
  <c r="P195" i="1"/>
  <c r="P206" i="1"/>
  <c r="P217" i="1"/>
  <c r="P227" i="1"/>
  <c r="P238" i="1"/>
  <c r="P249" i="1"/>
  <c r="P259" i="1"/>
  <c r="P269" i="1"/>
  <c r="P278" i="1"/>
  <c r="P286" i="1"/>
  <c r="P294" i="1"/>
  <c r="P302" i="1"/>
  <c r="P310" i="1"/>
  <c r="P318" i="1"/>
  <c r="P326" i="1"/>
  <c r="P334" i="1"/>
  <c r="P342" i="1"/>
  <c r="P350" i="1"/>
  <c r="P358" i="1"/>
  <c r="P366" i="1"/>
  <c r="P374" i="1"/>
  <c r="P382" i="1"/>
  <c r="P390" i="1"/>
  <c r="P398" i="1"/>
  <c r="P406" i="1"/>
  <c r="P414" i="1"/>
  <c r="P422" i="1"/>
  <c r="P430" i="1"/>
  <c r="P438" i="1"/>
  <c r="P446" i="1"/>
  <c r="P454" i="1"/>
  <c r="P462" i="1"/>
  <c r="P470" i="1"/>
  <c r="P478" i="1"/>
  <c r="P486" i="1"/>
  <c r="P494" i="1"/>
  <c r="P502" i="1"/>
  <c r="P510" i="1"/>
  <c r="P518" i="1"/>
  <c r="P13" i="1"/>
  <c r="P26" i="1"/>
  <c r="P39" i="1"/>
  <c r="P51" i="1"/>
  <c r="P65" i="1"/>
  <c r="P77" i="1"/>
  <c r="P90" i="1"/>
  <c r="P103" i="1"/>
  <c r="P115" i="1"/>
  <c r="P129" i="1"/>
  <c r="P141" i="1"/>
  <c r="P154" i="1"/>
  <c r="P165" i="1"/>
  <c r="P175" i="1"/>
  <c r="P186" i="1"/>
  <c r="P197" i="1"/>
  <c r="P207" i="1"/>
  <c r="P218" i="1"/>
  <c r="P229" i="1"/>
  <c r="P239" i="1"/>
  <c r="P250" i="1"/>
  <c r="P261" i="1"/>
  <c r="P270" i="1"/>
  <c r="P279" i="1"/>
  <c r="P287" i="1"/>
  <c r="P295" i="1"/>
  <c r="P303" i="1"/>
  <c r="P311" i="1"/>
  <c r="P319" i="1"/>
  <c r="P327" i="1"/>
  <c r="P335" i="1"/>
  <c r="P343" i="1"/>
  <c r="P351" i="1"/>
  <c r="P359" i="1"/>
  <c r="P367" i="1"/>
  <c r="P375" i="1"/>
  <c r="P383" i="1"/>
  <c r="P391" i="1"/>
  <c r="P399" i="1"/>
  <c r="P407" i="1"/>
  <c r="P415" i="1"/>
  <c r="P423" i="1"/>
  <c r="P431" i="1"/>
  <c r="P439" i="1"/>
  <c r="P447" i="1"/>
  <c r="P455" i="1"/>
  <c r="P463" i="1"/>
  <c r="P471" i="1"/>
  <c r="P479" i="1"/>
  <c r="P487" i="1"/>
  <c r="P495" i="1"/>
  <c r="P503" i="1"/>
  <c r="P511" i="1"/>
  <c r="P519" i="1"/>
  <c r="P527" i="1"/>
  <c r="P535" i="1"/>
  <c r="P543" i="1"/>
  <c r="P551" i="1"/>
  <c r="P559" i="1"/>
  <c r="P567" i="1"/>
  <c r="P575" i="1"/>
  <c r="P583" i="1"/>
  <c r="P591" i="1"/>
  <c r="P599" i="1"/>
  <c r="P607" i="1"/>
  <c r="P615" i="1"/>
  <c r="P623" i="1"/>
  <c r="P631" i="1"/>
  <c r="P639" i="1"/>
  <c r="P647" i="1"/>
  <c r="P655" i="1"/>
  <c r="P663" i="1"/>
  <c r="P671" i="1"/>
  <c r="P679" i="1"/>
  <c r="P687" i="1"/>
  <c r="P695" i="1"/>
  <c r="P703" i="1"/>
  <c r="P711" i="1"/>
  <c r="P719" i="1"/>
  <c r="P727" i="1"/>
  <c r="P735" i="1"/>
  <c r="P743" i="1"/>
  <c r="P751" i="1"/>
  <c r="P759" i="1"/>
  <c r="P767" i="1"/>
  <c r="P775" i="1"/>
  <c r="P783" i="1"/>
  <c r="P791" i="1"/>
  <c r="P799" i="1"/>
  <c r="P807" i="1"/>
  <c r="P815" i="1"/>
  <c r="P823" i="1"/>
  <c r="P831" i="1"/>
  <c r="P839" i="1"/>
  <c r="P847" i="1"/>
  <c r="P855" i="1"/>
  <c r="P863" i="1"/>
  <c r="P871" i="1"/>
  <c r="P879" i="1"/>
  <c r="P887" i="1"/>
  <c r="P895" i="1"/>
  <c r="P903" i="1"/>
  <c r="P911" i="1"/>
  <c r="P919" i="1"/>
  <c r="P927" i="1"/>
  <c r="P935" i="1"/>
  <c r="P943" i="1"/>
  <c r="P951" i="1"/>
  <c r="P959" i="1"/>
  <c r="P967" i="1"/>
  <c r="P975" i="1"/>
  <c r="P983" i="1"/>
  <c r="P991" i="1"/>
  <c r="P999" i="1"/>
  <c r="P1007" i="1"/>
  <c r="P1015" i="1"/>
  <c r="P1023" i="1"/>
  <c r="P1031" i="1"/>
  <c r="P1039" i="1"/>
  <c r="P1047" i="1"/>
  <c r="P1055" i="1"/>
  <c r="P1063" i="1"/>
  <c r="P1071" i="1"/>
  <c r="P1079" i="1"/>
  <c r="P1087" i="1"/>
  <c r="P1095" i="1"/>
  <c r="P1103" i="1"/>
  <c r="P1111" i="1"/>
  <c r="P1119" i="1"/>
  <c r="P1127" i="1"/>
  <c r="P1135" i="1"/>
  <c r="P1143" i="1"/>
  <c r="P1151" i="1"/>
  <c r="P1159" i="1"/>
  <c r="P1167" i="1"/>
  <c r="P1175" i="1"/>
  <c r="P15" i="1"/>
  <c r="P27" i="1"/>
  <c r="P41" i="1"/>
  <c r="P53" i="1"/>
  <c r="P66" i="1"/>
  <c r="P79" i="1"/>
  <c r="P91" i="1"/>
  <c r="P105" i="1"/>
  <c r="P117" i="1"/>
  <c r="P130" i="1"/>
  <c r="P143" i="1"/>
  <c r="P155" i="1"/>
  <c r="P166" i="1"/>
  <c r="P177" i="1"/>
  <c r="P187" i="1"/>
  <c r="P198" i="1"/>
  <c r="P209" i="1"/>
  <c r="P219" i="1"/>
  <c r="P230" i="1"/>
  <c r="P241" i="1"/>
  <c r="P251" i="1"/>
  <c r="P262" i="1"/>
  <c r="P271" i="1"/>
  <c r="P280" i="1"/>
  <c r="P288" i="1"/>
  <c r="P296" i="1"/>
  <c r="P304" i="1"/>
  <c r="P312" i="1"/>
  <c r="P320" i="1"/>
  <c r="P328" i="1"/>
  <c r="P336" i="1"/>
  <c r="P344" i="1"/>
  <c r="P352" i="1"/>
  <c r="P360" i="1"/>
  <c r="P368" i="1"/>
  <c r="P376" i="1"/>
  <c r="P384" i="1"/>
  <c r="P392" i="1"/>
  <c r="P400" i="1"/>
  <c r="P408" i="1"/>
  <c r="P416" i="1"/>
  <c r="P424" i="1"/>
  <c r="P432" i="1"/>
  <c r="P440" i="1"/>
  <c r="P448" i="1"/>
  <c r="P456" i="1"/>
  <c r="P464" i="1"/>
  <c r="P472" i="1"/>
  <c r="P480" i="1"/>
  <c r="P488" i="1"/>
  <c r="P496" i="1"/>
  <c r="P504" i="1"/>
  <c r="P512" i="1"/>
  <c r="P520" i="1"/>
  <c r="P528" i="1"/>
  <c r="P536" i="1"/>
  <c r="P544" i="1"/>
  <c r="P3" i="1"/>
  <c r="P17" i="1"/>
  <c r="P29" i="1"/>
  <c r="P42" i="1"/>
  <c r="P55" i="1"/>
  <c r="P67" i="1"/>
  <c r="P81" i="1"/>
  <c r="P93" i="1"/>
  <c r="P106" i="1"/>
  <c r="P119" i="1"/>
  <c r="P131" i="1"/>
  <c r="P145" i="1"/>
  <c r="P157" i="1"/>
  <c r="P167" i="1"/>
  <c r="P178" i="1"/>
  <c r="P189" i="1"/>
  <c r="P199" i="1"/>
  <c r="P210" i="1"/>
  <c r="P221" i="1"/>
  <c r="P231" i="1"/>
  <c r="P242" i="1"/>
  <c r="P253" i="1"/>
  <c r="P263" i="1"/>
  <c r="P272" i="1"/>
  <c r="P281" i="1"/>
  <c r="P289" i="1"/>
  <c r="P297" i="1"/>
  <c r="P305" i="1"/>
  <c r="P313" i="1"/>
  <c r="P321" i="1"/>
  <c r="P329" i="1"/>
  <c r="P337" i="1"/>
  <c r="P345" i="1"/>
  <c r="P353" i="1"/>
  <c r="P361" i="1"/>
  <c r="P369" i="1"/>
  <c r="P377" i="1"/>
  <c r="P385" i="1"/>
  <c r="P393" i="1"/>
  <c r="P401" i="1"/>
  <c r="P409" i="1"/>
  <c r="P417" i="1"/>
  <c r="P425" i="1"/>
  <c r="P433" i="1"/>
  <c r="P441" i="1"/>
  <c r="P449" i="1"/>
  <c r="P457" i="1"/>
  <c r="P465" i="1"/>
  <c r="P473" i="1"/>
  <c r="P481" i="1"/>
  <c r="P489" i="1"/>
  <c r="P497" i="1"/>
  <c r="P505" i="1"/>
  <c r="P513" i="1"/>
  <c r="P521" i="1"/>
  <c r="P529" i="1"/>
  <c r="P537" i="1"/>
  <c r="P545" i="1"/>
  <c r="P553" i="1"/>
  <c r="P561" i="1"/>
  <c r="P569" i="1"/>
  <c r="P577" i="1"/>
  <c r="P585" i="1"/>
  <c r="P593" i="1"/>
  <c r="P601" i="1"/>
  <c r="P609" i="1"/>
  <c r="P617" i="1"/>
  <c r="P625" i="1"/>
  <c r="P633" i="1"/>
  <c r="P641" i="1"/>
  <c r="P649" i="1"/>
  <c r="P657" i="1"/>
  <c r="P665" i="1"/>
  <c r="P673" i="1"/>
  <c r="P681" i="1"/>
  <c r="P689" i="1"/>
  <c r="P697" i="1"/>
  <c r="P705" i="1"/>
  <c r="P713" i="1"/>
  <c r="P721" i="1"/>
  <c r="P729" i="1"/>
  <c r="P737" i="1"/>
  <c r="P745" i="1"/>
  <c r="P753" i="1"/>
  <c r="P761" i="1"/>
  <c r="P769" i="1"/>
  <c r="P777" i="1"/>
  <c r="P785" i="1"/>
  <c r="P793" i="1"/>
  <c r="P801" i="1"/>
  <c r="P809" i="1"/>
  <c r="P817" i="1"/>
  <c r="P825" i="1"/>
  <c r="P833" i="1"/>
  <c r="P841" i="1"/>
  <c r="P849" i="1"/>
  <c r="P857" i="1"/>
  <c r="P865" i="1"/>
  <c r="P873" i="1"/>
  <c r="P881" i="1"/>
  <c r="P889" i="1"/>
  <c r="P897" i="1"/>
  <c r="P905" i="1"/>
  <c r="P913" i="1"/>
  <c r="P921" i="1"/>
  <c r="P929" i="1"/>
  <c r="P937" i="1"/>
  <c r="P945" i="1"/>
  <c r="P953" i="1"/>
  <c r="P961" i="1"/>
  <c r="P969" i="1"/>
  <c r="P977" i="1"/>
  <c r="P985" i="1"/>
  <c r="P993" i="1"/>
  <c r="P1001" i="1"/>
  <c r="P1009" i="1"/>
  <c r="P1017" i="1"/>
  <c r="P1025" i="1"/>
  <c r="P1033" i="1"/>
  <c r="P1041" i="1"/>
  <c r="P1049" i="1"/>
  <c r="P1057" i="1"/>
  <c r="P1065" i="1"/>
  <c r="P1073" i="1"/>
  <c r="P1081" i="1"/>
  <c r="P1089" i="1"/>
  <c r="P1097" i="1"/>
  <c r="P1105" i="1"/>
  <c r="P1113" i="1"/>
  <c r="P1121" i="1"/>
  <c r="P1129" i="1"/>
  <c r="P1137" i="1"/>
  <c r="P1145" i="1"/>
  <c r="P1153" i="1"/>
  <c r="P1161" i="1"/>
  <c r="P1169" i="1"/>
  <c r="P1177" i="1"/>
  <c r="P31" i="1"/>
  <c r="P133" i="1"/>
  <c r="P222" i="1"/>
  <c r="P298" i="1"/>
  <c r="P362" i="1"/>
  <c r="P426" i="1"/>
  <c r="P490" i="1"/>
  <c r="P530" i="1"/>
  <c r="P546" i="1"/>
  <c r="P558" i="1"/>
  <c r="P571" i="1"/>
  <c r="P584" i="1"/>
  <c r="P596" i="1"/>
  <c r="P610" i="1"/>
  <c r="P622" i="1"/>
  <c r="P635" i="1"/>
  <c r="P648" i="1"/>
  <c r="P660" i="1"/>
  <c r="P674" i="1"/>
  <c r="P686" i="1"/>
  <c r="P699" i="1"/>
  <c r="P712" i="1"/>
  <c r="P724" i="1"/>
  <c r="P738" i="1"/>
  <c r="P750" i="1"/>
  <c r="P763" i="1"/>
  <c r="P776" i="1"/>
  <c r="P788" i="1"/>
  <c r="P802" i="1"/>
  <c r="P814" i="1"/>
  <c r="P827" i="1"/>
  <c r="P840" i="1"/>
  <c r="P852" i="1"/>
  <c r="P866" i="1"/>
  <c r="P878" i="1"/>
  <c r="P891" i="1"/>
  <c r="P904" i="1"/>
  <c r="P916" i="1"/>
  <c r="P930" i="1"/>
  <c r="P942" i="1"/>
  <c r="P955" i="1"/>
  <c r="P968" i="1"/>
  <c r="P980" i="1"/>
  <c r="P994" i="1"/>
  <c r="P1006" i="1"/>
  <c r="P1019" i="1"/>
  <c r="P1032" i="1"/>
  <c r="P1044" i="1"/>
  <c r="P1058" i="1"/>
  <c r="P1070" i="1"/>
  <c r="P1083" i="1"/>
  <c r="P1096" i="1"/>
  <c r="P1108" i="1"/>
  <c r="P1122" i="1"/>
  <c r="P1134" i="1"/>
  <c r="P1147" i="1"/>
  <c r="P1160" i="1"/>
  <c r="P1172" i="1"/>
  <c r="P43" i="1"/>
  <c r="P146" i="1"/>
  <c r="P233" i="1"/>
  <c r="P306" i="1"/>
  <c r="P370" i="1"/>
  <c r="P434" i="1"/>
  <c r="P498" i="1"/>
  <c r="P531" i="1"/>
  <c r="P547" i="1"/>
  <c r="P560" i="1"/>
  <c r="P572" i="1"/>
  <c r="P586" i="1"/>
  <c r="P598" i="1"/>
  <c r="P611" i="1"/>
  <c r="P624" i="1"/>
  <c r="P636" i="1"/>
  <c r="P650" i="1"/>
  <c r="P662" i="1"/>
  <c r="P675" i="1"/>
  <c r="P688" i="1"/>
  <c r="P700" i="1"/>
  <c r="P714" i="1"/>
  <c r="P726" i="1"/>
  <c r="P739" i="1"/>
  <c r="P752" i="1"/>
  <c r="P764" i="1"/>
  <c r="P778" i="1"/>
  <c r="P790" i="1"/>
  <c r="P803" i="1"/>
  <c r="P816" i="1"/>
  <c r="P828" i="1"/>
  <c r="P842" i="1"/>
  <c r="P854" i="1"/>
  <c r="P867" i="1"/>
  <c r="P880" i="1"/>
  <c r="P892" i="1"/>
  <c r="P906" i="1"/>
  <c r="P918" i="1"/>
  <c r="P931" i="1"/>
  <c r="P944" i="1"/>
  <c r="P956" i="1"/>
  <c r="P970" i="1"/>
  <c r="P982" i="1"/>
  <c r="P995" i="1"/>
  <c r="P1008" i="1"/>
  <c r="P1020" i="1"/>
  <c r="P1034" i="1"/>
  <c r="P1046" i="1"/>
  <c r="P1059" i="1"/>
  <c r="P1072" i="1"/>
  <c r="P1084" i="1"/>
  <c r="P1098" i="1"/>
  <c r="P1110" i="1"/>
  <c r="P1123" i="1"/>
  <c r="P1136" i="1"/>
  <c r="P1148" i="1"/>
  <c r="P1162" i="1"/>
  <c r="P1174" i="1"/>
  <c r="P57" i="1"/>
  <c r="P158" i="1"/>
  <c r="P243" i="1"/>
  <c r="P314" i="1"/>
  <c r="P378" i="1"/>
  <c r="P442" i="1"/>
  <c r="P506" i="1"/>
  <c r="P532" i="1"/>
  <c r="P548" i="1"/>
  <c r="P562" i="1"/>
  <c r="P574" i="1"/>
  <c r="P587" i="1"/>
  <c r="P600" i="1"/>
  <c r="P612" i="1"/>
  <c r="P626" i="1"/>
  <c r="P638" i="1"/>
  <c r="P651" i="1"/>
  <c r="P664" i="1"/>
  <c r="P676" i="1"/>
  <c r="P690" i="1"/>
  <c r="P702" i="1"/>
  <c r="P715" i="1"/>
  <c r="P728" i="1"/>
  <c r="P740" i="1"/>
  <c r="P754" i="1"/>
  <c r="P766" i="1"/>
  <c r="P779" i="1"/>
  <c r="P792" i="1"/>
  <c r="P804" i="1"/>
  <c r="P818" i="1"/>
  <c r="P830" i="1"/>
  <c r="P843" i="1"/>
  <c r="P856" i="1"/>
  <c r="P868" i="1"/>
  <c r="P882" i="1"/>
  <c r="P894" i="1"/>
  <c r="P907" i="1"/>
  <c r="P920" i="1"/>
  <c r="P932" i="1"/>
  <c r="P946" i="1"/>
  <c r="P958" i="1"/>
  <c r="P971" i="1"/>
  <c r="P984" i="1"/>
  <c r="P996" i="1"/>
  <c r="P1010" i="1"/>
  <c r="P1022" i="1"/>
  <c r="P1035" i="1"/>
  <c r="P1048" i="1"/>
  <c r="P1060" i="1"/>
  <c r="P1074" i="1"/>
  <c r="P1086" i="1"/>
  <c r="P1099" i="1"/>
  <c r="P1112" i="1"/>
  <c r="P1124" i="1"/>
  <c r="P1138" i="1"/>
  <c r="P1150" i="1"/>
  <c r="P1163" i="1"/>
  <c r="P1176" i="1"/>
  <c r="P69" i="1"/>
  <c r="P169" i="1"/>
  <c r="P254" i="1"/>
  <c r="P322" i="1"/>
  <c r="P386" i="1"/>
  <c r="P450" i="1"/>
  <c r="P514" i="1"/>
  <c r="P534" i="1"/>
  <c r="P550" i="1"/>
  <c r="P563" i="1"/>
  <c r="P576" i="1"/>
  <c r="P588" i="1"/>
  <c r="P602" i="1"/>
  <c r="P614" i="1"/>
  <c r="P627" i="1"/>
  <c r="P640" i="1"/>
  <c r="P652" i="1"/>
  <c r="P666" i="1"/>
  <c r="P678" i="1"/>
  <c r="P691" i="1"/>
  <c r="P704" i="1"/>
  <c r="P716" i="1"/>
  <c r="P730" i="1"/>
  <c r="P742" i="1"/>
  <c r="P755" i="1"/>
  <c r="P768" i="1"/>
  <c r="P780" i="1"/>
  <c r="P794" i="1"/>
  <c r="P806" i="1"/>
  <c r="P819" i="1"/>
  <c r="P832" i="1"/>
  <c r="P844" i="1"/>
  <c r="P858" i="1"/>
  <c r="P870" i="1"/>
  <c r="P883" i="1"/>
  <c r="P896" i="1"/>
  <c r="P908" i="1"/>
  <c r="P922" i="1"/>
  <c r="P934" i="1"/>
  <c r="P947" i="1"/>
  <c r="P960" i="1"/>
  <c r="P972" i="1"/>
  <c r="P986" i="1"/>
  <c r="P998" i="1"/>
  <c r="P1011" i="1"/>
  <c r="P1024" i="1"/>
  <c r="P1036" i="1"/>
  <c r="P1050" i="1"/>
  <c r="P1062" i="1"/>
  <c r="P1075" i="1"/>
  <c r="P1088" i="1"/>
  <c r="P1100" i="1"/>
  <c r="P1114" i="1"/>
  <c r="P1126" i="1"/>
  <c r="P1139" i="1"/>
  <c r="P1152" i="1"/>
  <c r="P1164" i="1"/>
  <c r="P1178" i="1"/>
  <c r="P282" i="1"/>
  <c r="P474" i="1"/>
  <c r="P555" i="1"/>
  <c r="P594" i="1"/>
  <c r="P619" i="1"/>
  <c r="P658" i="1"/>
  <c r="P708" i="1"/>
  <c r="P734" i="1"/>
  <c r="P772" i="1"/>
  <c r="P811" i="1"/>
  <c r="P850" i="1"/>
  <c r="P900" i="1"/>
  <c r="P939" i="1"/>
  <c r="P978" i="1"/>
  <c r="P1016" i="1"/>
  <c r="P1042" i="1"/>
  <c r="P1080" i="1"/>
  <c r="P1118" i="1"/>
  <c r="P1156" i="1"/>
  <c r="P82" i="1"/>
  <c r="P179" i="1"/>
  <c r="P264" i="1"/>
  <c r="P330" i="1"/>
  <c r="P394" i="1"/>
  <c r="P458" i="1"/>
  <c r="P522" i="1"/>
  <c r="P538" i="1"/>
  <c r="P552" i="1"/>
  <c r="P564" i="1"/>
  <c r="P578" i="1"/>
  <c r="P590" i="1"/>
  <c r="P603" i="1"/>
  <c r="P616" i="1"/>
  <c r="P628" i="1"/>
  <c r="P642" i="1"/>
  <c r="P654" i="1"/>
  <c r="P667" i="1"/>
  <c r="P680" i="1"/>
  <c r="P692" i="1"/>
  <c r="P706" i="1"/>
  <c r="P718" i="1"/>
  <c r="P731" i="1"/>
  <c r="P744" i="1"/>
  <c r="P756" i="1"/>
  <c r="P770" i="1"/>
  <c r="P782" i="1"/>
  <c r="P795" i="1"/>
  <c r="P808" i="1"/>
  <c r="P820" i="1"/>
  <c r="P834" i="1"/>
  <c r="P846" i="1"/>
  <c r="P859" i="1"/>
  <c r="P872" i="1"/>
  <c r="P884" i="1"/>
  <c r="P898" i="1"/>
  <c r="P910" i="1"/>
  <c r="P923" i="1"/>
  <c r="P936" i="1"/>
  <c r="P948" i="1"/>
  <c r="P962" i="1"/>
  <c r="P974" i="1"/>
  <c r="P987" i="1"/>
  <c r="P1000" i="1"/>
  <c r="P1012" i="1"/>
  <c r="P1026" i="1"/>
  <c r="P1038" i="1"/>
  <c r="P1051" i="1"/>
  <c r="P1064" i="1"/>
  <c r="P1076" i="1"/>
  <c r="P1090" i="1"/>
  <c r="P1102" i="1"/>
  <c r="P1115" i="1"/>
  <c r="P1128" i="1"/>
  <c r="P1140" i="1"/>
  <c r="P1154" i="1"/>
  <c r="P1166" i="1"/>
  <c r="P1179" i="1"/>
  <c r="P410" i="1"/>
  <c r="P540" i="1"/>
  <c r="P580" i="1"/>
  <c r="P632" i="1"/>
  <c r="P670" i="1"/>
  <c r="P696" i="1"/>
  <c r="P747" i="1"/>
  <c r="P786" i="1"/>
  <c r="P824" i="1"/>
  <c r="P862" i="1"/>
  <c r="P888" i="1"/>
  <c r="P926" i="1"/>
  <c r="P964" i="1"/>
  <c r="P1003" i="1"/>
  <c r="P1054" i="1"/>
  <c r="P1092" i="1"/>
  <c r="P1131" i="1"/>
  <c r="P1170" i="1"/>
  <c r="P95" i="1"/>
  <c r="P190" i="1"/>
  <c r="P273" i="1"/>
  <c r="P338" i="1"/>
  <c r="P402" i="1"/>
  <c r="P466" i="1"/>
  <c r="P523" i="1"/>
  <c r="P539" i="1"/>
  <c r="P554" i="1"/>
  <c r="P566" i="1"/>
  <c r="P579" i="1"/>
  <c r="P592" i="1"/>
  <c r="P604" i="1"/>
  <c r="P618" i="1"/>
  <c r="P630" i="1"/>
  <c r="P643" i="1"/>
  <c r="P656" i="1"/>
  <c r="P668" i="1"/>
  <c r="P682" i="1"/>
  <c r="P694" i="1"/>
  <c r="P707" i="1"/>
  <c r="P720" i="1"/>
  <c r="P732" i="1"/>
  <c r="P746" i="1"/>
  <c r="P758" i="1"/>
  <c r="P771" i="1"/>
  <c r="P784" i="1"/>
  <c r="P796" i="1"/>
  <c r="P810" i="1"/>
  <c r="P822" i="1"/>
  <c r="P835" i="1"/>
  <c r="P848" i="1"/>
  <c r="P860" i="1"/>
  <c r="P874" i="1"/>
  <c r="P886" i="1"/>
  <c r="P899" i="1"/>
  <c r="P912" i="1"/>
  <c r="P924" i="1"/>
  <c r="P938" i="1"/>
  <c r="P950" i="1"/>
  <c r="P963" i="1"/>
  <c r="P976" i="1"/>
  <c r="P988" i="1"/>
  <c r="P1002" i="1"/>
  <c r="P1014" i="1"/>
  <c r="P1027" i="1"/>
  <c r="P1040" i="1"/>
  <c r="P1052" i="1"/>
  <c r="P1066" i="1"/>
  <c r="P1078" i="1"/>
  <c r="P1091" i="1"/>
  <c r="P1104" i="1"/>
  <c r="P1116" i="1"/>
  <c r="P1130" i="1"/>
  <c r="P1142" i="1"/>
  <c r="P1155" i="1"/>
  <c r="P1168" i="1"/>
  <c r="P1180" i="1"/>
  <c r="P5" i="1"/>
  <c r="P107" i="1"/>
  <c r="P201" i="1"/>
  <c r="P346" i="1"/>
  <c r="P524" i="1"/>
  <c r="P568" i="1"/>
  <c r="P606" i="1"/>
  <c r="P644" i="1"/>
  <c r="P683" i="1"/>
  <c r="P722" i="1"/>
  <c r="P760" i="1"/>
  <c r="P798" i="1"/>
  <c r="P836" i="1"/>
  <c r="P875" i="1"/>
  <c r="P914" i="1"/>
  <c r="P952" i="1"/>
  <c r="P990" i="1"/>
  <c r="P1028" i="1"/>
  <c r="P1067" i="1"/>
  <c r="P1106" i="1"/>
  <c r="P1144" i="1"/>
  <c r="P18" i="1"/>
  <c r="P121" i="1"/>
  <c r="P211" i="1"/>
  <c r="P290" i="1"/>
  <c r="P354" i="1"/>
  <c r="P418" i="1"/>
  <c r="P482" i="1"/>
  <c r="P526" i="1"/>
  <c r="P542" i="1"/>
  <c r="P556" i="1"/>
  <c r="P570" i="1"/>
  <c r="P582" i="1"/>
  <c r="P595" i="1"/>
  <c r="P608" i="1"/>
  <c r="P620" i="1"/>
  <c r="P634" i="1"/>
  <c r="P646" i="1"/>
  <c r="P659" i="1"/>
  <c r="P672" i="1"/>
  <c r="P684" i="1"/>
  <c r="P698" i="1"/>
  <c r="P710" i="1"/>
  <c r="P723" i="1"/>
  <c r="P736" i="1"/>
  <c r="P748" i="1"/>
  <c r="P762" i="1"/>
  <c r="P774" i="1"/>
  <c r="P787" i="1"/>
  <c r="P800" i="1"/>
  <c r="P812" i="1"/>
  <c r="P826" i="1"/>
  <c r="P838" i="1"/>
  <c r="P851" i="1"/>
  <c r="P864" i="1"/>
  <c r="P876" i="1"/>
  <c r="P890" i="1"/>
  <c r="P902" i="1"/>
  <c r="P915" i="1"/>
  <c r="P928" i="1"/>
  <c r="P940" i="1"/>
  <c r="P954" i="1"/>
  <c r="P966" i="1"/>
  <c r="P979" i="1"/>
  <c r="P992" i="1"/>
  <c r="P1004" i="1"/>
  <c r="P1018" i="1"/>
  <c r="P1030" i="1"/>
  <c r="P1043" i="1"/>
  <c r="P1056" i="1"/>
  <c r="P1068" i="1"/>
  <c r="P1082" i="1"/>
  <c r="P1094" i="1"/>
  <c r="P1107" i="1"/>
  <c r="P1120" i="1"/>
  <c r="P1132" i="1"/>
  <c r="P1146" i="1"/>
  <c r="P1158" i="1"/>
  <c r="P1171" i="1"/>
  <c r="Q3" i="1"/>
  <c r="Q11" i="1"/>
  <c r="Q19" i="1"/>
  <c r="Q27" i="1"/>
  <c r="Q35" i="1"/>
  <c r="Q43" i="1"/>
  <c r="Q51" i="1"/>
  <c r="Q59" i="1"/>
  <c r="Q67" i="1"/>
  <c r="Q75" i="1"/>
  <c r="Q83" i="1"/>
  <c r="Q91" i="1"/>
  <c r="Q99" i="1"/>
  <c r="Q107" i="1"/>
  <c r="Q115" i="1"/>
  <c r="Q123" i="1"/>
  <c r="Q131" i="1"/>
  <c r="Q139" i="1"/>
  <c r="Q147" i="1"/>
  <c r="Q155" i="1"/>
  <c r="Q163" i="1"/>
  <c r="Q171" i="1"/>
  <c r="Q179" i="1"/>
  <c r="Q187" i="1"/>
  <c r="Q195" i="1"/>
  <c r="Q203" i="1"/>
  <c r="Q211" i="1"/>
  <c r="Q219" i="1"/>
  <c r="Q227" i="1"/>
  <c r="Q235" i="1"/>
  <c r="Q243" i="1"/>
  <c r="Q251" i="1"/>
  <c r="Q259" i="1"/>
  <c r="Q267" i="1"/>
  <c r="Q275" i="1"/>
  <c r="Q283" i="1"/>
  <c r="Q291" i="1"/>
  <c r="Q299" i="1"/>
  <c r="Q307" i="1"/>
  <c r="Q315" i="1"/>
  <c r="Q323" i="1"/>
  <c r="Q331" i="1"/>
  <c r="Q339" i="1"/>
  <c r="Q347" i="1"/>
  <c r="Q355" i="1"/>
  <c r="Q363" i="1"/>
  <c r="Q371" i="1"/>
  <c r="Q379" i="1"/>
  <c r="Q387" i="1"/>
  <c r="Q395" i="1"/>
  <c r="Q403" i="1"/>
  <c r="Q411" i="1"/>
  <c r="Q419" i="1"/>
  <c r="Q427" i="1"/>
  <c r="Q435" i="1"/>
  <c r="Q443" i="1"/>
  <c r="Q451" i="1"/>
  <c r="Q459" i="1"/>
  <c r="Q467" i="1"/>
  <c r="Q475" i="1"/>
  <c r="Q483" i="1"/>
  <c r="Q491" i="1"/>
  <c r="Q499" i="1"/>
  <c r="Q507" i="1"/>
  <c r="Q515" i="1"/>
  <c r="Q523" i="1"/>
  <c r="Q531" i="1"/>
  <c r="Q539" i="1"/>
  <c r="Q547" i="1"/>
  <c r="Q555" i="1"/>
  <c r="Q563" i="1"/>
  <c r="Q571" i="1"/>
  <c r="Q579" i="1"/>
  <c r="Q587" i="1"/>
  <c r="Q595" i="1"/>
  <c r="Q603" i="1"/>
  <c r="Q4" i="1"/>
  <c r="Q12" i="1"/>
  <c r="Q20" i="1"/>
  <c r="Q28" i="1"/>
  <c r="Q36" i="1"/>
  <c r="Q44" i="1"/>
  <c r="Q52" i="1"/>
  <c r="Q60" i="1"/>
  <c r="Q68" i="1"/>
  <c r="Q76" i="1"/>
  <c r="Q84" i="1"/>
  <c r="Q92" i="1"/>
  <c r="Q100" i="1"/>
  <c r="Q108" i="1"/>
  <c r="Q116" i="1"/>
  <c r="Q124" i="1"/>
  <c r="Q132" i="1"/>
  <c r="Q140" i="1"/>
  <c r="Q148" i="1"/>
  <c r="Q156" i="1"/>
  <c r="Q164" i="1"/>
  <c r="Q172" i="1"/>
  <c r="Q180" i="1"/>
  <c r="Q188" i="1"/>
  <c r="Q196" i="1"/>
  <c r="Q204" i="1"/>
  <c r="Q212" i="1"/>
  <c r="Q220" i="1"/>
  <c r="Q228" i="1"/>
  <c r="Q236" i="1"/>
  <c r="Q244" i="1"/>
  <c r="Q252" i="1"/>
  <c r="Q260" i="1"/>
  <c r="Q268" i="1"/>
  <c r="Q276" i="1"/>
  <c r="Q284" i="1"/>
  <c r="Q292" i="1"/>
  <c r="Q300" i="1"/>
  <c r="Q308" i="1"/>
  <c r="Q316" i="1"/>
  <c r="Q324" i="1"/>
  <c r="Q332" i="1"/>
  <c r="Q340" i="1"/>
  <c r="Q348" i="1"/>
  <c r="Q356" i="1"/>
  <c r="Q364" i="1"/>
  <c r="Q372" i="1"/>
  <c r="Q380" i="1"/>
  <c r="Q388" i="1"/>
  <c r="Q396" i="1"/>
  <c r="Q404" i="1"/>
  <c r="Q412" i="1"/>
  <c r="Q420" i="1"/>
  <c r="Q428" i="1"/>
  <c r="Q436" i="1"/>
  <c r="Q444" i="1"/>
  <c r="Q452" i="1"/>
  <c r="Q460" i="1"/>
  <c r="Q468" i="1"/>
  <c r="Q476" i="1"/>
  <c r="Q484" i="1"/>
  <c r="Q492" i="1"/>
  <c r="Q500" i="1"/>
  <c r="Q508" i="1"/>
  <c r="Q516" i="1"/>
  <c r="Q524" i="1"/>
  <c r="Q532" i="1"/>
  <c r="Q540" i="1"/>
  <c r="Q548" i="1"/>
  <c r="Q556" i="1"/>
  <c r="Q564" i="1"/>
  <c r="Q572" i="1"/>
  <c r="Q580" i="1"/>
  <c r="Q588" i="1"/>
  <c r="Q596" i="1"/>
  <c r="Q604" i="1"/>
  <c r="Q5" i="1"/>
  <c r="Q13" i="1"/>
  <c r="Q21" i="1"/>
  <c r="Q29" i="1"/>
  <c r="Q37" i="1"/>
  <c r="Q45" i="1"/>
  <c r="Q53" i="1"/>
  <c r="Q61" i="1"/>
  <c r="Q69" i="1"/>
  <c r="Q77" i="1"/>
  <c r="Q85" i="1"/>
  <c r="Q93" i="1"/>
  <c r="Q101" i="1"/>
  <c r="Q109" i="1"/>
  <c r="Q117" i="1"/>
  <c r="Q125" i="1"/>
  <c r="Q133" i="1"/>
  <c r="Q141" i="1"/>
  <c r="Q149" i="1"/>
  <c r="Q157" i="1"/>
  <c r="Q165" i="1"/>
  <c r="Q173" i="1"/>
  <c r="Q181" i="1"/>
  <c r="Q189" i="1"/>
  <c r="Q197" i="1"/>
  <c r="Q205" i="1"/>
  <c r="Q213" i="1"/>
  <c r="Q221" i="1"/>
  <c r="Q229" i="1"/>
  <c r="Q237" i="1"/>
  <c r="Q245" i="1"/>
  <c r="Q253" i="1"/>
  <c r="Q261" i="1"/>
  <c r="Q269" i="1"/>
  <c r="Q277" i="1"/>
  <c r="Q285" i="1"/>
  <c r="Q293" i="1"/>
  <c r="Q301" i="1"/>
  <c r="Q309" i="1"/>
  <c r="Q317" i="1"/>
  <c r="Q325" i="1"/>
  <c r="Q333" i="1"/>
  <c r="Q341" i="1"/>
  <c r="Q349" i="1"/>
  <c r="Q357" i="1"/>
  <c r="Q365" i="1"/>
  <c r="Q373" i="1"/>
  <c r="Q381" i="1"/>
  <c r="Q389" i="1"/>
  <c r="Q397" i="1"/>
  <c r="Q405" i="1"/>
  <c r="Q413" i="1"/>
  <c r="Q421" i="1"/>
  <c r="Q429" i="1"/>
  <c r="Q437" i="1"/>
  <c r="Q445" i="1"/>
  <c r="Q453" i="1"/>
  <c r="Q461" i="1"/>
  <c r="Q469" i="1"/>
  <c r="Q477" i="1"/>
  <c r="Q485" i="1"/>
  <c r="Q493" i="1"/>
  <c r="Q501" i="1"/>
  <c r="Q509" i="1"/>
  <c r="Q517" i="1"/>
  <c r="Q525" i="1"/>
  <c r="Q533" i="1"/>
  <c r="Q541" i="1"/>
  <c r="Q549" i="1"/>
  <c r="Q557" i="1"/>
  <c r="Q565" i="1"/>
  <c r="Q573" i="1"/>
  <c r="Q581" i="1"/>
  <c r="Q589" i="1"/>
  <c r="Q597" i="1"/>
  <c r="Q605" i="1"/>
  <c r="Q613" i="1"/>
  <c r="Q621" i="1"/>
  <c r="Q629" i="1"/>
  <c r="Q637" i="1"/>
  <c r="Q645" i="1"/>
  <c r="Q653" i="1"/>
  <c r="Q661" i="1"/>
  <c r="Q669" i="1"/>
  <c r="Q677" i="1"/>
  <c r="Q6" i="1"/>
  <c r="Q14" i="1"/>
  <c r="Q22" i="1"/>
  <c r="Q30" i="1"/>
  <c r="Q38" i="1"/>
  <c r="Q46" i="1"/>
  <c r="Q54" i="1"/>
  <c r="Q62" i="1"/>
  <c r="Q70" i="1"/>
  <c r="Q78" i="1"/>
  <c r="Q86" i="1"/>
  <c r="Q94" i="1"/>
  <c r="Q102" i="1"/>
  <c r="Q110" i="1"/>
  <c r="Q118" i="1"/>
  <c r="Q126" i="1"/>
  <c r="Q134" i="1"/>
  <c r="Q142" i="1"/>
  <c r="Q150" i="1"/>
  <c r="Q158" i="1"/>
  <c r="Q166" i="1"/>
  <c r="Q174" i="1"/>
  <c r="Q182" i="1"/>
  <c r="Q190" i="1"/>
  <c r="Q198" i="1"/>
  <c r="Q206" i="1"/>
  <c r="Q214" i="1"/>
  <c r="Q222" i="1"/>
  <c r="Q230" i="1"/>
  <c r="Q238" i="1"/>
  <c r="Q246" i="1"/>
  <c r="Q7" i="1"/>
  <c r="Q15" i="1"/>
  <c r="Q23" i="1"/>
  <c r="Q31" i="1"/>
  <c r="Q39" i="1"/>
  <c r="Q47" i="1"/>
  <c r="Q55" i="1"/>
  <c r="Q63" i="1"/>
  <c r="Q71" i="1"/>
  <c r="Q79" i="1"/>
  <c r="Q87" i="1"/>
  <c r="Q95" i="1"/>
  <c r="Q103" i="1"/>
  <c r="Q111" i="1"/>
  <c r="Q119" i="1"/>
  <c r="Q127" i="1"/>
  <c r="Q135" i="1"/>
  <c r="Q143" i="1"/>
  <c r="Q151" i="1"/>
  <c r="Q159" i="1"/>
  <c r="Q167" i="1"/>
  <c r="Q175" i="1"/>
  <c r="Q183" i="1"/>
  <c r="Q191" i="1"/>
  <c r="Q199" i="1"/>
  <c r="Q207" i="1"/>
  <c r="Q215" i="1"/>
  <c r="Q223" i="1"/>
  <c r="Q231" i="1"/>
  <c r="Q239" i="1"/>
  <c r="Q247" i="1"/>
  <c r="Q255" i="1"/>
  <c r="Q8" i="1"/>
  <c r="Q16" i="1"/>
  <c r="Q24" i="1"/>
  <c r="Q32" i="1"/>
  <c r="Q40" i="1"/>
  <c r="Q48" i="1"/>
  <c r="Q56" i="1"/>
  <c r="Q64" i="1"/>
  <c r="Q72" i="1"/>
  <c r="Q80" i="1"/>
  <c r="Q88" i="1"/>
  <c r="Q96" i="1"/>
  <c r="Q104" i="1"/>
  <c r="Q112" i="1"/>
  <c r="Q120" i="1"/>
  <c r="Q128" i="1"/>
  <c r="Q136" i="1"/>
  <c r="Q144" i="1"/>
  <c r="Q152" i="1"/>
  <c r="Q160" i="1"/>
  <c r="Q168" i="1"/>
  <c r="Q176" i="1"/>
  <c r="Q184" i="1"/>
  <c r="Q192" i="1"/>
  <c r="Q200" i="1"/>
  <c r="Q208" i="1"/>
  <c r="Q216" i="1"/>
  <c r="Q224" i="1"/>
  <c r="Q232" i="1"/>
  <c r="Q240" i="1"/>
  <c r="Q248" i="1"/>
  <c r="Q256" i="1"/>
  <c r="Q264" i="1"/>
  <c r="Q272" i="1"/>
  <c r="Q280" i="1"/>
  <c r="Q288" i="1"/>
  <c r="Q296" i="1"/>
  <c r="Q304" i="1"/>
  <c r="Q312" i="1"/>
  <c r="Q320" i="1"/>
  <c r="Q328" i="1"/>
  <c r="Q336" i="1"/>
  <c r="Q344" i="1"/>
  <c r="Q352" i="1"/>
  <c r="Q360" i="1"/>
  <c r="Q368" i="1"/>
  <c r="Q376" i="1"/>
  <c r="Q384" i="1"/>
  <c r="Q392" i="1"/>
  <c r="Q400" i="1"/>
  <c r="Q408" i="1"/>
  <c r="Q416" i="1"/>
  <c r="Q424" i="1"/>
  <c r="Q432" i="1"/>
  <c r="Q440" i="1"/>
  <c r="Q448" i="1"/>
  <c r="Q456" i="1"/>
  <c r="Q464" i="1"/>
  <c r="Q472" i="1"/>
  <c r="Q480" i="1"/>
  <c r="Q488" i="1"/>
  <c r="Q496" i="1"/>
  <c r="Q504" i="1"/>
  <c r="Q512" i="1"/>
  <c r="Q520" i="1"/>
  <c r="Q528" i="1"/>
  <c r="Q536" i="1"/>
  <c r="Q544" i="1"/>
  <c r="Q552" i="1"/>
  <c r="Q560" i="1"/>
  <c r="Q568" i="1"/>
  <c r="Q576" i="1"/>
  <c r="Q584" i="1"/>
  <c r="Q592" i="1"/>
  <c r="Q600" i="1"/>
  <c r="Q608" i="1"/>
  <c r="Q616" i="1"/>
  <c r="Q624" i="1"/>
  <c r="Q632" i="1"/>
  <c r="Q640" i="1"/>
  <c r="Q648" i="1"/>
  <c r="Q656" i="1"/>
  <c r="Q664" i="1"/>
  <c r="Q672" i="1"/>
  <c r="Q680" i="1"/>
  <c r="Q10" i="1"/>
  <c r="Q18" i="1"/>
  <c r="Q26" i="1"/>
  <c r="Q34" i="1"/>
  <c r="Q42" i="1"/>
  <c r="Q50" i="1"/>
  <c r="Q58" i="1"/>
  <c r="Q66" i="1"/>
  <c r="Q74" i="1"/>
  <c r="Q82" i="1"/>
  <c r="Q90" i="1"/>
  <c r="Q98" i="1"/>
  <c r="Q106" i="1"/>
  <c r="Q114" i="1"/>
  <c r="Q122" i="1"/>
  <c r="Q130" i="1"/>
  <c r="Q138" i="1"/>
  <c r="Q25" i="1"/>
  <c r="Q89" i="1"/>
  <c r="Q146" i="1"/>
  <c r="Q178" i="1"/>
  <c r="Q210" i="1"/>
  <c r="Q242" i="1"/>
  <c r="Q265" i="1"/>
  <c r="Q281" i="1"/>
  <c r="Q297" i="1"/>
  <c r="Q313" i="1"/>
  <c r="Q329" i="1"/>
  <c r="Q345" i="1"/>
  <c r="Q361" i="1"/>
  <c r="Q377" i="1"/>
  <c r="Q393" i="1"/>
  <c r="Q409" i="1"/>
  <c r="Q425" i="1"/>
  <c r="Q441" i="1"/>
  <c r="Q457" i="1"/>
  <c r="Q473" i="1"/>
  <c r="Q489" i="1"/>
  <c r="Q505" i="1"/>
  <c r="Q521" i="1"/>
  <c r="Q537" i="1"/>
  <c r="Q553" i="1"/>
  <c r="Q569" i="1"/>
  <c r="Q585" i="1"/>
  <c r="Q601" i="1"/>
  <c r="Q614" i="1"/>
  <c r="Q625" i="1"/>
  <c r="Q635" i="1"/>
  <c r="Q646" i="1"/>
  <c r="Q657" i="1"/>
  <c r="Q667" i="1"/>
  <c r="Q678" i="1"/>
  <c r="Q687" i="1"/>
  <c r="Q695" i="1"/>
  <c r="Q703" i="1"/>
  <c r="Q711" i="1"/>
  <c r="Q719" i="1"/>
  <c r="Q727" i="1"/>
  <c r="Q735" i="1"/>
  <c r="Q743" i="1"/>
  <c r="Q751" i="1"/>
  <c r="Q759" i="1"/>
  <c r="Q767" i="1"/>
  <c r="Q775" i="1"/>
  <c r="Q783" i="1"/>
  <c r="Q791" i="1"/>
  <c r="Q799" i="1"/>
  <c r="Q807" i="1"/>
  <c r="Q815" i="1"/>
  <c r="Q823" i="1"/>
  <c r="Q831" i="1"/>
  <c r="Q839" i="1"/>
  <c r="Q847" i="1"/>
  <c r="Q855" i="1"/>
  <c r="Q863" i="1"/>
  <c r="Q871" i="1"/>
  <c r="Q879" i="1"/>
  <c r="Q887" i="1"/>
  <c r="Q895" i="1"/>
  <c r="Q903" i="1"/>
  <c r="Q911" i="1"/>
  <c r="Q919" i="1"/>
  <c r="Q927" i="1"/>
  <c r="Q935" i="1"/>
  <c r="Q943" i="1"/>
  <c r="Q951" i="1"/>
  <c r="Q959" i="1"/>
  <c r="Q967" i="1"/>
  <c r="Q975" i="1"/>
  <c r="Q983" i="1"/>
  <c r="Q991" i="1"/>
  <c r="Q999" i="1"/>
  <c r="Q1007" i="1"/>
  <c r="Q1015" i="1"/>
  <c r="Q1023" i="1"/>
  <c r="Q1031" i="1"/>
  <c r="Q1039" i="1"/>
  <c r="Q1047" i="1"/>
  <c r="Q1055" i="1"/>
  <c r="Q1063" i="1"/>
  <c r="Q1071" i="1"/>
  <c r="Q1079" i="1"/>
  <c r="Q1087" i="1"/>
  <c r="Q1095" i="1"/>
  <c r="Q41" i="1"/>
  <c r="Q105" i="1"/>
  <c r="Q154" i="1"/>
  <c r="Q186" i="1"/>
  <c r="Q218" i="1"/>
  <c r="Q250" i="1"/>
  <c r="Q270" i="1"/>
  <c r="Q286" i="1"/>
  <c r="Q302" i="1"/>
  <c r="Q318" i="1"/>
  <c r="Q334" i="1"/>
  <c r="Q350" i="1"/>
  <c r="Q366" i="1"/>
  <c r="Q382" i="1"/>
  <c r="Q398" i="1"/>
  <c r="Q414" i="1"/>
  <c r="Q430" i="1"/>
  <c r="Q446" i="1"/>
  <c r="Q462" i="1"/>
  <c r="Q478" i="1"/>
  <c r="Q494" i="1"/>
  <c r="Q510" i="1"/>
  <c r="Q526" i="1"/>
  <c r="Q542" i="1"/>
  <c r="Q558" i="1"/>
  <c r="Q574" i="1"/>
  <c r="Q590" i="1"/>
  <c r="Q606" i="1"/>
  <c r="Q617" i="1"/>
  <c r="Q627" i="1"/>
  <c r="Q638" i="1"/>
  <c r="Q649" i="1"/>
  <c r="Q659" i="1"/>
  <c r="Q670" i="1"/>
  <c r="Q681" i="1"/>
  <c r="Q689" i="1"/>
  <c r="Q697" i="1"/>
  <c r="Q705" i="1"/>
  <c r="Q713" i="1"/>
  <c r="Q721" i="1"/>
  <c r="Q729" i="1"/>
  <c r="Q737" i="1"/>
  <c r="Q745" i="1"/>
  <c r="Q753" i="1"/>
  <c r="Q761" i="1"/>
  <c r="Q769" i="1"/>
  <c r="Q777" i="1"/>
  <c r="Q785" i="1"/>
  <c r="Q793" i="1"/>
  <c r="Q801" i="1"/>
  <c r="Q809" i="1"/>
  <c r="Q817" i="1"/>
  <c r="Q825" i="1"/>
  <c r="Q833" i="1"/>
  <c r="Q841" i="1"/>
  <c r="Q849" i="1"/>
  <c r="Q857" i="1"/>
  <c r="Q865" i="1"/>
  <c r="Q873" i="1"/>
  <c r="Q881" i="1"/>
  <c r="Q889" i="1"/>
  <c r="Q897" i="1"/>
  <c r="Q905" i="1"/>
  <c r="Q913" i="1"/>
  <c r="Q921" i="1"/>
  <c r="Q929" i="1"/>
  <c r="Q937" i="1"/>
  <c r="Q945" i="1"/>
  <c r="Q953" i="1"/>
  <c r="Q961" i="1"/>
  <c r="Q969" i="1"/>
  <c r="Q977" i="1"/>
  <c r="Q985" i="1"/>
  <c r="Q993" i="1"/>
  <c r="Q1001" i="1"/>
  <c r="Q1009" i="1"/>
  <c r="Q1017" i="1"/>
  <c r="Q57" i="1"/>
  <c r="Q121" i="1"/>
  <c r="Q162" i="1"/>
  <c r="Q194" i="1"/>
  <c r="Q226" i="1"/>
  <c r="Q257" i="1"/>
  <c r="Q273" i="1"/>
  <c r="Q289" i="1"/>
  <c r="Q305" i="1"/>
  <c r="Q321" i="1"/>
  <c r="Q337" i="1"/>
  <c r="Q353" i="1"/>
  <c r="Q369" i="1"/>
  <c r="Q385" i="1"/>
  <c r="Q401" i="1"/>
  <c r="Q417" i="1"/>
  <c r="Q433" i="1"/>
  <c r="Q449" i="1"/>
  <c r="Q465" i="1"/>
  <c r="Q481" i="1"/>
  <c r="Q497" i="1"/>
  <c r="Q513" i="1"/>
  <c r="Q529" i="1"/>
  <c r="Q545" i="1"/>
  <c r="Q561" i="1"/>
  <c r="Q577" i="1"/>
  <c r="Q593" i="1"/>
  <c r="Q609" i="1"/>
  <c r="Q619" i="1"/>
  <c r="Q630" i="1"/>
  <c r="Q641" i="1"/>
  <c r="Q651" i="1"/>
  <c r="Q662" i="1"/>
  <c r="Q673" i="1"/>
  <c r="Q683" i="1"/>
  <c r="Q691" i="1"/>
  <c r="Q699" i="1"/>
  <c r="Q707" i="1"/>
  <c r="Q715" i="1"/>
  <c r="Q723" i="1"/>
  <c r="Q731" i="1"/>
  <c r="Q739" i="1"/>
  <c r="Q747" i="1"/>
  <c r="Q755" i="1"/>
  <c r="Q763" i="1"/>
  <c r="Q771" i="1"/>
  <c r="Q779" i="1"/>
  <c r="Q787" i="1"/>
  <c r="Q795" i="1"/>
  <c r="Q803" i="1"/>
  <c r="Q811" i="1"/>
  <c r="Q819" i="1"/>
  <c r="Q827" i="1"/>
  <c r="Q835" i="1"/>
  <c r="Q843" i="1"/>
  <c r="Q851" i="1"/>
  <c r="Q859" i="1"/>
  <c r="Q867" i="1"/>
  <c r="Q875" i="1"/>
  <c r="Q883" i="1"/>
  <c r="Q891" i="1"/>
  <c r="Q899" i="1"/>
  <c r="Q907" i="1"/>
  <c r="Q915" i="1"/>
  <c r="Q923" i="1"/>
  <c r="Q931" i="1"/>
  <c r="Q939" i="1"/>
  <c r="Q947" i="1"/>
  <c r="Q955" i="1"/>
  <c r="Q963" i="1"/>
  <c r="Q971" i="1"/>
  <c r="Q979" i="1"/>
  <c r="Q987" i="1"/>
  <c r="Q995" i="1"/>
  <c r="Q1003" i="1"/>
  <c r="Q1011" i="1"/>
  <c r="Q1019" i="1"/>
  <c r="Q1027" i="1"/>
  <c r="Q1035" i="1"/>
  <c r="Q1043" i="1"/>
  <c r="Q1051" i="1"/>
  <c r="Q1059" i="1"/>
  <c r="Q1067" i="1"/>
  <c r="Q1075" i="1"/>
  <c r="Q1083" i="1"/>
  <c r="Q9" i="1"/>
  <c r="Q113" i="1"/>
  <c r="Q177" i="1"/>
  <c r="Q233" i="1"/>
  <c r="Q266" i="1"/>
  <c r="Q294" i="1"/>
  <c r="Q319" i="1"/>
  <c r="Q343" i="1"/>
  <c r="Q370" i="1"/>
  <c r="Q394" i="1"/>
  <c r="Q422" i="1"/>
  <c r="Q447" i="1"/>
  <c r="Q471" i="1"/>
  <c r="Q498" i="1"/>
  <c r="Q522" i="1"/>
  <c r="Q550" i="1"/>
  <c r="Q575" i="1"/>
  <c r="Q599" i="1"/>
  <c r="Q620" i="1"/>
  <c r="Q636" i="1"/>
  <c r="Q654" i="1"/>
  <c r="Q671" i="1"/>
  <c r="Q686" i="1"/>
  <c r="Q700" i="1"/>
  <c r="Q712" i="1"/>
  <c r="Q725" i="1"/>
  <c r="Q738" i="1"/>
  <c r="Q750" i="1"/>
  <c r="Q764" i="1"/>
  <c r="Q776" i="1"/>
  <c r="Q789" i="1"/>
  <c r="Q802" i="1"/>
  <c r="Q814" i="1"/>
  <c r="Q828" i="1"/>
  <c r="Q840" i="1"/>
  <c r="Q853" i="1"/>
  <c r="Q866" i="1"/>
  <c r="Q878" i="1"/>
  <c r="Q892" i="1"/>
  <c r="Q904" i="1"/>
  <c r="Q917" i="1"/>
  <c r="Q930" i="1"/>
  <c r="Q17" i="1"/>
  <c r="Q33" i="1"/>
  <c r="Q137" i="1"/>
  <c r="Q193" i="1"/>
  <c r="Q241" i="1"/>
  <c r="Q274" i="1"/>
  <c r="Q298" i="1"/>
  <c r="Q326" i="1"/>
  <c r="Q351" i="1"/>
  <c r="Q375" i="1"/>
  <c r="Q402" i="1"/>
  <c r="Q426" i="1"/>
  <c r="Q454" i="1"/>
  <c r="Q479" i="1"/>
  <c r="Q503" i="1"/>
  <c r="Q530" i="1"/>
  <c r="Q554" i="1"/>
  <c r="Q582" i="1"/>
  <c r="Q607" i="1"/>
  <c r="Q623" i="1"/>
  <c r="Q642" i="1"/>
  <c r="Q658" i="1"/>
  <c r="Q675" i="1"/>
  <c r="Q690" i="1"/>
  <c r="Q702" i="1"/>
  <c r="Q716" i="1"/>
  <c r="Q728" i="1"/>
  <c r="Q741" i="1"/>
  <c r="Q754" i="1"/>
  <c r="Q766" i="1"/>
  <c r="Q780" i="1"/>
  <c r="Q792" i="1"/>
  <c r="Q805" i="1"/>
  <c r="Q818" i="1"/>
  <c r="Q830" i="1"/>
  <c r="Q844" i="1"/>
  <c r="Q856" i="1"/>
  <c r="Q869" i="1"/>
  <c r="Q882" i="1"/>
  <c r="Q894" i="1"/>
  <c r="Q908" i="1"/>
  <c r="Q920" i="1"/>
  <c r="Q933" i="1"/>
  <c r="Q946" i="1"/>
  <c r="Q958" i="1"/>
  <c r="Q972" i="1"/>
  <c r="Q984" i="1"/>
  <c r="Q997" i="1"/>
  <c r="Q1010" i="1"/>
  <c r="Q1022" i="1"/>
  <c r="Q1033" i="1"/>
  <c r="Q1044" i="1"/>
  <c r="Q1054" i="1"/>
  <c r="Q1065" i="1"/>
  <c r="Q1076" i="1"/>
  <c r="Q1086" i="1"/>
  <c r="Q1096" i="1"/>
  <c r="Q1104" i="1"/>
  <c r="Q1112" i="1"/>
  <c r="Q1120" i="1"/>
  <c r="Q1128" i="1"/>
  <c r="Q1136" i="1"/>
  <c r="Q1144" i="1"/>
  <c r="Q1152" i="1"/>
  <c r="Q1160" i="1"/>
  <c r="Q1168" i="1"/>
  <c r="Q1176" i="1"/>
  <c r="Q49" i="1"/>
  <c r="Q65" i="1"/>
  <c r="Q153" i="1"/>
  <c r="Q202" i="1"/>
  <c r="Q254" i="1"/>
  <c r="Q279" i="1"/>
  <c r="Q306" i="1"/>
  <c r="Q330" i="1"/>
  <c r="Q358" i="1"/>
  <c r="Q383" i="1"/>
  <c r="Q407" i="1"/>
  <c r="Q434" i="1"/>
  <c r="Q458" i="1"/>
  <c r="Q486" i="1"/>
  <c r="Q511" i="1"/>
  <c r="Q535" i="1"/>
  <c r="Q562" i="1"/>
  <c r="Q586" i="1"/>
  <c r="Q611" i="1"/>
  <c r="Q628" i="1"/>
  <c r="Q644" i="1"/>
  <c r="Q663" i="1"/>
  <c r="Q679" i="1"/>
  <c r="Q693" i="1"/>
  <c r="Q706" i="1"/>
  <c r="Q718" i="1"/>
  <c r="Q732" i="1"/>
  <c r="Q744" i="1"/>
  <c r="Q757" i="1"/>
  <c r="Q770" i="1"/>
  <c r="Q782" i="1"/>
  <c r="Q796" i="1"/>
  <c r="Q808" i="1"/>
  <c r="Q821" i="1"/>
  <c r="Q834" i="1"/>
  <c r="Q846" i="1"/>
  <c r="Q860" i="1"/>
  <c r="Q872" i="1"/>
  <c r="Q885" i="1"/>
  <c r="Q898" i="1"/>
  <c r="Q910" i="1"/>
  <c r="Q924" i="1"/>
  <c r="Q936" i="1"/>
  <c r="Q949" i="1"/>
  <c r="Q962" i="1"/>
  <c r="Q974" i="1"/>
  <c r="Q988" i="1"/>
  <c r="Q1000" i="1"/>
  <c r="Q1013" i="1"/>
  <c r="Q1025" i="1"/>
  <c r="Q1036" i="1"/>
  <c r="Q1046" i="1"/>
  <c r="Q1057" i="1"/>
  <c r="Q1068" i="1"/>
  <c r="Q1078" i="1"/>
  <c r="Q1089" i="1"/>
  <c r="Q1098" i="1"/>
  <c r="Q1106" i="1"/>
  <c r="Q1114" i="1"/>
  <c r="Q1122" i="1"/>
  <c r="Q1130" i="1"/>
  <c r="Q1138" i="1"/>
  <c r="Q1146" i="1"/>
  <c r="Q1154" i="1"/>
  <c r="Q1162" i="1"/>
  <c r="Q1170" i="1"/>
  <c r="Q1178" i="1"/>
  <c r="Q73" i="1"/>
  <c r="Q161" i="1"/>
  <c r="Q209" i="1"/>
  <c r="Q258" i="1"/>
  <c r="Q282" i="1"/>
  <c r="Q310" i="1"/>
  <c r="Q335" i="1"/>
  <c r="Q359" i="1"/>
  <c r="Q386" i="1"/>
  <c r="Q410" i="1"/>
  <c r="Q438" i="1"/>
  <c r="Q463" i="1"/>
  <c r="Q487" i="1"/>
  <c r="Q514" i="1"/>
  <c r="Q538" i="1"/>
  <c r="Q566" i="1"/>
  <c r="Q591" i="1"/>
  <c r="Q612" i="1"/>
  <c r="Q631" i="1"/>
  <c r="Q647" i="1"/>
  <c r="Q665" i="1"/>
  <c r="Q682" i="1"/>
  <c r="Q694" i="1"/>
  <c r="Q708" i="1"/>
  <c r="Q720" i="1"/>
  <c r="Q733" i="1"/>
  <c r="Q746" i="1"/>
  <c r="Q758" i="1"/>
  <c r="Q772" i="1"/>
  <c r="Q784" i="1"/>
  <c r="Q797" i="1"/>
  <c r="Q810" i="1"/>
  <c r="Q822" i="1"/>
  <c r="Q836" i="1"/>
  <c r="Q848" i="1"/>
  <c r="Q861" i="1"/>
  <c r="Q874" i="1"/>
  <c r="Q886" i="1"/>
  <c r="Q900" i="1"/>
  <c r="Q912" i="1"/>
  <c r="Q925" i="1"/>
  <c r="Q81" i="1"/>
  <c r="Q169" i="1"/>
  <c r="Q217" i="1"/>
  <c r="Q262" i="1"/>
  <c r="Q287" i="1"/>
  <c r="Q311" i="1"/>
  <c r="Q338" i="1"/>
  <c r="Q362" i="1"/>
  <c r="Q390" i="1"/>
  <c r="Q415" i="1"/>
  <c r="Q439" i="1"/>
  <c r="Q466" i="1"/>
  <c r="Q490" i="1"/>
  <c r="Q518" i="1"/>
  <c r="Q543" i="1"/>
  <c r="Q567" i="1"/>
  <c r="Q594" i="1"/>
  <c r="Q615" i="1"/>
  <c r="Q633" i="1"/>
  <c r="Q650" i="1"/>
  <c r="Q666" i="1"/>
  <c r="Q684" i="1"/>
  <c r="Q696" i="1"/>
  <c r="Q709" i="1"/>
  <c r="Q722" i="1"/>
  <c r="Q734" i="1"/>
  <c r="Q748" i="1"/>
  <c r="Q760" i="1"/>
  <c r="Q773" i="1"/>
  <c r="Q786" i="1"/>
  <c r="Q798" i="1"/>
  <c r="Q812" i="1"/>
  <c r="Q824" i="1"/>
  <c r="Q837" i="1"/>
  <c r="Q850" i="1"/>
  <c r="Q862" i="1"/>
  <c r="Q876" i="1"/>
  <c r="Q888" i="1"/>
  <c r="Q901" i="1"/>
  <c r="Q914" i="1"/>
  <c r="Q926" i="1"/>
  <c r="Q940" i="1"/>
  <c r="Q952" i="1"/>
  <c r="Q965" i="1"/>
  <c r="Q978" i="1"/>
  <c r="Q990" i="1"/>
  <c r="Q1004" i="1"/>
  <c r="Q1016" i="1"/>
  <c r="Q1028" i="1"/>
  <c r="Q1038" i="1"/>
  <c r="Q1049" i="1"/>
  <c r="Q1060" i="1"/>
  <c r="Q1070" i="1"/>
  <c r="Q1081" i="1"/>
  <c r="Q1091" i="1"/>
  <c r="Q1100" i="1"/>
  <c r="Q1108" i="1"/>
  <c r="Q1116" i="1"/>
  <c r="Q1124" i="1"/>
  <c r="Q1132" i="1"/>
  <c r="Q1140" i="1"/>
  <c r="Q1148" i="1"/>
  <c r="Q1156" i="1"/>
  <c r="Q1164" i="1"/>
  <c r="Q1172" i="1"/>
  <c r="Q1180" i="1"/>
  <c r="Q97" i="1"/>
  <c r="Q249" i="1"/>
  <c r="Q322" i="1"/>
  <c r="Q391" i="1"/>
  <c r="Q455" i="1"/>
  <c r="Q527" i="1"/>
  <c r="Q598" i="1"/>
  <c r="Q643" i="1"/>
  <c r="Q688" i="1"/>
  <c r="Q724" i="1"/>
  <c r="Q756" i="1"/>
  <c r="Q790" i="1"/>
  <c r="Q826" i="1"/>
  <c r="Q858" i="1"/>
  <c r="Q893" i="1"/>
  <c r="Q928" i="1"/>
  <c r="Q950" i="1"/>
  <c r="Q970" i="1"/>
  <c r="Q992" i="1"/>
  <c r="Q1012" i="1"/>
  <c r="Q1030" i="1"/>
  <c r="Q1048" i="1"/>
  <c r="Q1064" i="1"/>
  <c r="Q1082" i="1"/>
  <c r="Q1097" i="1"/>
  <c r="Q1110" i="1"/>
  <c r="Q1123" i="1"/>
  <c r="Q1135" i="1"/>
  <c r="Q1149" i="1"/>
  <c r="Q1161" i="1"/>
  <c r="Q1174" i="1"/>
  <c r="Q129" i="1"/>
  <c r="Q263" i="1"/>
  <c r="Q327" i="1"/>
  <c r="Q399" i="1"/>
  <c r="Q470" i="1"/>
  <c r="Q534" i="1"/>
  <c r="Q602" i="1"/>
  <c r="Q652" i="1"/>
  <c r="Q692" i="1"/>
  <c r="Q726" i="1"/>
  <c r="Q762" i="1"/>
  <c r="Q794" i="1"/>
  <c r="Q829" i="1"/>
  <c r="Q864" i="1"/>
  <c r="Q896" i="1"/>
  <c r="Q932" i="1"/>
  <c r="Q954" i="1"/>
  <c r="Q973" i="1"/>
  <c r="Q994" i="1"/>
  <c r="Q1014" i="1"/>
  <c r="Q1032" i="1"/>
  <c r="Q1050" i="1"/>
  <c r="Q1066" i="1"/>
  <c r="Q1084" i="1"/>
  <c r="Q1099" i="1"/>
  <c r="Q1111" i="1"/>
  <c r="Q1125" i="1"/>
  <c r="Q1137" i="1"/>
  <c r="Q1150" i="1"/>
  <c r="Q1163" i="1"/>
  <c r="Q1175" i="1"/>
  <c r="Q145" i="1"/>
  <c r="Q271" i="1"/>
  <c r="Q342" i="1"/>
  <c r="Q406" i="1"/>
  <c r="Q474" i="1"/>
  <c r="Q546" i="1"/>
  <c r="Q610" i="1"/>
  <c r="Q655" i="1"/>
  <c r="Q698" i="1"/>
  <c r="Q730" i="1"/>
  <c r="Q765" i="1"/>
  <c r="Q800" i="1"/>
  <c r="Q832" i="1"/>
  <c r="Q868" i="1"/>
  <c r="Q902" i="1"/>
  <c r="Q934" i="1"/>
  <c r="Q956" i="1"/>
  <c r="Q976" i="1"/>
  <c r="Q996" i="1"/>
  <c r="Q1018" i="1"/>
  <c r="Q1034" i="1"/>
  <c r="Q1052" i="1"/>
  <c r="Q1069" i="1"/>
  <c r="Q1085" i="1"/>
  <c r="Q1101" i="1"/>
  <c r="Q1113" i="1"/>
  <c r="Q1126" i="1"/>
  <c r="Q1139" i="1"/>
  <c r="Q1151" i="1"/>
  <c r="Q1165" i="1"/>
  <c r="Q1177" i="1"/>
  <c r="Q170" i="1"/>
  <c r="Q278" i="1"/>
  <c r="Q346" i="1"/>
  <c r="Q418" i="1"/>
  <c r="Q482" i="1"/>
  <c r="Q551" i="1"/>
  <c r="Q618" i="1"/>
  <c r="Q660" i="1"/>
  <c r="Q701" i="1"/>
  <c r="Q736" i="1"/>
  <c r="Q768" i="1"/>
  <c r="Q804" i="1"/>
  <c r="Q838" i="1"/>
  <c r="Q870" i="1"/>
  <c r="Q906" i="1"/>
  <c r="Q938" i="1"/>
  <c r="Q957" i="1"/>
  <c r="Q980" i="1"/>
  <c r="Q998" i="1"/>
  <c r="Q1020" i="1"/>
  <c r="Q1037" i="1"/>
  <c r="Q1053" i="1"/>
  <c r="Q1072" i="1"/>
  <c r="Q1088" i="1"/>
  <c r="Q1102" i="1"/>
  <c r="Q1115" i="1"/>
  <c r="Q1127" i="1"/>
  <c r="Q1141" i="1"/>
  <c r="Q1153" i="1"/>
  <c r="Q1166" i="1"/>
  <c r="Q1179" i="1"/>
  <c r="Q185" i="1"/>
  <c r="Q290" i="1"/>
  <c r="Q354" i="1"/>
  <c r="Q423" i="1"/>
  <c r="Q495" i="1"/>
  <c r="Q559" i="1"/>
  <c r="Q622" i="1"/>
  <c r="Q668" i="1"/>
  <c r="Q704" i="1"/>
  <c r="Q740" i="1"/>
  <c r="Q774" i="1"/>
  <c r="Q806" i="1"/>
  <c r="Q842" i="1"/>
  <c r="Q877" i="1"/>
  <c r="Q909" i="1"/>
  <c r="Q941" i="1"/>
  <c r="Q960" i="1"/>
  <c r="Q981" i="1"/>
  <c r="Q1002" i="1"/>
  <c r="Q1021" i="1"/>
  <c r="Q1040" i="1"/>
  <c r="Q1056" i="1"/>
  <c r="Q1073" i="1"/>
  <c r="Q1090" i="1"/>
  <c r="Q1103" i="1"/>
  <c r="Q1117" i="1"/>
  <c r="Q1129" i="1"/>
  <c r="Q1142" i="1"/>
  <c r="Q1155" i="1"/>
  <c r="Q1167" i="1"/>
  <c r="Q1181" i="1"/>
  <c r="Q201" i="1"/>
  <c r="Q295" i="1"/>
  <c r="Q367" i="1"/>
  <c r="Q431" i="1"/>
  <c r="Q502" i="1"/>
  <c r="Q570" i="1"/>
  <c r="Q626" i="1"/>
  <c r="Q674" i="1"/>
  <c r="Q710" i="1"/>
  <c r="Q742" i="1"/>
  <c r="Q778" i="1"/>
  <c r="Q813" i="1"/>
  <c r="Q845" i="1"/>
  <c r="Q880" i="1"/>
  <c r="Q916" i="1"/>
  <c r="Q942" i="1"/>
  <c r="Q964" i="1"/>
  <c r="Q982" i="1"/>
  <c r="Q1005" i="1"/>
  <c r="Q1024" i="1"/>
  <c r="Q1041" i="1"/>
  <c r="Q1058" i="1"/>
  <c r="Q1074" i="1"/>
  <c r="Q1092" i="1"/>
  <c r="Q1105" i="1"/>
  <c r="Q1118" i="1"/>
  <c r="Q1131" i="1"/>
  <c r="Q1143" i="1"/>
  <c r="Q1157" i="1"/>
  <c r="Q1169" i="1"/>
  <c r="Q225" i="1"/>
  <c r="Q303" i="1"/>
  <c r="Q374" i="1"/>
  <c r="Q442" i="1"/>
  <c r="Q506" i="1"/>
  <c r="Q578" i="1"/>
  <c r="Q634" i="1"/>
  <c r="Q676" i="1"/>
  <c r="Q714" i="1"/>
  <c r="Q749" i="1"/>
  <c r="Q781" i="1"/>
  <c r="Q816" i="1"/>
  <c r="Q852" i="1"/>
  <c r="Q884" i="1"/>
  <c r="Q918" i="1"/>
  <c r="Q944" i="1"/>
  <c r="Q966" i="1"/>
  <c r="Q986" i="1"/>
  <c r="Q1006" i="1"/>
  <c r="Q1026" i="1"/>
  <c r="Q1042" i="1"/>
  <c r="Q1061" i="1"/>
  <c r="Q1077" i="1"/>
  <c r="Q1093" i="1"/>
  <c r="Q1107" i="1"/>
  <c r="Q1119" i="1"/>
  <c r="Q1133" i="1"/>
  <c r="Q1145" i="1"/>
  <c r="Q1158" i="1"/>
  <c r="Q1171" i="1"/>
  <c r="Q234" i="1"/>
  <c r="Q717" i="1"/>
  <c r="Q968" i="1"/>
  <c r="Q1109" i="1"/>
  <c r="Q314" i="1"/>
  <c r="Q752" i="1"/>
  <c r="Q989" i="1"/>
  <c r="Q1121" i="1"/>
  <c r="Q378" i="1"/>
  <c r="Q788" i="1"/>
  <c r="Q1008" i="1"/>
  <c r="Q1134" i="1"/>
  <c r="Q450" i="1"/>
  <c r="Q820" i="1"/>
  <c r="Q1029" i="1"/>
  <c r="Q1147" i="1"/>
  <c r="Q922" i="1"/>
  <c r="Q519" i="1"/>
  <c r="Q854" i="1"/>
  <c r="Q1045" i="1"/>
  <c r="Q1159" i="1"/>
  <c r="Q639" i="1"/>
  <c r="Q583" i="1"/>
  <c r="Q890" i="1"/>
  <c r="Q1062" i="1"/>
  <c r="Q1173" i="1"/>
  <c r="Q1080" i="1"/>
  <c r="Q685" i="1"/>
  <c r="Q948" i="1"/>
  <c r="Q1094" i="1"/>
  <c r="S2" i="1" l="1"/>
  <c r="S4" i="1"/>
  <c r="S3" i="1"/>
  <c r="S8" i="1" l="1"/>
  <c r="S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0D5CF5-6E17-4BC5-8229-952AB66D522B}"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545DE27-FEDD-4360-B8FD-A2A251F0C436}" name="WorksheetConnection_dataset_02_restaurante_operacion_Trabajado.xlsx!Data_Set_2" type="102" refreshedVersion="8" minRefreshableVersion="5">
    <extLst>
      <ext xmlns:x15="http://schemas.microsoft.com/office/spreadsheetml/2010/11/main" uri="{DE250136-89BD-433C-8126-D09CA5730AF9}">
        <x15:connection id="Data_Set_2">
          <x15:rangePr sourceName="_xlcn.WorksheetConnection_dataset_02_restaurante_operacion_Trabajado.xlsxData_Set_2"/>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<sst xmlns="http://schemas.openxmlformats.org/spreadsheetml/2006/main" count="7207" uniqueCount="1272">
  <si>
    <t>orden_id</t>
  </si>
  <si>
    <t>fecha_orden</t>
  </si>
  <si>
    <t>hora_orden</t>
  </si>
  <si>
    <t>sede</t>
  </si>
  <si>
    <t>tipo_servicio</t>
  </si>
  <si>
    <t>categoria_menu</t>
  </si>
  <si>
    <t>items</t>
  </si>
  <si>
    <t>valor_bruto</t>
  </si>
  <si>
    <t>descuento_cupon</t>
  </si>
  <si>
    <t>tiempo_preparacion_min</t>
  </si>
  <si>
    <t>tiempo_entrega_min</t>
  </si>
  <si>
    <t>medio_pago</t>
  </si>
  <si>
    <t>estado</t>
  </si>
  <si>
    <t>calificacion</t>
  </si>
  <si>
    <t>RES-100000</t>
  </si>
  <si>
    <t>Laureles</t>
  </si>
  <si>
    <t>Mesa</t>
  </si>
  <si>
    <t>Comida rapida</t>
  </si>
  <si>
    <t>Tarjeta</t>
  </si>
  <si>
    <t>Entregada</t>
  </si>
  <si>
    <t>RES-100001</t>
  </si>
  <si>
    <t>Poblado</t>
  </si>
  <si>
    <t>Domicilio</t>
  </si>
  <si>
    <t>Pasta</t>
  </si>
  <si>
    <t>Efectivo</t>
  </si>
  <si>
    <t>Cancelada</t>
  </si>
  <si>
    <t>RES-100002</t>
  </si>
  <si>
    <t>Centro</t>
  </si>
  <si>
    <t>Recoge</t>
  </si>
  <si>
    <t>Parrilla</t>
  </si>
  <si>
    <t>App</t>
  </si>
  <si>
    <t>Reembolsada</t>
  </si>
  <si>
    <t>RES-100003</t>
  </si>
  <si>
    <t>Envigado</t>
  </si>
  <si>
    <t>Vegano</t>
  </si>
  <si>
    <t>RES-100004</t>
  </si>
  <si>
    <t>Bebidas</t>
  </si>
  <si>
    <t>RES-100005</t>
  </si>
  <si>
    <t>RES-100006</t>
  </si>
  <si>
    <t>RES-100007</t>
  </si>
  <si>
    <t>RES-100008</t>
  </si>
  <si>
    <t>RES-100009</t>
  </si>
  <si>
    <t>RES-100010</t>
  </si>
  <si>
    <t>RES-100011</t>
  </si>
  <si>
    <t>RES-100012</t>
  </si>
  <si>
    <t>RES-100013</t>
  </si>
  <si>
    <t>RES-100014</t>
  </si>
  <si>
    <t>RES-100015</t>
  </si>
  <si>
    <t>RES-100016</t>
  </si>
  <si>
    <t>RES-100017</t>
  </si>
  <si>
    <t>RES-100018</t>
  </si>
  <si>
    <t>RES-100019</t>
  </si>
  <si>
    <t>RES-100020</t>
  </si>
  <si>
    <t>RES-100021</t>
  </si>
  <si>
    <t>RES-100022</t>
  </si>
  <si>
    <t>RES-100023</t>
  </si>
  <si>
    <t>RES-100024</t>
  </si>
  <si>
    <t>RES-100025</t>
  </si>
  <si>
    <t>RES-100026</t>
  </si>
  <si>
    <t>RES-100027</t>
  </si>
  <si>
    <t>RES-100028</t>
  </si>
  <si>
    <t>RES-100029</t>
  </si>
  <si>
    <t>RES-100030</t>
  </si>
  <si>
    <t>RES-100031</t>
  </si>
  <si>
    <t>RES-100032</t>
  </si>
  <si>
    <t>RES-100033</t>
  </si>
  <si>
    <t>RES-100034</t>
  </si>
  <si>
    <t>RES-100035</t>
  </si>
  <si>
    <t>RES-100036</t>
  </si>
  <si>
    <t>RES-100037</t>
  </si>
  <si>
    <t>RES-100038</t>
  </si>
  <si>
    <t>RES-100039</t>
  </si>
  <si>
    <t>RES-100040</t>
  </si>
  <si>
    <t>RES-100041</t>
  </si>
  <si>
    <t>RES-100042</t>
  </si>
  <si>
    <t>RES-100043</t>
  </si>
  <si>
    <t>RES-100044</t>
  </si>
  <si>
    <t>RES-100045</t>
  </si>
  <si>
    <t>RES-100046</t>
  </si>
  <si>
    <t>RES-100047</t>
  </si>
  <si>
    <t>RES-100048</t>
  </si>
  <si>
    <t>RES-100049</t>
  </si>
  <si>
    <t>RES-100050</t>
  </si>
  <si>
    <t>RES-100051</t>
  </si>
  <si>
    <t>RES-100052</t>
  </si>
  <si>
    <t>RES-100053</t>
  </si>
  <si>
    <t>RES-100054</t>
  </si>
  <si>
    <t>RES-100055</t>
  </si>
  <si>
    <t>RES-100056</t>
  </si>
  <si>
    <t>RES-100057</t>
  </si>
  <si>
    <t>RES-100058</t>
  </si>
  <si>
    <t>RES-100059</t>
  </si>
  <si>
    <t>RES-100060</t>
  </si>
  <si>
    <t>RES-100061</t>
  </si>
  <si>
    <t>RES-100062</t>
  </si>
  <si>
    <t>RES-100063</t>
  </si>
  <si>
    <t>RES-100064</t>
  </si>
  <si>
    <t>RES-100065</t>
  </si>
  <si>
    <t>RES-100066</t>
  </si>
  <si>
    <t>RES-100067</t>
  </si>
  <si>
    <t>RES-100068</t>
  </si>
  <si>
    <t>RES-100069</t>
  </si>
  <si>
    <t>RES-100070</t>
  </si>
  <si>
    <t>RES-100071</t>
  </si>
  <si>
    <t>RES-100072</t>
  </si>
  <si>
    <t>RES-100073</t>
  </si>
  <si>
    <t>RES-100074</t>
  </si>
  <si>
    <t>RES-100075</t>
  </si>
  <si>
    <t>RES-100076</t>
  </si>
  <si>
    <t>RES-100077</t>
  </si>
  <si>
    <t>RES-100078</t>
  </si>
  <si>
    <t>RES-100079</t>
  </si>
  <si>
    <t>RES-100080</t>
  </si>
  <si>
    <t>RES-100081</t>
  </si>
  <si>
    <t>RES-100082</t>
  </si>
  <si>
    <t>RES-100083</t>
  </si>
  <si>
    <t>RES-100084</t>
  </si>
  <si>
    <t>RES-100085</t>
  </si>
  <si>
    <t>RES-100086</t>
  </si>
  <si>
    <t>RES-100087</t>
  </si>
  <si>
    <t>RES-100088</t>
  </si>
  <si>
    <t>RES-100089</t>
  </si>
  <si>
    <t>RES-100090</t>
  </si>
  <si>
    <t>RES-100091</t>
  </si>
  <si>
    <t>RES-100092</t>
  </si>
  <si>
    <t>RES-100093</t>
  </si>
  <si>
    <t>RES-100094</t>
  </si>
  <si>
    <t>RES-100095</t>
  </si>
  <si>
    <t>RES-100096</t>
  </si>
  <si>
    <t>RES-100097</t>
  </si>
  <si>
    <t>RES-100098</t>
  </si>
  <si>
    <t>RES-100099</t>
  </si>
  <si>
    <t>RES-100100</t>
  </si>
  <si>
    <t>RES-100101</t>
  </si>
  <si>
    <t>RES-100102</t>
  </si>
  <si>
    <t>RES-100103</t>
  </si>
  <si>
    <t>RES-100104</t>
  </si>
  <si>
    <t>RES-100105</t>
  </si>
  <si>
    <t>RES-100106</t>
  </si>
  <si>
    <t>RES-100107</t>
  </si>
  <si>
    <t>RES-100108</t>
  </si>
  <si>
    <t>RES-100109</t>
  </si>
  <si>
    <t>RES-100110</t>
  </si>
  <si>
    <t>RES-100111</t>
  </si>
  <si>
    <t>RES-100112</t>
  </si>
  <si>
    <t>RES-100113</t>
  </si>
  <si>
    <t>RES-100114</t>
  </si>
  <si>
    <t>RES-100115</t>
  </si>
  <si>
    <t>RES-100116</t>
  </si>
  <si>
    <t>RES-100117</t>
  </si>
  <si>
    <t>RES-100118</t>
  </si>
  <si>
    <t>RES-100119</t>
  </si>
  <si>
    <t>RES-100120</t>
  </si>
  <si>
    <t>RES-100121</t>
  </si>
  <si>
    <t>RES-100122</t>
  </si>
  <si>
    <t>RES-100123</t>
  </si>
  <si>
    <t>RES-100124</t>
  </si>
  <si>
    <t>RES-100125</t>
  </si>
  <si>
    <t>RES-100126</t>
  </si>
  <si>
    <t>RES-100127</t>
  </si>
  <si>
    <t>RES-100128</t>
  </si>
  <si>
    <t>RES-100129</t>
  </si>
  <si>
    <t>RES-100130</t>
  </si>
  <si>
    <t>RES-100131</t>
  </si>
  <si>
    <t>RES-100132</t>
  </si>
  <si>
    <t>RES-100133</t>
  </si>
  <si>
    <t>RES-100134</t>
  </si>
  <si>
    <t>RES-100135</t>
  </si>
  <si>
    <t>RES-100136</t>
  </si>
  <si>
    <t>RES-100137</t>
  </si>
  <si>
    <t>RES-100138</t>
  </si>
  <si>
    <t>RES-100139</t>
  </si>
  <si>
    <t>RES-100140</t>
  </si>
  <si>
    <t>RES-100141</t>
  </si>
  <si>
    <t>RES-100142</t>
  </si>
  <si>
    <t>RES-100143</t>
  </si>
  <si>
    <t>RES-100144</t>
  </si>
  <si>
    <t>RES-100145</t>
  </si>
  <si>
    <t>RES-100146</t>
  </si>
  <si>
    <t>RES-100147</t>
  </si>
  <si>
    <t>RES-100148</t>
  </si>
  <si>
    <t>RES-100149</t>
  </si>
  <si>
    <t>RES-100150</t>
  </si>
  <si>
    <t>RES-100151</t>
  </si>
  <si>
    <t>RES-100152</t>
  </si>
  <si>
    <t>RES-100153</t>
  </si>
  <si>
    <t>RES-100154</t>
  </si>
  <si>
    <t>RES-100155</t>
  </si>
  <si>
    <t>RES-100156</t>
  </si>
  <si>
    <t>RES-100157</t>
  </si>
  <si>
    <t>RES-100158</t>
  </si>
  <si>
    <t>RES-100159</t>
  </si>
  <si>
    <t>RES-100160</t>
  </si>
  <si>
    <t>RES-100161</t>
  </si>
  <si>
    <t>RES-100162</t>
  </si>
  <si>
    <t>RES-100163</t>
  </si>
  <si>
    <t>RES-100164</t>
  </si>
  <si>
    <t>RES-100165</t>
  </si>
  <si>
    <t>RES-100166</t>
  </si>
  <si>
    <t>RES-100167</t>
  </si>
  <si>
    <t>RES-100168</t>
  </si>
  <si>
    <t>RES-100169</t>
  </si>
  <si>
    <t>RES-100170</t>
  </si>
  <si>
    <t>RES-100171</t>
  </si>
  <si>
    <t>RES-100172</t>
  </si>
  <si>
    <t>RES-100173</t>
  </si>
  <si>
    <t>RES-100174</t>
  </si>
  <si>
    <t>RES-100175</t>
  </si>
  <si>
    <t>RES-100176</t>
  </si>
  <si>
    <t>RES-100177</t>
  </si>
  <si>
    <t>RES-100178</t>
  </si>
  <si>
    <t>RES-100179</t>
  </si>
  <si>
    <t>RES-100180</t>
  </si>
  <si>
    <t>RES-100181</t>
  </si>
  <si>
    <t>RES-100182</t>
  </si>
  <si>
    <t>RES-100183</t>
  </si>
  <si>
    <t>RES-100184</t>
  </si>
  <si>
    <t>RES-100185</t>
  </si>
  <si>
    <t>RES-100186</t>
  </si>
  <si>
    <t>RES-100187</t>
  </si>
  <si>
    <t>RES-100188</t>
  </si>
  <si>
    <t>RES-100189</t>
  </si>
  <si>
    <t>RES-100190</t>
  </si>
  <si>
    <t>RES-100191</t>
  </si>
  <si>
    <t>RES-100192</t>
  </si>
  <si>
    <t>RES-100193</t>
  </si>
  <si>
    <t>RES-100194</t>
  </si>
  <si>
    <t>RES-100195</t>
  </si>
  <si>
    <t>RES-100196</t>
  </si>
  <si>
    <t>RES-100197</t>
  </si>
  <si>
    <t>RES-100198</t>
  </si>
  <si>
    <t>RES-100199</t>
  </si>
  <si>
    <t>RES-100200</t>
  </si>
  <si>
    <t>RES-100201</t>
  </si>
  <si>
    <t>RES-100202</t>
  </si>
  <si>
    <t>RES-100203</t>
  </si>
  <si>
    <t>RES-100204</t>
  </si>
  <si>
    <t>RES-100205</t>
  </si>
  <si>
    <t>RES-100206</t>
  </si>
  <si>
    <t>RES-100207</t>
  </si>
  <si>
    <t>RES-100208</t>
  </si>
  <si>
    <t>RES-100209</t>
  </si>
  <si>
    <t>RES-100210</t>
  </si>
  <si>
    <t>RES-100211</t>
  </si>
  <si>
    <t>RES-100212</t>
  </si>
  <si>
    <t>RES-100213</t>
  </si>
  <si>
    <t>RES-100214</t>
  </si>
  <si>
    <t>RES-100215</t>
  </si>
  <si>
    <t>RES-100216</t>
  </si>
  <si>
    <t>RES-100217</t>
  </si>
  <si>
    <t>RES-100218</t>
  </si>
  <si>
    <t>RES-100219</t>
  </si>
  <si>
    <t>RES-100220</t>
  </si>
  <si>
    <t>RES-100221</t>
  </si>
  <si>
    <t>RES-100222</t>
  </si>
  <si>
    <t>RES-100223</t>
  </si>
  <si>
    <t>RES-100224</t>
  </si>
  <si>
    <t>RES-100225</t>
  </si>
  <si>
    <t>RES-100226</t>
  </si>
  <si>
    <t>RES-100227</t>
  </si>
  <si>
    <t>RES-100228</t>
  </si>
  <si>
    <t>RES-100229</t>
  </si>
  <si>
    <t>RES-100230</t>
  </si>
  <si>
    <t>RES-100231</t>
  </si>
  <si>
    <t>RES-100232</t>
  </si>
  <si>
    <t>RES-100233</t>
  </si>
  <si>
    <t>RES-100234</t>
  </si>
  <si>
    <t>RES-100235</t>
  </si>
  <si>
    <t>RES-100236</t>
  </si>
  <si>
    <t>RES-100237</t>
  </si>
  <si>
    <t>RES-100238</t>
  </si>
  <si>
    <t>RES-100239</t>
  </si>
  <si>
    <t>RES-100240</t>
  </si>
  <si>
    <t>RES-100241</t>
  </si>
  <si>
    <t>RES-100242</t>
  </si>
  <si>
    <t>RES-100243</t>
  </si>
  <si>
    <t>RES-100244</t>
  </si>
  <si>
    <t>RES-100245</t>
  </si>
  <si>
    <t>255.2</t>
  </si>
  <si>
    <t>RES-100246</t>
  </si>
  <si>
    <t>RES-100247</t>
  </si>
  <si>
    <t>RES-100248</t>
  </si>
  <si>
    <t>RES-100249</t>
  </si>
  <si>
    <t>RES-100250</t>
  </si>
  <si>
    <t>RES-100251</t>
  </si>
  <si>
    <t>RES-100252</t>
  </si>
  <si>
    <t>RES-100253</t>
  </si>
  <si>
    <t>RES-100254</t>
  </si>
  <si>
    <t>RES-100255</t>
  </si>
  <si>
    <t>RES-100256</t>
  </si>
  <si>
    <t>RES-100257</t>
  </si>
  <si>
    <t>RES-100258</t>
  </si>
  <si>
    <t>RES-100259</t>
  </si>
  <si>
    <t>RES-100260</t>
  </si>
  <si>
    <t>RES-100261</t>
  </si>
  <si>
    <t>RES-100262</t>
  </si>
  <si>
    <t>RES-100263</t>
  </si>
  <si>
    <t>RES-100264</t>
  </si>
  <si>
    <t>RES-100265</t>
  </si>
  <si>
    <t>RES-100266</t>
  </si>
  <si>
    <t>RES-100267</t>
  </si>
  <si>
    <t>RES-100268</t>
  </si>
  <si>
    <t>RES-100269</t>
  </si>
  <si>
    <t>RES-100270</t>
  </si>
  <si>
    <t>RES-100271</t>
  </si>
  <si>
    <t>RES-100272</t>
  </si>
  <si>
    <t>RES-100273</t>
  </si>
  <si>
    <t>307.4</t>
  </si>
  <si>
    <t>RES-100274</t>
  </si>
  <si>
    <t>RES-100275</t>
  </si>
  <si>
    <t>RES-100276</t>
  </si>
  <si>
    <t>RES-100277</t>
  </si>
  <si>
    <t>RES-100278</t>
  </si>
  <si>
    <t>RES-100279</t>
  </si>
  <si>
    <t>RES-100280</t>
  </si>
  <si>
    <t>RES-100281</t>
  </si>
  <si>
    <t>RES-100282</t>
  </si>
  <si>
    <t>RES-100283</t>
  </si>
  <si>
    <t>RES-100284</t>
  </si>
  <si>
    <t>RES-100285</t>
  </si>
  <si>
    <t>179.8</t>
  </si>
  <si>
    <t>RES-100286</t>
  </si>
  <si>
    <t>RES-100287</t>
  </si>
  <si>
    <t>RES-100288</t>
  </si>
  <si>
    <t>RES-100289</t>
  </si>
  <si>
    <t>RES-100290</t>
  </si>
  <si>
    <t>RES-100291</t>
  </si>
  <si>
    <t>RES-100292</t>
  </si>
  <si>
    <t>RES-100293</t>
  </si>
  <si>
    <t>RES-100294</t>
  </si>
  <si>
    <t>RES-100295</t>
  </si>
  <si>
    <t>RES-100296</t>
  </si>
  <si>
    <t>RES-100297</t>
  </si>
  <si>
    <t>RES-100298</t>
  </si>
  <si>
    <t>RES-100299</t>
  </si>
  <si>
    <t>RES-100300</t>
  </si>
  <si>
    <t>RES-100301</t>
  </si>
  <si>
    <t>RES-100302</t>
  </si>
  <si>
    <t>RES-100303</t>
  </si>
  <si>
    <t>RES-100304</t>
  </si>
  <si>
    <t>RES-100305</t>
  </si>
  <si>
    <t>RES-100306</t>
  </si>
  <si>
    <t>RES-100307</t>
  </si>
  <si>
    <t>RES-100308</t>
  </si>
  <si>
    <t>RES-100309</t>
  </si>
  <si>
    <t>RES-100310</t>
  </si>
  <si>
    <t>RES-100311</t>
  </si>
  <si>
    <t>RES-100312</t>
  </si>
  <si>
    <t>RES-100313</t>
  </si>
  <si>
    <t>RES-100314</t>
  </si>
  <si>
    <t>RES-100315</t>
  </si>
  <si>
    <t>RES-100316</t>
  </si>
  <si>
    <t>RES-100317</t>
  </si>
  <si>
    <t>RES-100318</t>
  </si>
  <si>
    <t>RES-100319</t>
  </si>
  <si>
    <t>RES-100320</t>
  </si>
  <si>
    <t>RES-100321</t>
  </si>
  <si>
    <t>RES-100322</t>
  </si>
  <si>
    <t>RES-100323</t>
  </si>
  <si>
    <t>RES-100324</t>
  </si>
  <si>
    <t>RES-100325</t>
  </si>
  <si>
    <t>RES-100326</t>
  </si>
  <si>
    <t>RES-100327</t>
  </si>
  <si>
    <t>RES-100328</t>
  </si>
  <si>
    <t>RES-100329</t>
  </si>
  <si>
    <t>RES-100330</t>
  </si>
  <si>
    <t>RES-100331</t>
  </si>
  <si>
    <t>RES-100332</t>
  </si>
  <si>
    <t>RES-100333</t>
  </si>
  <si>
    <t>RES-100334</t>
  </si>
  <si>
    <t>RES-100335</t>
  </si>
  <si>
    <t>RES-100336</t>
  </si>
  <si>
    <t>RES-100337</t>
  </si>
  <si>
    <t>RES-100338</t>
  </si>
  <si>
    <t>RES-100339</t>
  </si>
  <si>
    <t>RES-100340</t>
  </si>
  <si>
    <t>RES-100341</t>
  </si>
  <si>
    <t>RES-100342</t>
  </si>
  <si>
    <t>RES-100343</t>
  </si>
  <si>
    <t>RES-100344</t>
  </si>
  <si>
    <t>RES-100345</t>
  </si>
  <si>
    <t>RES-100346</t>
  </si>
  <si>
    <t>RES-100347</t>
  </si>
  <si>
    <t>RES-100348</t>
  </si>
  <si>
    <t>RES-100349</t>
  </si>
  <si>
    <t>RES-100350</t>
  </si>
  <si>
    <t>RES-100351</t>
  </si>
  <si>
    <t>RES-100352</t>
  </si>
  <si>
    <t>RES-100353</t>
  </si>
  <si>
    <t>RES-100354</t>
  </si>
  <si>
    <t>RES-100355</t>
  </si>
  <si>
    <t>RES-100356</t>
  </si>
  <si>
    <t>RES-100357</t>
  </si>
  <si>
    <t>RES-100358</t>
  </si>
  <si>
    <t>RES-100359</t>
  </si>
  <si>
    <t>RES-100360</t>
  </si>
  <si>
    <t>RES-100361</t>
  </si>
  <si>
    <t>RES-100362</t>
  </si>
  <si>
    <t>RES-100363</t>
  </si>
  <si>
    <t>RES-100364</t>
  </si>
  <si>
    <t>RES-100365</t>
  </si>
  <si>
    <t>RES-100366</t>
  </si>
  <si>
    <t>RES-100367</t>
  </si>
  <si>
    <t>RES-100368</t>
  </si>
  <si>
    <t>RES-100369</t>
  </si>
  <si>
    <t>RES-100370</t>
  </si>
  <si>
    <t>RES-100371</t>
  </si>
  <si>
    <t>RES-100372</t>
  </si>
  <si>
    <t>RES-100373</t>
  </si>
  <si>
    <t>RES-100374</t>
  </si>
  <si>
    <t>RES-100375</t>
  </si>
  <si>
    <t>RES-100376</t>
  </si>
  <si>
    <t>RES-100377</t>
  </si>
  <si>
    <t>RES-100378</t>
  </si>
  <si>
    <t>RES-100379</t>
  </si>
  <si>
    <t>RES-100380</t>
  </si>
  <si>
    <t>RES-100381</t>
  </si>
  <si>
    <t>RES-100382</t>
  </si>
  <si>
    <t>RES-100383</t>
  </si>
  <si>
    <t>RES-100384</t>
  </si>
  <si>
    <t>RES-100385</t>
  </si>
  <si>
    <t>RES-100386</t>
  </si>
  <si>
    <t>RES-100387</t>
  </si>
  <si>
    <t>RES-100388</t>
  </si>
  <si>
    <t>RES-100389</t>
  </si>
  <si>
    <t>RES-100390</t>
  </si>
  <si>
    <t>RES-100391</t>
  </si>
  <si>
    <t>RES-100392</t>
  </si>
  <si>
    <t>RES-100393</t>
  </si>
  <si>
    <t>RES-100394</t>
  </si>
  <si>
    <t>RES-100395</t>
  </si>
  <si>
    <t>RES-100396</t>
  </si>
  <si>
    <t>RES-100397</t>
  </si>
  <si>
    <t>RES-100398</t>
  </si>
  <si>
    <t>RES-100399</t>
  </si>
  <si>
    <t>RES-100400</t>
  </si>
  <si>
    <t>RES-100401</t>
  </si>
  <si>
    <t>RES-100402</t>
  </si>
  <si>
    <t>RES-100403</t>
  </si>
  <si>
    <t>RES-100404</t>
  </si>
  <si>
    <t>RES-100405</t>
  </si>
  <si>
    <t>RES-100406</t>
  </si>
  <si>
    <t>RES-100407</t>
  </si>
  <si>
    <t>RES-100408</t>
  </si>
  <si>
    <t>RES-100409</t>
  </si>
  <si>
    <t>RES-100410</t>
  </si>
  <si>
    <t>RES-100411</t>
  </si>
  <si>
    <t>RES-100412</t>
  </si>
  <si>
    <t>RES-100413</t>
  </si>
  <si>
    <t>RES-100414</t>
  </si>
  <si>
    <t>RES-100415</t>
  </si>
  <si>
    <t>RES-100416</t>
  </si>
  <si>
    <t>RES-100417</t>
  </si>
  <si>
    <t>RES-100418</t>
  </si>
  <si>
    <t>RES-100419</t>
  </si>
  <si>
    <t>RES-100420</t>
  </si>
  <si>
    <t>RES-100421</t>
  </si>
  <si>
    <t>RES-100422</t>
  </si>
  <si>
    <t>RES-100423</t>
  </si>
  <si>
    <t>RES-100424</t>
  </si>
  <si>
    <t>RES-100425</t>
  </si>
  <si>
    <t>RES-100426</t>
  </si>
  <si>
    <t>RES-100427</t>
  </si>
  <si>
    <t>RES-100428</t>
  </si>
  <si>
    <t>RES-100429</t>
  </si>
  <si>
    <t>RES-100430</t>
  </si>
  <si>
    <t>RES-100431</t>
  </si>
  <si>
    <t>RES-100432</t>
  </si>
  <si>
    <t>284.2</t>
  </si>
  <si>
    <t>RES-100433</t>
  </si>
  <si>
    <t>RES-100434</t>
  </si>
  <si>
    <t>RES-100435</t>
  </si>
  <si>
    <t>RES-100436</t>
  </si>
  <si>
    <t>RES-100437</t>
  </si>
  <si>
    <t>RES-100438</t>
  </si>
  <si>
    <t>RES-100439</t>
  </si>
  <si>
    <t>RES-100440</t>
  </si>
  <si>
    <t>RES-100441</t>
  </si>
  <si>
    <t>RES-100442</t>
  </si>
  <si>
    <t>RES-100443</t>
  </si>
  <si>
    <t>RES-100444</t>
  </si>
  <si>
    <t>RES-100445</t>
  </si>
  <si>
    <t>RES-100446</t>
  </si>
  <si>
    <t>RES-100447</t>
  </si>
  <si>
    <t>RES-100448</t>
  </si>
  <si>
    <t>RES-100449</t>
  </si>
  <si>
    <t>RES-100450</t>
  </si>
  <si>
    <t>RES-100451</t>
  </si>
  <si>
    <t>RES-100452</t>
  </si>
  <si>
    <t>RES-100453</t>
  </si>
  <si>
    <t>RES-100454</t>
  </si>
  <si>
    <t>RES-100455</t>
  </si>
  <si>
    <t>RES-100456</t>
  </si>
  <si>
    <t>RES-100457</t>
  </si>
  <si>
    <t>RES-100458</t>
  </si>
  <si>
    <t>RES-100459</t>
  </si>
  <si>
    <t>RES-100460</t>
  </si>
  <si>
    <t>RES-100461</t>
  </si>
  <si>
    <t>RES-100462</t>
  </si>
  <si>
    <t>RES-100463</t>
  </si>
  <si>
    <t>RES-100464</t>
  </si>
  <si>
    <t>RES-100465</t>
  </si>
  <si>
    <t>RES-100466</t>
  </si>
  <si>
    <t>RES-100467</t>
  </si>
  <si>
    <t>RES-100468</t>
  </si>
  <si>
    <t>RES-100469</t>
  </si>
  <si>
    <t>RES-100470</t>
  </si>
  <si>
    <t>RES-100471</t>
  </si>
  <si>
    <t>RES-100472</t>
  </si>
  <si>
    <t>RES-100473</t>
  </si>
  <si>
    <t>RES-100474</t>
  </si>
  <si>
    <t>RES-100475</t>
  </si>
  <si>
    <t>RES-100476</t>
  </si>
  <si>
    <t>RES-100477</t>
  </si>
  <si>
    <t>RES-100478</t>
  </si>
  <si>
    <t>RES-100479</t>
  </si>
  <si>
    <t>RES-100480</t>
  </si>
  <si>
    <t>RES-100481</t>
  </si>
  <si>
    <t>RES-100482</t>
  </si>
  <si>
    <t>RES-100483</t>
  </si>
  <si>
    <t>RES-100484</t>
  </si>
  <si>
    <t>RES-100485</t>
  </si>
  <si>
    <t>RES-100486</t>
  </si>
  <si>
    <t>RES-100487</t>
  </si>
  <si>
    <t>RES-100488</t>
  </si>
  <si>
    <t>RES-100489</t>
  </si>
  <si>
    <t>RES-100490</t>
  </si>
  <si>
    <t>RES-100491</t>
  </si>
  <si>
    <t>RES-100492</t>
  </si>
  <si>
    <t>RES-100493</t>
  </si>
  <si>
    <t>RES-100494</t>
  </si>
  <si>
    <t>RES-100495</t>
  </si>
  <si>
    <t>RES-100496</t>
  </si>
  <si>
    <t>RES-100497</t>
  </si>
  <si>
    <t>RES-100498</t>
  </si>
  <si>
    <t>RES-100499</t>
  </si>
  <si>
    <t>RES-100500</t>
  </si>
  <si>
    <t>RES-100501</t>
  </si>
  <si>
    <t>RES-100502</t>
  </si>
  <si>
    <t>RES-100503</t>
  </si>
  <si>
    <t>RES-100504</t>
  </si>
  <si>
    <t>RES-100505</t>
  </si>
  <si>
    <t>RES-100506</t>
  </si>
  <si>
    <t>RES-100507</t>
  </si>
  <si>
    <t>RES-100508</t>
  </si>
  <si>
    <t>RES-100509</t>
  </si>
  <si>
    <t>RES-100510</t>
  </si>
  <si>
    <t>RES-100511</t>
  </si>
  <si>
    <t>RES-100512</t>
  </si>
  <si>
    <t>RES-100513</t>
  </si>
  <si>
    <t>RES-100514</t>
  </si>
  <si>
    <t>RES-100515</t>
  </si>
  <si>
    <t>RES-100516</t>
  </si>
  <si>
    <t>RES-100517</t>
  </si>
  <si>
    <t>RES-100518</t>
  </si>
  <si>
    <t>RES-100519</t>
  </si>
  <si>
    <t>RES-100520</t>
  </si>
  <si>
    <t>RES-100521</t>
  </si>
  <si>
    <t>RES-100522</t>
  </si>
  <si>
    <t>RES-100523</t>
  </si>
  <si>
    <t>RES-100524</t>
  </si>
  <si>
    <t>RES-100525</t>
  </si>
  <si>
    <t>RES-100526</t>
  </si>
  <si>
    <t>RES-100527</t>
  </si>
  <si>
    <t>RES-100528</t>
  </si>
  <si>
    <t>RES-100529</t>
  </si>
  <si>
    <t>RES-100530</t>
  </si>
  <si>
    <t>RES-100531</t>
  </si>
  <si>
    <t>RES-100532</t>
  </si>
  <si>
    <t>RES-100533</t>
  </si>
  <si>
    <t>RES-100534</t>
  </si>
  <si>
    <t>RES-100535</t>
  </si>
  <si>
    <t>RES-100536</t>
  </si>
  <si>
    <t>RES-100537</t>
  </si>
  <si>
    <t>RES-100538</t>
  </si>
  <si>
    <t>RES-100539</t>
  </si>
  <si>
    <t>RES-100540</t>
  </si>
  <si>
    <t>RES-100541</t>
  </si>
  <si>
    <t>RES-100542</t>
  </si>
  <si>
    <t>RES-100543</t>
  </si>
  <si>
    <t>RES-100544</t>
  </si>
  <si>
    <t>RES-100545</t>
  </si>
  <si>
    <t>RES-100546</t>
  </si>
  <si>
    <t>RES-100547</t>
  </si>
  <si>
    <t>RES-100548</t>
  </si>
  <si>
    <t>RES-100549</t>
  </si>
  <si>
    <t>RES-100550</t>
  </si>
  <si>
    <t>RES-100551</t>
  </si>
  <si>
    <t>RES-100552</t>
  </si>
  <si>
    <t>RES-100553</t>
  </si>
  <si>
    <t>RES-100554</t>
  </si>
  <si>
    <t>RES-100555</t>
  </si>
  <si>
    <t>RES-100556</t>
  </si>
  <si>
    <t>RES-100557</t>
  </si>
  <si>
    <t>RES-100558</t>
  </si>
  <si>
    <t>RES-100559</t>
  </si>
  <si>
    <t>RES-100560</t>
  </si>
  <si>
    <t>RES-100561</t>
  </si>
  <si>
    <t>4.2</t>
  </si>
  <si>
    <t>RES-100562</t>
  </si>
  <si>
    <t>RES-100563</t>
  </si>
  <si>
    <t>RES-100564</t>
  </si>
  <si>
    <t>RES-100565</t>
  </si>
  <si>
    <t>RES-100566</t>
  </si>
  <si>
    <t>5.55</t>
  </si>
  <si>
    <t>RES-100567</t>
  </si>
  <si>
    <t>RES-100568</t>
  </si>
  <si>
    <t>RES-100569</t>
  </si>
  <si>
    <t>RES-100570</t>
  </si>
  <si>
    <t>RES-100571</t>
  </si>
  <si>
    <t>RES-100572</t>
  </si>
  <si>
    <t>RES-100573</t>
  </si>
  <si>
    <t>RES-100574</t>
  </si>
  <si>
    <t>RES-100575</t>
  </si>
  <si>
    <t>RES-100576</t>
  </si>
  <si>
    <t>RES-100577</t>
  </si>
  <si>
    <t>RES-100578</t>
  </si>
  <si>
    <t>RES-100579</t>
  </si>
  <si>
    <t>RES-100580</t>
  </si>
  <si>
    <t>RES-100581</t>
  </si>
  <si>
    <t>RES-100582</t>
  </si>
  <si>
    <t>RES-100583</t>
  </si>
  <si>
    <t>RES-100584</t>
  </si>
  <si>
    <t>RES-100585</t>
  </si>
  <si>
    <t>RES-100586</t>
  </si>
  <si>
    <t>RES-100587</t>
  </si>
  <si>
    <t>RES-100588</t>
  </si>
  <si>
    <t>RES-100589</t>
  </si>
  <si>
    <t>RES-100590</t>
  </si>
  <si>
    <t>RES-100591</t>
  </si>
  <si>
    <t>RES-100592</t>
  </si>
  <si>
    <t>RES-100593</t>
  </si>
  <si>
    <t>RES-100594</t>
  </si>
  <si>
    <t>RES-100595</t>
  </si>
  <si>
    <t>RES-100596</t>
  </si>
  <si>
    <t>RES-100597</t>
  </si>
  <si>
    <t>RES-100598</t>
  </si>
  <si>
    <t>RES-100599</t>
  </si>
  <si>
    <t>RES-100600</t>
  </si>
  <si>
    <t>RES-100601</t>
  </si>
  <si>
    <t>RES-100602</t>
  </si>
  <si>
    <t>RES-100603</t>
  </si>
  <si>
    <t>RES-100604</t>
  </si>
  <si>
    <t>RES-100605</t>
  </si>
  <si>
    <t>RES-100606</t>
  </si>
  <si>
    <t>RES-100607</t>
  </si>
  <si>
    <t>RES-100608</t>
  </si>
  <si>
    <t>RES-100609</t>
  </si>
  <si>
    <t>RES-100610</t>
  </si>
  <si>
    <t>RES-100611</t>
  </si>
  <si>
    <t>RES-100612</t>
  </si>
  <si>
    <t>RES-100613</t>
  </si>
  <si>
    <t>RES-100614</t>
  </si>
  <si>
    <t>RES-100615</t>
  </si>
  <si>
    <t>RES-100616</t>
  </si>
  <si>
    <t>RES-100617</t>
  </si>
  <si>
    <t>RES-100618</t>
  </si>
  <si>
    <t>RES-100619</t>
  </si>
  <si>
    <t>RES-100620</t>
  </si>
  <si>
    <t>RES-100621</t>
  </si>
  <si>
    <t>RES-100622</t>
  </si>
  <si>
    <t>RES-100623</t>
  </si>
  <si>
    <t>RES-100624</t>
  </si>
  <si>
    <t>RES-100625</t>
  </si>
  <si>
    <t>RES-100626</t>
  </si>
  <si>
    <t>RES-100627</t>
  </si>
  <si>
    <t>RES-100628</t>
  </si>
  <si>
    <t>RES-100629</t>
  </si>
  <si>
    <t>RES-100630</t>
  </si>
  <si>
    <t>RES-100631</t>
  </si>
  <si>
    <t>RES-100632</t>
  </si>
  <si>
    <t>RES-100633</t>
  </si>
  <si>
    <t>RES-100634</t>
  </si>
  <si>
    <t>RES-100635</t>
  </si>
  <si>
    <t>RES-100636</t>
  </si>
  <si>
    <t>RES-100637</t>
  </si>
  <si>
    <t>RES-100638</t>
  </si>
  <si>
    <t>RES-100639</t>
  </si>
  <si>
    <t>RES-100640</t>
  </si>
  <si>
    <t>RES-100641</t>
  </si>
  <si>
    <t>RES-100642</t>
  </si>
  <si>
    <t>RES-100643</t>
  </si>
  <si>
    <t>7.95</t>
  </si>
  <si>
    <t>RES-100644</t>
  </si>
  <si>
    <t>RES-100645</t>
  </si>
  <si>
    <t>RES-100646</t>
  </si>
  <si>
    <t>RES-100647</t>
  </si>
  <si>
    <t>RES-100648</t>
  </si>
  <si>
    <t>RES-100649</t>
  </si>
  <si>
    <t>RES-100650</t>
  </si>
  <si>
    <t>RES-100651</t>
  </si>
  <si>
    <t>RES-100652</t>
  </si>
  <si>
    <t>RES-100653</t>
  </si>
  <si>
    <t>RES-100654</t>
  </si>
  <si>
    <t>RES-100655</t>
  </si>
  <si>
    <t>RES-100656</t>
  </si>
  <si>
    <t>RES-100657</t>
  </si>
  <si>
    <t>RES-100658</t>
  </si>
  <si>
    <t>RES-100659</t>
  </si>
  <si>
    <t>RES-100660</t>
  </si>
  <si>
    <t>RES-100661</t>
  </si>
  <si>
    <t>RES-100662</t>
  </si>
  <si>
    <t>RES-100663</t>
  </si>
  <si>
    <t>RES-100664</t>
  </si>
  <si>
    <t>RES-100665</t>
  </si>
  <si>
    <t>RES-100666</t>
  </si>
  <si>
    <t>RES-100667</t>
  </si>
  <si>
    <t>RES-100668</t>
  </si>
  <si>
    <t>RES-100669</t>
  </si>
  <si>
    <t>RES-100670</t>
  </si>
  <si>
    <t>RES-100671</t>
  </si>
  <si>
    <t>RES-100672</t>
  </si>
  <si>
    <t>RES-100673</t>
  </si>
  <si>
    <t>RES-100674</t>
  </si>
  <si>
    <t>RES-100675</t>
  </si>
  <si>
    <t>RES-100676</t>
  </si>
  <si>
    <t>RES-100677</t>
  </si>
  <si>
    <t>RES-100678</t>
  </si>
  <si>
    <t>RES-100679</t>
  </si>
  <si>
    <t>RES-100680</t>
  </si>
  <si>
    <t>RES-100681</t>
  </si>
  <si>
    <t>RES-100682</t>
  </si>
  <si>
    <t>RES-100683</t>
  </si>
  <si>
    <t>RES-100684</t>
  </si>
  <si>
    <t>RES-100685</t>
  </si>
  <si>
    <t>RES-100686</t>
  </si>
  <si>
    <t>RES-100687</t>
  </si>
  <si>
    <t>RES-100688</t>
  </si>
  <si>
    <t>RES-100689</t>
  </si>
  <si>
    <t>RES-100690</t>
  </si>
  <si>
    <t>RES-100691</t>
  </si>
  <si>
    <t>RES-100692</t>
  </si>
  <si>
    <t>RES-100693</t>
  </si>
  <si>
    <t>RES-100694</t>
  </si>
  <si>
    <t>RES-100695</t>
  </si>
  <si>
    <t>RES-100696</t>
  </si>
  <si>
    <t>RES-100697</t>
  </si>
  <si>
    <t>RES-100698</t>
  </si>
  <si>
    <t>RES-100699</t>
  </si>
  <si>
    <t>RES-100700</t>
  </si>
  <si>
    <t>RES-100701</t>
  </si>
  <si>
    <t>RES-100702</t>
  </si>
  <si>
    <t>RES-100703</t>
  </si>
  <si>
    <t>RES-100704</t>
  </si>
  <si>
    <t>RES-100705</t>
  </si>
  <si>
    <t>RES-100706</t>
  </si>
  <si>
    <t>RES-100707</t>
  </si>
  <si>
    <t>RES-100708</t>
  </si>
  <si>
    <t>RES-100709</t>
  </si>
  <si>
    <t>RES-100710</t>
  </si>
  <si>
    <t>RES-100711</t>
  </si>
  <si>
    <t>RES-100712</t>
  </si>
  <si>
    <t>RES-100713</t>
  </si>
  <si>
    <t>RES-100714</t>
  </si>
  <si>
    <t>RES-100715</t>
  </si>
  <si>
    <t>RES-100716</t>
  </si>
  <si>
    <t>RES-100717</t>
  </si>
  <si>
    <t>RES-100718</t>
  </si>
  <si>
    <t>RES-100719</t>
  </si>
  <si>
    <t>RES-100720</t>
  </si>
  <si>
    <t>RES-100721</t>
  </si>
  <si>
    <t>RES-100722</t>
  </si>
  <si>
    <t>RES-100723</t>
  </si>
  <si>
    <t>RES-100724</t>
  </si>
  <si>
    <t>RES-100725</t>
  </si>
  <si>
    <t>RES-100726</t>
  </si>
  <si>
    <t>RES-100727</t>
  </si>
  <si>
    <t>RES-100728</t>
  </si>
  <si>
    <t>RES-100729</t>
  </si>
  <si>
    <t>RES-100730</t>
  </si>
  <si>
    <t>RES-100731</t>
  </si>
  <si>
    <t>RES-100732</t>
  </si>
  <si>
    <t>RES-100733</t>
  </si>
  <si>
    <t>RES-100734</t>
  </si>
  <si>
    <t>RES-100735</t>
  </si>
  <si>
    <t>RES-100736</t>
  </si>
  <si>
    <t>RES-100737</t>
  </si>
  <si>
    <t>RES-100738</t>
  </si>
  <si>
    <t>RES-100739</t>
  </si>
  <si>
    <t>RES-100740</t>
  </si>
  <si>
    <t>RES-100741</t>
  </si>
  <si>
    <t>RES-100742</t>
  </si>
  <si>
    <t>RES-100743</t>
  </si>
  <si>
    <t>RES-100744</t>
  </si>
  <si>
    <t>RES-100745</t>
  </si>
  <si>
    <t>RES-100746</t>
  </si>
  <si>
    <t>RES-100747</t>
  </si>
  <si>
    <t>RES-100748</t>
  </si>
  <si>
    <t>RES-100749</t>
  </si>
  <si>
    <t>RES-100750</t>
  </si>
  <si>
    <t>RES-100751</t>
  </si>
  <si>
    <t>RES-100752</t>
  </si>
  <si>
    <t>RES-100753</t>
  </si>
  <si>
    <t>RES-100754</t>
  </si>
  <si>
    <t>RES-100755</t>
  </si>
  <si>
    <t>RES-100756</t>
  </si>
  <si>
    <t>RES-100757</t>
  </si>
  <si>
    <t>RES-100758</t>
  </si>
  <si>
    <t>RES-100759</t>
  </si>
  <si>
    <t>RES-100760</t>
  </si>
  <si>
    <t>RES-100761</t>
  </si>
  <si>
    <t>RES-100762</t>
  </si>
  <si>
    <t>RES-100763</t>
  </si>
  <si>
    <t>RES-100764</t>
  </si>
  <si>
    <t>RES-100765</t>
  </si>
  <si>
    <t>RES-100766</t>
  </si>
  <si>
    <t>RES-100767</t>
  </si>
  <si>
    <t>RES-100768</t>
  </si>
  <si>
    <t>RES-100769</t>
  </si>
  <si>
    <t>RES-100770</t>
  </si>
  <si>
    <t>RES-100771</t>
  </si>
  <si>
    <t>RES-100772</t>
  </si>
  <si>
    <t>RES-100773</t>
  </si>
  <si>
    <t>RES-100774</t>
  </si>
  <si>
    <t>RES-100775</t>
  </si>
  <si>
    <t>RES-100776</t>
  </si>
  <si>
    <t>RES-100777</t>
  </si>
  <si>
    <t>RES-100778</t>
  </si>
  <si>
    <t>162.4</t>
  </si>
  <si>
    <t>RES-100779</t>
  </si>
  <si>
    <t>RES-100780</t>
  </si>
  <si>
    <t>RES-100781</t>
  </si>
  <si>
    <t>RES-100782</t>
  </si>
  <si>
    <t>RES-100783</t>
  </si>
  <si>
    <t>RES-100784</t>
  </si>
  <si>
    <t>RES-100785</t>
  </si>
  <si>
    <t>RES-100786</t>
  </si>
  <si>
    <t>RES-100787</t>
  </si>
  <si>
    <t>RES-100788</t>
  </si>
  <si>
    <t>RES-100789</t>
  </si>
  <si>
    <t>RES-100790</t>
  </si>
  <si>
    <t>RES-100791</t>
  </si>
  <si>
    <t>RES-100792</t>
  </si>
  <si>
    <t>RES-100793</t>
  </si>
  <si>
    <t>RES-100794</t>
  </si>
  <si>
    <t>RES-100795</t>
  </si>
  <si>
    <t>RES-100796</t>
  </si>
  <si>
    <t>RES-100797</t>
  </si>
  <si>
    <t>RES-100798</t>
  </si>
  <si>
    <t>RES-100799</t>
  </si>
  <si>
    <t>RES-100800</t>
  </si>
  <si>
    <t>RES-100801</t>
  </si>
  <si>
    <t>RES-100802</t>
  </si>
  <si>
    <t>RES-100803</t>
  </si>
  <si>
    <t>RES-100804</t>
  </si>
  <si>
    <t>RES-100805</t>
  </si>
  <si>
    <t>RES-100806</t>
  </si>
  <si>
    <t>RES-100807</t>
  </si>
  <si>
    <t>RES-100808</t>
  </si>
  <si>
    <t>RES-100809</t>
  </si>
  <si>
    <t>RES-100810</t>
  </si>
  <si>
    <t>RES-100811</t>
  </si>
  <si>
    <t>RES-100812</t>
  </si>
  <si>
    <t>RES-100813</t>
  </si>
  <si>
    <t>RES-100814</t>
  </si>
  <si>
    <t>RES-100815</t>
  </si>
  <si>
    <t>RES-100816</t>
  </si>
  <si>
    <t>RES-100817</t>
  </si>
  <si>
    <t>RES-100818</t>
  </si>
  <si>
    <t>RES-100819</t>
  </si>
  <si>
    <t>RES-100820</t>
  </si>
  <si>
    <t>RES-100821</t>
  </si>
  <si>
    <t>RES-100822</t>
  </si>
  <si>
    <t>RES-100823</t>
  </si>
  <si>
    <t>RES-100824</t>
  </si>
  <si>
    <t>RES-100825</t>
  </si>
  <si>
    <t>RES-100826</t>
  </si>
  <si>
    <t>RES-100827</t>
  </si>
  <si>
    <t>RES-100828</t>
  </si>
  <si>
    <t>RES-100829</t>
  </si>
  <si>
    <t>RES-100830</t>
  </si>
  <si>
    <t>RES-100831</t>
  </si>
  <si>
    <t>RES-100832</t>
  </si>
  <si>
    <t>RES-100833</t>
  </si>
  <si>
    <t>RES-100834</t>
  </si>
  <si>
    <t>RES-100835</t>
  </si>
  <si>
    <t>RES-100836</t>
  </si>
  <si>
    <t>RES-100837</t>
  </si>
  <si>
    <t>RES-100838</t>
  </si>
  <si>
    <t>RES-100839</t>
  </si>
  <si>
    <t>RES-100840</t>
  </si>
  <si>
    <t>RES-100841</t>
  </si>
  <si>
    <t>RES-100842</t>
  </si>
  <si>
    <t>RES-100843</t>
  </si>
  <si>
    <t>RES-100844</t>
  </si>
  <si>
    <t>RES-100845</t>
  </si>
  <si>
    <t>RES-100846</t>
  </si>
  <si>
    <t>RES-100847</t>
  </si>
  <si>
    <t>RES-100848</t>
  </si>
  <si>
    <t>RES-100849</t>
  </si>
  <si>
    <t>RES-100850</t>
  </si>
  <si>
    <t>RES-100851</t>
  </si>
  <si>
    <t>RES-100852</t>
  </si>
  <si>
    <t>RES-100853</t>
  </si>
  <si>
    <t>RES-100854</t>
  </si>
  <si>
    <t>RES-100855</t>
  </si>
  <si>
    <t>RES-100856</t>
  </si>
  <si>
    <t>RES-100857</t>
  </si>
  <si>
    <t>RES-100858</t>
  </si>
  <si>
    <t>RES-100859</t>
  </si>
  <si>
    <t>RES-100860</t>
  </si>
  <si>
    <t>RES-100861</t>
  </si>
  <si>
    <t>RES-100862</t>
  </si>
  <si>
    <t>RES-100863</t>
  </si>
  <si>
    <t>RES-100864</t>
  </si>
  <si>
    <t>RES-100865</t>
  </si>
  <si>
    <t>RES-100866</t>
  </si>
  <si>
    <t>RES-100867</t>
  </si>
  <si>
    <t>RES-100868</t>
  </si>
  <si>
    <t>RES-100869</t>
  </si>
  <si>
    <t>RES-100870</t>
  </si>
  <si>
    <t>RES-100871</t>
  </si>
  <si>
    <t>RES-100872</t>
  </si>
  <si>
    <t>RES-100873</t>
  </si>
  <si>
    <t>RES-100874</t>
  </si>
  <si>
    <t>RES-100875</t>
  </si>
  <si>
    <t>RES-100876</t>
  </si>
  <si>
    <t>RES-100877</t>
  </si>
  <si>
    <t>RES-100878</t>
  </si>
  <si>
    <t>RES-100879</t>
  </si>
  <si>
    <t>RES-100880</t>
  </si>
  <si>
    <t>RES-100881</t>
  </si>
  <si>
    <t>RES-100882</t>
  </si>
  <si>
    <t>RES-100883</t>
  </si>
  <si>
    <t>RES-100884</t>
  </si>
  <si>
    <t>RES-100885</t>
  </si>
  <si>
    <t>RES-100886</t>
  </si>
  <si>
    <t>RES-100887</t>
  </si>
  <si>
    <t>RES-100888</t>
  </si>
  <si>
    <t>RES-100889</t>
  </si>
  <si>
    <t>RES-100890</t>
  </si>
  <si>
    <t>RES-100891</t>
  </si>
  <si>
    <t>RES-100892</t>
  </si>
  <si>
    <t>RES-100893</t>
  </si>
  <si>
    <t>RES-100894</t>
  </si>
  <si>
    <t>RES-100895</t>
  </si>
  <si>
    <t>RES-100896</t>
  </si>
  <si>
    <t>RES-100897</t>
  </si>
  <si>
    <t>RES-100898</t>
  </si>
  <si>
    <t>RES-100899</t>
  </si>
  <si>
    <t>RES-100900</t>
  </si>
  <si>
    <t>RES-100901</t>
  </si>
  <si>
    <t>RES-100902</t>
  </si>
  <si>
    <t>RES-100903</t>
  </si>
  <si>
    <t>RES-100904</t>
  </si>
  <si>
    <t>RES-100905</t>
  </si>
  <si>
    <t>RES-100906</t>
  </si>
  <si>
    <t>RES-100907</t>
  </si>
  <si>
    <t>RES-100908</t>
  </si>
  <si>
    <t>RES-100909</t>
  </si>
  <si>
    <t>RES-100910</t>
  </si>
  <si>
    <t>RES-100911</t>
  </si>
  <si>
    <t>RES-100912</t>
  </si>
  <si>
    <t>RES-100913</t>
  </si>
  <si>
    <t>RES-100914</t>
  </si>
  <si>
    <t>RES-100915</t>
  </si>
  <si>
    <t>RES-100916</t>
  </si>
  <si>
    <t>RES-100917</t>
  </si>
  <si>
    <t>RES-100918</t>
  </si>
  <si>
    <t>RES-100919</t>
  </si>
  <si>
    <t>RES-100920</t>
  </si>
  <si>
    <t>RES-100921</t>
  </si>
  <si>
    <t>RES-100922</t>
  </si>
  <si>
    <t>RES-100923</t>
  </si>
  <si>
    <t>RES-100924</t>
  </si>
  <si>
    <t>RES-100925</t>
  </si>
  <si>
    <t>RES-100926</t>
  </si>
  <si>
    <t>RES-100927</t>
  </si>
  <si>
    <t>RES-100928</t>
  </si>
  <si>
    <t>RES-100929</t>
  </si>
  <si>
    <t>RES-100930</t>
  </si>
  <si>
    <t>RES-100931</t>
  </si>
  <si>
    <t>RES-100932</t>
  </si>
  <si>
    <t>RES-100933</t>
  </si>
  <si>
    <t>RES-100934</t>
  </si>
  <si>
    <t>RES-100935</t>
  </si>
  <si>
    <t>RES-100936</t>
  </si>
  <si>
    <t>RES-100937</t>
  </si>
  <si>
    <t>RES-100938</t>
  </si>
  <si>
    <t>RES-100939</t>
  </si>
  <si>
    <t>RES-100940</t>
  </si>
  <si>
    <t>RES-100941</t>
  </si>
  <si>
    <t>RES-100942</t>
  </si>
  <si>
    <t>RES-100943</t>
  </si>
  <si>
    <t>RES-100944</t>
  </si>
  <si>
    <t>RES-100945</t>
  </si>
  <si>
    <t>RES-100946</t>
  </si>
  <si>
    <t>RES-100947</t>
  </si>
  <si>
    <t>RES-100948</t>
  </si>
  <si>
    <t>RES-100949</t>
  </si>
  <si>
    <t>RES-100950</t>
  </si>
  <si>
    <t>RES-100951</t>
  </si>
  <si>
    <t>RES-100952</t>
  </si>
  <si>
    <t>RES-100953</t>
  </si>
  <si>
    <t>RES-100954</t>
  </si>
  <si>
    <t>RES-100955</t>
  </si>
  <si>
    <t>RES-100956</t>
  </si>
  <si>
    <t>RES-100957</t>
  </si>
  <si>
    <t>RES-100958</t>
  </si>
  <si>
    <t>RES-100959</t>
  </si>
  <si>
    <t>RES-100960</t>
  </si>
  <si>
    <t>RES-100961</t>
  </si>
  <si>
    <t>RES-100962</t>
  </si>
  <si>
    <t>RES-100963</t>
  </si>
  <si>
    <t>RES-100964</t>
  </si>
  <si>
    <t>RES-100965</t>
  </si>
  <si>
    <t>RES-100966</t>
  </si>
  <si>
    <t>RES-100967</t>
  </si>
  <si>
    <t>RES-100968</t>
  </si>
  <si>
    <t>RES-100969</t>
  </si>
  <si>
    <t>RES-100970</t>
  </si>
  <si>
    <t>RES-100971</t>
  </si>
  <si>
    <t>RES-100972</t>
  </si>
  <si>
    <t>RES-100973</t>
  </si>
  <si>
    <t>RES-100974</t>
  </si>
  <si>
    <t>RES-100975</t>
  </si>
  <si>
    <t>RES-100976</t>
  </si>
  <si>
    <t>RES-100977</t>
  </si>
  <si>
    <t>RES-100978</t>
  </si>
  <si>
    <t>RES-100979</t>
  </si>
  <si>
    <t>RES-100980</t>
  </si>
  <si>
    <t>RES-100981</t>
  </si>
  <si>
    <t>RES-100982</t>
  </si>
  <si>
    <t>RES-100983</t>
  </si>
  <si>
    <t>RES-100984</t>
  </si>
  <si>
    <t>RES-100985</t>
  </si>
  <si>
    <t>RES-100986</t>
  </si>
  <si>
    <t>RES-100987</t>
  </si>
  <si>
    <t>RES-100988</t>
  </si>
  <si>
    <t>RES-100989</t>
  </si>
  <si>
    <t>RES-100990</t>
  </si>
  <si>
    <t>RES-100991</t>
  </si>
  <si>
    <t>RES-100992</t>
  </si>
  <si>
    <t>RES-100993</t>
  </si>
  <si>
    <t>RES-100994</t>
  </si>
  <si>
    <t>RES-100995</t>
  </si>
  <si>
    <t>RES-100996</t>
  </si>
  <si>
    <t>RES-100997</t>
  </si>
  <si>
    <t>RES-100998</t>
  </si>
  <si>
    <t>RES-100999</t>
  </si>
  <si>
    <t>RES-101000</t>
  </si>
  <si>
    <t>RES-101001</t>
  </si>
  <si>
    <t>RES-101002</t>
  </si>
  <si>
    <t>RES-101003</t>
  </si>
  <si>
    <t>RES-101004</t>
  </si>
  <si>
    <t>RES-101005</t>
  </si>
  <si>
    <t>RES-101006</t>
  </si>
  <si>
    <t>RES-101007</t>
  </si>
  <si>
    <t>RES-101008</t>
  </si>
  <si>
    <t>RES-101009</t>
  </si>
  <si>
    <t>RES-101010</t>
  </si>
  <si>
    <t>RES-101011</t>
  </si>
  <si>
    <t>RES-101012</t>
  </si>
  <si>
    <t>RES-101013</t>
  </si>
  <si>
    <t>RES-101014</t>
  </si>
  <si>
    <t>RES-101015</t>
  </si>
  <si>
    <t>RES-101016</t>
  </si>
  <si>
    <t>RES-101017</t>
  </si>
  <si>
    <t>RES-101018</t>
  </si>
  <si>
    <t>RES-101019</t>
  </si>
  <si>
    <t>RES-101020</t>
  </si>
  <si>
    <t>RES-101021</t>
  </si>
  <si>
    <t>RES-101022</t>
  </si>
  <si>
    <t>RES-101023</t>
  </si>
  <si>
    <t>RES-101024</t>
  </si>
  <si>
    <t>RES-101025</t>
  </si>
  <si>
    <t>RES-101026</t>
  </si>
  <si>
    <t>RES-101027</t>
  </si>
  <si>
    <t>RES-101028</t>
  </si>
  <si>
    <t>RES-101029</t>
  </si>
  <si>
    <t>RES-101030</t>
  </si>
  <si>
    <t>RES-101031</t>
  </si>
  <si>
    <t>RES-101032</t>
  </si>
  <si>
    <t>RES-101033</t>
  </si>
  <si>
    <t>RES-101034</t>
  </si>
  <si>
    <t>RES-101035</t>
  </si>
  <si>
    <t>RES-101036</t>
  </si>
  <si>
    <t>RES-101037</t>
  </si>
  <si>
    <t>RES-101038</t>
  </si>
  <si>
    <t>RES-101039</t>
  </si>
  <si>
    <t>RES-101040</t>
  </si>
  <si>
    <t>RES-101041</t>
  </si>
  <si>
    <t>RES-101042</t>
  </si>
  <si>
    <t>RES-101043</t>
  </si>
  <si>
    <t>RES-101044</t>
  </si>
  <si>
    <t>RES-101045</t>
  </si>
  <si>
    <t>RES-101046</t>
  </si>
  <si>
    <t>RES-101047</t>
  </si>
  <si>
    <t>RES-101048</t>
  </si>
  <si>
    <t>RES-101049</t>
  </si>
  <si>
    <t>RES-101050</t>
  </si>
  <si>
    <t>RES-101051</t>
  </si>
  <si>
    <t>RES-101052</t>
  </si>
  <si>
    <t>RES-101053</t>
  </si>
  <si>
    <t>RES-101054</t>
  </si>
  <si>
    <t>RES-101055</t>
  </si>
  <si>
    <t>RES-101056</t>
  </si>
  <si>
    <t>RES-101057</t>
  </si>
  <si>
    <t>RES-101058</t>
  </si>
  <si>
    <t>RES-101059</t>
  </si>
  <si>
    <t>RES-101060</t>
  </si>
  <si>
    <t>RES-101061</t>
  </si>
  <si>
    <t>RES-101062</t>
  </si>
  <si>
    <t>RES-101063</t>
  </si>
  <si>
    <t>RES-101064</t>
  </si>
  <si>
    <t>RES-101065</t>
  </si>
  <si>
    <t>RES-101066</t>
  </si>
  <si>
    <t>RES-101067</t>
  </si>
  <si>
    <t>RES-101068</t>
  </si>
  <si>
    <t>RES-101069</t>
  </si>
  <si>
    <t>RES-101070</t>
  </si>
  <si>
    <t>RES-101071</t>
  </si>
  <si>
    <t>RES-101072</t>
  </si>
  <si>
    <t>RES-101073</t>
  </si>
  <si>
    <t>RES-101074</t>
  </si>
  <si>
    <t>RES-101075</t>
  </si>
  <si>
    <t>RES-101076</t>
  </si>
  <si>
    <t>RES-101077</t>
  </si>
  <si>
    <t>RES-101078</t>
  </si>
  <si>
    <t>RES-101079</t>
  </si>
  <si>
    <t>RES-101080</t>
  </si>
  <si>
    <t>RES-101081</t>
  </si>
  <si>
    <t>RES-101082</t>
  </si>
  <si>
    <t>RES-101083</t>
  </si>
  <si>
    <t>RES-101084</t>
  </si>
  <si>
    <t>RES-101085</t>
  </si>
  <si>
    <t>RES-101086</t>
  </si>
  <si>
    <t>RES-101087</t>
  </si>
  <si>
    <t>RES-101088</t>
  </si>
  <si>
    <t>RES-101089</t>
  </si>
  <si>
    <t>RES-101090</t>
  </si>
  <si>
    <t>RES-101091</t>
  </si>
  <si>
    <t>RES-101092</t>
  </si>
  <si>
    <t>RES-101093</t>
  </si>
  <si>
    <t>RES-101094</t>
  </si>
  <si>
    <t>RES-101095</t>
  </si>
  <si>
    <t>RES-101096</t>
  </si>
  <si>
    <t>RES-101097</t>
  </si>
  <si>
    <t>RES-101098</t>
  </si>
  <si>
    <t>RES-101099</t>
  </si>
  <si>
    <t>RES-101100</t>
  </si>
  <si>
    <t>RES-101101</t>
  </si>
  <si>
    <t>RES-101102</t>
  </si>
  <si>
    <t>RES-101103</t>
  </si>
  <si>
    <t>RES-101104</t>
  </si>
  <si>
    <t>RES-101105</t>
  </si>
  <si>
    <t>RES-101106</t>
  </si>
  <si>
    <t>RES-101107</t>
  </si>
  <si>
    <t>RES-101108</t>
  </si>
  <si>
    <t>RES-101109</t>
  </si>
  <si>
    <t>RES-101110</t>
  </si>
  <si>
    <t>RES-101111</t>
  </si>
  <si>
    <t>RES-101112</t>
  </si>
  <si>
    <t>RES-101113</t>
  </si>
  <si>
    <t>RES-101114</t>
  </si>
  <si>
    <t>RES-101115</t>
  </si>
  <si>
    <t>RES-101116</t>
  </si>
  <si>
    <t>RES-101117</t>
  </si>
  <si>
    <t>RES-101118</t>
  </si>
  <si>
    <t>RES-101119</t>
  </si>
  <si>
    <t>RES-101120</t>
  </si>
  <si>
    <t>RES-101121</t>
  </si>
  <si>
    <t>RES-101122</t>
  </si>
  <si>
    <t>RES-101123</t>
  </si>
  <si>
    <t>RES-101124</t>
  </si>
  <si>
    <t>RES-101125</t>
  </si>
  <si>
    <t>RES-101126</t>
  </si>
  <si>
    <t>RES-101127</t>
  </si>
  <si>
    <t>RES-101128</t>
  </si>
  <si>
    <t>RES-101129</t>
  </si>
  <si>
    <t>RES-101130</t>
  </si>
  <si>
    <t>5.4</t>
  </si>
  <si>
    <t>RES-101131</t>
  </si>
  <si>
    <t>RES-101132</t>
  </si>
  <si>
    <t>RES-101133</t>
  </si>
  <si>
    <t>RES-101134</t>
  </si>
  <si>
    <t>RES-101135</t>
  </si>
  <si>
    <t>RES-101136</t>
  </si>
  <si>
    <t>RES-101137</t>
  </si>
  <si>
    <t>RES-101138</t>
  </si>
  <si>
    <t>RES-101139</t>
  </si>
  <si>
    <t>RES-101140</t>
  </si>
  <si>
    <t>RES-101141</t>
  </si>
  <si>
    <t>RES-101142</t>
  </si>
  <si>
    <t>RES-101143</t>
  </si>
  <si>
    <t>RES-101144</t>
  </si>
  <si>
    <t>RES-101145</t>
  </si>
  <si>
    <t>RES-101146</t>
  </si>
  <si>
    <t>RES-101147</t>
  </si>
  <si>
    <t>RES-101148</t>
  </si>
  <si>
    <t>RES-101149</t>
  </si>
  <si>
    <t>RES-101150</t>
  </si>
  <si>
    <t>RES-101151</t>
  </si>
  <si>
    <t>RES-101152</t>
  </si>
  <si>
    <t>RES-101153</t>
  </si>
  <si>
    <t>RES-101154</t>
  </si>
  <si>
    <t>RES-101155</t>
  </si>
  <si>
    <t>RES-101156</t>
  </si>
  <si>
    <t>RES-101157</t>
  </si>
  <si>
    <t>RES-101158</t>
  </si>
  <si>
    <t>RES-101159</t>
  </si>
  <si>
    <t>RES-101160</t>
  </si>
  <si>
    <t>RES-101161</t>
  </si>
  <si>
    <t>RES-101162</t>
  </si>
  <si>
    <t>RES-101163</t>
  </si>
  <si>
    <t>RES-101164</t>
  </si>
  <si>
    <t>RES-101165</t>
  </si>
  <si>
    <t>RES-101166</t>
  </si>
  <si>
    <t>RES-101167</t>
  </si>
  <si>
    <t>RES-101168</t>
  </si>
  <si>
    <t>RES-101169</t>
  </si>
  <si>
    <t>RES-101170</t>
  </si>
  <si>
    <t>RES-101171</t>
  </si>
  <si>
    <t>RES-101172</t>
  </si>
  <si>
    <t>RES-101173</t>
  </si>
  <si>
    <t>RES-101174</t>
  </si>
  <si>
    <t>RES-101175</t>
  </si>
  <si>
    <t>RES-101176</t>
  </si>
  <si>
    <t>RES-101177</t>
  </si>
  <si>
    <t>RES-101178</t>
  </si>
  <si>
    <t>RES-101179</t>
  </si>
  <si>
    <t>TOTAL ESP. BLANCO</t>
  </si>
  <si>
    <t>TOTAL REGISTROS</t>
  </si>
  <si>
    <t>Porcentaje error</t>
  </si>
  <si>
    <t>Desviación Estándar</t>
  </si>
  <si>
    <t>Max</t>
  </si>
  <si>
    <t>Min</t>
  </si>
  <si>
    <t>Promedio</t>
  </si>
  <si>
    <t>% desviación</t>
  </si>
  <si>
    <t>Valor Desv Stand Alto</t>
  </si>
  <si>
    <t>Valor Desv Stand Mínimo</t>
  </si>
  <si>
    <t>DATOS TOTAL</t>
  </si>
  <si>
    <t>TIPO</t>
  </si>
  <si>
    <t>BAJO</t>
  </si>
  <si>
    <t>NORMAL</t>
  </si>
  <si>
    <t>ALTO</t>
  </si>
  <si>
    <t>TOTAL</t>
  </si>
  <si>
    <t>TOTAL OUTLIERS</t>
  </si>
  <si>
    <t>% OUTLIERS</t>
  </si>
  <si>
    <t>DATOS TOTALES</t>
  </si>
  <si>
    <t>VALOR</t>
  </si>
  <si>
    <t>Etiquetas de columna</t>
  </si>
  <si>
    <t>Total general</t>
  </si>
  <si>
    <t>Etiquetas de fila</t>
  </si>
  <si>
    <t>Suma de valor_bruto</t>
  </si>
  <si>
    <t>2025</t>
  </si>
  <si>
    <t>2026</t>
  </si>
  <si>
    <t>ene</t>
  </si>
  <si>
    <t>feb</t>
  </si>
  <si>
    <t>mar</t>
  </si>
  <si>
    <t>abr</t>
  </si>
  <si>
    <t>may</t>
  </si>
  <si>
    <t>jun</t>
  </si>
  <si>
    <t>jul</t>
  </si>
  <si>
    <t>ago</t>
  </si>
  <si>
    <t>sep</t>
  </si>
  <si>
    <t>oct</t>
  </si>
  <si>
    <t>nov</t>
  </si>
  <si>
    <t>dic</t>
  </si>
  <si>
    <t>Q1</t>
  </si>
  <si>
    <t>Q3</t>
  </si>
  <si>
    <t>IQR</t>
  </si>
  <si>
    <t>Limite Sup</t>
  </si>
  <si>
    <t>Limite Inf</t>
  </si>
  <si>
    <t>*Se considera valor atípico cuando supera 2 veces superior o inferior al promedio, restando la multiplicación de la desviación estándar X 2</t>
  </si>
  <si>
    <t>Valor Desv. Superior</t>
  </si>
  <si>
    <t>Valor Desv. Inferior</t>
  </si>
  <si>
    <t>DESV 1 CON OUTLIERS</t>
  </si>
  <si>
    <t>DESV 2 SIN OUTLIERS</t>
  </si>
  <si>
    <t>Suma de descuento_cupon</t>
  </si>
  <si>
    <t>Suma de calificacion</t>
  </si>
  <si>
    <t>ANÁLISIS VENTAS RESTAURANTE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</si>
</sst>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F800]dddd\,\ mmmm\ dd\,\ yyyy"/>
    <numFmt numFmtId="165" formatCode="0.000%"/>
    <numFmt numFmtId="166" formatCode="yyyy\-mm\-dd;@"/>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9"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20" fontId="0" fillId="0" borderId="0" xfId="0" applyNumberFormat="1"/>
    <xf numFmtId="0" fontId="0" fillId="0" borderId="0" xfId="0" applyAlignment="1">
      <alignment wrapText="1"/>
    </xf>
    <xf numFmtId="1" fontId="0" fillId="0" borderId="0" xfId="0" applyNumberFormat="1"/>
    <xf numFmtId="164" fontId="0" fillId="0" borderId="0" xfId="0" applyNumberFormat="1"/>
    <xf numFmtId="44" fontId="0" fillId="0" borderId="0" xfId="1" applyFont="1"/>
    <xf numFmtId="165" fontId="0" fillId="0" borderId="0" xfId="2" applyNumberFormat="1" applyFont="1"/>
    <xf numFmtId="166" fontId="0" fillId="0" borderId="0" xfId="0" applyNumberFormat="1"/>
    <xf numFmtId="9" fontId="0" fillId="0" borderId="0" xfId="2" applyFont="1"/>
    <xf numFmtId="44" fontId="0" fillId="0" borderId="0" xfId="0" applyNumberFormat="1"/>
    <xf numFmtId="0" fontId="16" fillId="0" borderId="0" xfId="0" applyFont="1"/>
    <xf numFmtId="1" fontId="16" fillId="0" borderId="0" xfId="0" applyNumberFormat="1" applyFont="1"/>
    <xf numFmtId="0" fontId="13" fillId="33" borderId="12" xfId="0" applyFont="1" applyFill="1" applyBorder="1"/>
    <xf numFmtId="0" fontId="13" fillId="33" borderId="13" xfId="0" applyFont="1" applyFill="1" applyBorder="1"/>
    <xf numFmtId="1" fontId="16" fillId="34" borderId="12" xfId="0" applyNumberFormat="1" applyFont="1" applyFill="1" applyBorder="1"/>
    <xf numFmtId="1" fontId="0" fillId="34" borderId="13" xfId="0" applyNumberFormat="1" applyFill="1" applyBorder="1"/>
    <xf numFmtId="1" fontId="16" fillId="0" borderId="11" xfId="0"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35" borderId="0" xfId="0" applyNumberFormat="1" applyFill="1"/>
    <xf numFmtId="165" fontId="0" fillId="0" borderId="10" xfId="2" applyNumberFormat="1" applyFont="1" applyBorder="1"/>
    <xf numFmtId="44" fontId="0" fillId="36" borderId="0" xfId="1" applyFont="1" applyFill="1"/>
    <xf numFmtId="3" fontId="0" fillId="36" borderId="0" xfId="0" applyNumberFormat="1" applyFill="1"/>
    <xf numFmtId="0" fontId="16" fillId="0" borderId="0" xfId="0" applyFont="1" applyAlignment="1">
      <alignment horizontal="center" wrapText="1"/>
    </xf>
    <xf numFmtId="0" fontId="18" fillId="0" borderId="0" xfId="0" applyFont="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7">
    <dxf>
      <font>
        <color rgb="FF9C0006"/>
      </font>
      <fill>
        <patternFill>
          <bgColor rgb="FFFFC7CE"/>
        </patternFill>
      </fill>
    </dxf>
    <dxf>
      <numFmt numFmtId="1" formatCode="0"/>
    </dxf>
    <dxf>
      <font>
        <b/>
        <i val="0"/>
        <strike val="0"/>
        <condense val="0"/>
        <extend val="0"/>
        <outline val="0"/>
        <shadow val="0"/>
        <u val="none"/>
        <vertAlign val="baseline"/>
        <sz val="11"/>
        <color theme="1"/>
        <name val="Calibri"/>
        <family val="2"/>
        <scheme val="minor"/>
      </font>
      <numFmt numFmtId="1" formatCode="0"/>
    </dxf>
    <dxf>
      <font>
        <b/>
        <i val="0"/>
        <strike val="0"/>
        <condense val="0"/>
        <extend val="0"/>
        <outline val="0"/>
        <shadow val="0"/>
        <u val="none"/>
        <vertAlign val="baseline"/>
        <sz val="11"/>
        <color theme="1"/>
        <name val="Calibri"/>
        <family val="2"/>
        <scheme val="minor"/>
      </font>
    </dxf>
    <dxf>
      <numFmt numFmtId="25" formatCode="h:mm"/>
    </dxf>
    <dxf>
      <numFmt numFmtId="166" formatCode="yyyy\-mm\-dd;@"/>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7" Type="http://schemas.microsoft.com/office/2007/relationships/slicerCache" Target="slicerCaches/slicerCache4.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microsoft.com/office/2007/relationships/slicerCache" Target="slicerCaches/slicerCache2.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microsoft.com/office/2007/relationships/slicerCache" Target="slicerCaches/slicerCache1.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[dataset_02_restaurante_Tablero.xlsx]Tabla Dinámica!TablaDinámica3</c:name>
    <c:fmtId val="3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Línea Tendencia Mensual Total Ventas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CO"/>
        </a:p>
      </c:txPr>
    </c:title>
    <c:autoTitleDeleted val="0"/>
    <c:pivotFmts>
      <c:pivotFmt>
        <c:idx val="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 Dinámica'!$B$19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multiLvlStrRef>
              <c:f>'Tabla Dinámica'!$A$20:$A$46</c:f>
              <c:multiLvlStrCache>
                <c:ptCount val="24"/>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lvl>
                <c:lvl>
                  <c:pt idx="0">
                    <c:v>2025</c:v>
                  </c:pt>
                  <c:pt idx="12">
                    <c:v>2026</c:v>
                  </c:pt>
                </c:lvl>
              </c:multiLvlStrCache>
            </c:multiLvlStrRef>
          </c:cat>
          <c:val>
            <c:numRef>
              <c:f>'Tabla Dinámica'!$B$20:$B$46</c:f>
              <c:numCache>
                <c:formatCode>_("$"* #,##0.00_);_("$"* \(#,##0.00\);_("$"* "-"??_);_(@_)</c:formatCode>
                <c:ptCount val="24"/>
                <c:pt idx="0">
                  <c:v>631662.79999999993</c:v>
                </c:pt>
                <c:pt idx="1">
                  <c:v>5654620.7800000012</c:v>
                </c:pt>
                <c:pt idx="2">
                  <c:v>5769124.4200000018</c:v>
                </c:pt>
                <c:pt idx="3">
                  <c:v>5287208.4200000009</c:v>
                </c:pt>
                <c:pt idx="4">
                  <c:v>4355592.9799999986</c:v>
                </c:pt>
                <c:pt idx="5">
                  <c:v>4895219.8899999997</c:v>
                </c:pt>
                <c:pt idx="6">
                  <c:v>4551200.8500000006</c:v>
                </c:pt>
                <c:pt idx="7">
                  <c:v>4962275.53</c:v>
                </c:pt>
                <c:pt idx="8">
                  <c:v>4323690.0799999982</c:v>
                </c:pt>
                <c:pt idx="9">
                  <c:v>4132942.7</c:v>
                </c:pt>
                <c:pt idx="10">
                  <c:v>4587404.9500000011</c:v>
                </c:pt>
                <c:pt idx="11">
                  <c:v>4565614.1199999992</c:v>
                </c:pt>
                <c:pt idx="12">
                  <c:v>3833677.290000001</c:v>
                </c:pt>
                <c:pt idx="13">
                  <c:v>53043.22</c:v>
                </c:pt>
                <c:pt idx="14">
                  <c:v>40139.230000000003</c:v>
                </c:pt>
                <c:pt idx="15">
                  <c:v>54137.09</c:v>
                </c:pt>
                <c:pt idx="16">
                  <c:v>66034.38</c:v>
                </c:pt>
                <c:pt idx="17">
                  <c:v>45403.4</c:v>
                </c:pt>
                <c:pt idx="18">
                  <c:v>45911.42</c:v>
                </c:pt>
                <c:pt idx="19">
                  <c:v>66280.289999999994</c:v>
                </c:pt>
                <c:pt idx="20">
                  <c:v>69271.429999999993</c:v>
                </c:pt>
                <c:pt idx="21">
                  <c:v>49548.07</c:v>
                </c:pt>
                <c:pt idx="22">
                  <c:v>50195.06</c:v>
                </c:pt>
                <c:pt idx="23">
                  <c:v>44539.42</c:v>
                </c:pt>
              </c:numCache>
            </c:numRef>
          </c:val>
          <c:smooth val="0"/>
          <c:extLst>
            <c:ext xmlns:c16="http://schemas.microsoft.com/office/drawing/2014/chart" uri="{C3380CC4-5D6E-409C-BE32-E72D297353CC}">
              <c16:uniqueId val="{00000000-6D1F-457A-8FFE-D28FE01F82F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11638640"/>
        <c:axId val="2111639600"/>
      </c:lineChart>
      <c:catAx>
        <c:axId val="21116386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CO"/>
          </a:p>
        </c:txPr>
        <c:crossAx val="2111639600"/>
        <c:crosses val="autoZero"/>
        <c:auto val="1"/>
        <c:lblAlgn val="ctr"/>
        <c:lblOffset val="100"/>
        <c:noMultiLvlLbl val="0"/>
      </c:catAx>
      <c:valAx>
        <c:axId val="2111639600"/>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CO"/>
          </a:p>
        </c:txPr>
        <c:crossAx val="211163864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[dataset_02_restaurante_Tablero.xlsx]Tabla Dinámica!TablaDinámica1</c:name>
    <c:fmtId val="41"/>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Distribución Total Tipo</a:t>
            </a:r>
            <a:r>
              <a:rPr lang="en-US" sz="1400" baseline="0"/>
              <a:t> Entrega</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9009258723174308"/>
              <c:y val="8.55871114401298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769278415749814"/>
              <c:y val="0.107176141658900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275635037145777E-3"/>
          <c:y val="0.20488658628761805"/>
          <c:w val="0.96706861133020527"/>
          <c:h val="0.78666370687820575"/>
        </c:manualLayout>
      </c:layout>
      <c:pie3DChart>
        <c:varyColors val="1"/>
        <c:ser>
          <c:idx val="0"/>
          <c:order val="0"/>
          <c:tx>
            <c:strRef>
              <c:f>'Tabla Dinámica'!$B$3:$B$4</c:f>
              <c:strCache>
                <c:ptCount val="1"/>
                <c:pt idx="0">
                  <c:v>Centro</c:v>
                </c:pt>
              </c:strCache>
            </c:strRef>
          </c:tx>
          <c:dPt>
            <c:idx val="0"/>
            <c:bubble3D val="0"/>
            <c:explosion val="2"/>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6-AFCC-4004-B61F-D1953990EFCE}"/>
              </c:ext>
            </c:extLst>
          </c:dPt>
          <c:dPt>
            <c:idx val="1"/>
            <c:bubble3D val="0"/>
            <c:explosion val="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FCC-4004-B61F-D1953990EFCE}"/>
              </c:ext>
            </c:extLst>
          </c:dPt>
          <c:dPt>
            <c:idx val="2"/>
            <c:bubble3D val="0"/>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FCC-4004-B61F-D1953990EFCE}"/>
              </c:ext>
            </c:extLst>
          </c:dPt>
          <c:dLbls>
            <c:dLbl>
              <c:idx val="0"/>
              <c:layout>
                <c:manualLayout>
                  <c:x val="-0.1769278415749814"/>
                  <c:y val="0.1071761416589002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FCC-4004-B61F-D1953990EFCE}"/>
                </c:ext>
              </c:extLst>
            </c:dLbl>
            <c:dLbl>
              <c:idx val="2"/>
              <c:layout>
                <c:manualLayout>
                  <c:x val="0.19009258723174308"/>
                  <c:y val="8.558711144012981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CC-4004-B61F-D1953990EFC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'Tabla Dinámica'!$A$5:$A$8</c:f>
              <c:strCache>
                <c:ptCount val="3"/>
                <c:pt idx="0">
                  <c:v>Domicilio</c:v>
                </c:pt>
                <c:pt idx="1">
                  <c:v>Mesa</c:v>
                </c:pt>
                <c:pt idx="2">
                  <c:v>Recoge</c:v>
                </c:pt>
              </c:strCache>
            </c:strRef>
          </c:cat>
          <c:val>
            <c:numRef>
              <c:f>'Tabla Dinámica'!$B$5:$B$8</c:f>
              <c:numCache>
                <c:formatCode>_("$"* #,##0.00_);_("$"* \(#,##0.00\);_("$"* "-"??_);_(@_)</c:formatCode>
                <c:ptCount val="3"/>
                <c:pt idx="0">
                  <c:v>5018706.919999999</c:v>
                </c:pt>
                <c:pt idx="1">
                  <c:v>4654526.669999999</c:v>
                </c:pt>
                <c:pt idx="2">
                  <c:v>5226960.99</c:v>
                </c:pt>
              </c:numCache>
            </c:numRef>
          </c:val>
          <c:extLst>
            <c:ext xmlns:c16="http://schemas.microsoft.com/office/drawing/2014/chart" uri="{C3380CC4-5D6E-409C-BE32-E72D297353CC}">
              <c16:uniqueId val="{00000000-AFCC-4004-B61F-D1953990EFCE}"/>
            </c:ext>
          </c:extLst>
        </c:ser>
        <c:ser>
          <c:idx val="1"/>
          <c:order val="1"/>
          <c:tx>
            <c:strRef>
              <c:f>'Tabla Dinámica'!$C$3:$C$4</c:f>
              <c:strCache>
                <c:ptCount val="1"/>
                <c:pt idx="0">
                  <c:v>Envigado</c:v>
                </c:pt>
              </c:strCache>
            </c:strRef>
          </c:tx>
          <c:dPt>
            <c:idx val="0"/>
            <c:bubble3D val="0"/>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424-4A88-B1E5-B5E337B70C1E}"/>
              </c:ext>
            </c:extLst>
          </c:dPt>
          <c:dPt>
            <c:idx val="1"/>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B424-4A88-B1E5-B5E337B70C1E}"/>
              </c:ext>
            </c:extLst>
          </c:dPt>
          <c:dPt>
            <c:idx val="2"/>
            <c:bubble3D val="0"/>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B424-4A88-B1E5-B5E337B70C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'Tabla Dinámica'!$A$5:$A$8</c:f>
              <c:strCache>
                <c:ptCount val="3"/>
                <c:pt idx="0">
                  <c:v>Domicilio</c:v>
                </c:pt>
                <c:pt idx="1">
                  <c:v>Mesa</c:v>
                </c:pt>
                <c:pt idx="2">
                  <c:v>Recoge</c:v>
                </c:pt>
              </c:strCache>
            </c:strRef>
          </c:cat>
          <c:val>
            <c:numRef>
              <c:f>'Tabla Dinámica'!$C$5:$C$8</c:f>
              <c:numCache>
                <c:formatCode>_("$"* #,##0.00_);_("$"* \(#,##0.00\);_("$"* "-"??_);_(@_)</c:formatCode>
                <c:ptCount val="3"/>
                <c:pt idx="0">
                  <c:v>4918545.41</c:v>
                </c:pt>
                <c:pt idx="1">
                  <c:v>5021866.3599999994</c:v>
                </c:pt>
                <c:pt idx="2">
                  <c:v>4699299.0000000009</c:v>
                </c:pt>
              </c:numCache>
            </c:numRef>
          </c:val>
          <c:extLst>
            <c:ext xmlns:c16="http://schemas.microsoft.com/office/drawing/2014/chart" uri="{C3380CC4-5D6E-409C-BE32-E72D297353CC}">
              <c16:uniqueId val="{0000001F-0214-4826-A588-BA1ACD5736F9}"/>
            </c:ext>
          </c:extLst>
        </c:ser>
        <c:ser>
          <c:idx val="2"/>
          <c:order val="2"/>
          <c:tx>
            <c:strRef>
              <c:f>'Tabla Dinámica'!$D$3:$D$4</c:f>
              <c:strCache>
                <c:ptCount val="1"/>
                <c:pt idx="0">
                  <c:v>Laureles</c:v>
                </c:pt>
              </c:strCache>
            </c:strRef>
          </c:tx>
          <c:dPt>
            <c:idx val="0"/>
            <c:bubble3D val="0"/>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B424-4A88-B1E5-B5E337B70C1E}"/>
              </c:ext>
            </c:extLst>
          </c:dPt>
          <c:dPt>
            <c:idx val="1"/>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B424-4A88-B1E5-B5E337B70C1E}"/>
              </c:ext>
            </c:extLst>
          </c:dPt>
          <c:dPt>
            <c:idx val="2"/>
            <c:bubble3D val="0"/>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B424-4A88-B1E5-B5E337B70C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'Tabla Dinámica'!$A$5:$A$8</c:f>
              <c:strCache>
                <c:ptCount val="3"/>
                <c:pt idx="0">
                  <c:v>Domicilio</c:v>
                </c:pt>
                <c:pt idx="1">
                  <c:v>Mesa</c:v>
                </c:pt>
                <c:pt idx="2">
                  <c:v>Recoge</c:v>
                </c:pt>
              </c:strCache>
            </c:strRef>
          </c:cat>
          <c:val>
            <c:numRef>
              <c:f>'Tabla Dinámica'!$D$5:$D$8</c:f>
              <c:numCache>
                <c:formatCode>_("$"* #,##0.00_);_("$"* \(#,##0.00\);_("$"* "-"??_);_(@_)</c:formatCode>
                <c:ptCount val="3"/>
                <c:pt idx="0">
                  <c:v>4828570.2200000016</c:v>
                </c:pt>
                <c:pt idx="1">
                  <c:v>4597582.8900000006</c:v>
                </c:pt>
                <c:pt idx="2">
                  <c:v>4664697.5800000019</c:v>
                </c:pt>
              </c:numCache>
            </c:numRef>
          </c:val>
          <c:extLst>
            <c:ext xmlns:c16="http://schemas.microsoft.com/office/drawing/2014/chart" uri="{C3380CC4-5D6E-409C-BE32-E72D297353CC}">
              <c16:uniqueId val="{00000020-0214-4826-A588-BA1ACD5736F9}"/>
            </c:ext>
          </c:extLst>
        </c:ser>
        <c:ser>
          <c:idx val="3"/>
          <c:order val="3"/>
          <c:tx>
            <c:strRef>
              <c:f>'Tabla Dinámica'!$E$3:$E$4</c:f>
              <c:strCache>
                <c:ptCount val="1"/>
                <c:pt idx="0">
                  <c:v>Poblado</c:v>
                </c:pt>
              </c:strCache>
            </c:strRef>
          </c:tx>
          <c:dPt>
            <c:idx val="0"/>
            <c:bubble3D val="0"/>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B424-4A88-B1E5-B5E337B70C1E}"/>
              </c:ext>
            </c:extLst>
          </c:dPt>
          <c:dPt>
            <c:idx val="1"/>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B424-4A88-B1E5-B5E337B70C1E}"/>
              </c:ext>
            </c:extLst>
          </c:dPt>
          <c:dPt>
            <c:idx val="2"/>
            <c:bubble3D val="0"/>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B424-4A88-B1E5-B5E337B70C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'Tabla Dinámica'!$A$5:$A$8</c:f>
              <c:strCache>
                <c:ptCount val="3"/>
                <c:pt idx="0">
                  <c:v>Domicilio</c:v>
                </c:pt>
                <c:pt idx="1">
                  <c:v>Mesa</c:v>
                </c:pt>
                <c:pt idx="2">
                  <c:v>Recoge</c:v>
                </c:pt>
              </c:strCache>
            </c:strRef>
          </c:cat>
          <c:val>
            <c:numRef>
              <c:f>'Tabla Dinámica'!$E$5:$E$8</c:f>
              <c:numCache>
                <c:formatCode>_("$"* #,##0.00_);_("$"* \(#,##0.00\);_("$"* "-"??_);_(@_)</c:formatCode>
                <c:ptCount val="3"/>
                <c:pt idx="0">
                  <c:v>5058811.330000001</c:v>
                </c:pt>
                <c:pt idx="1">
                  <c:v>4631365.8900000015</c:v>
                </c:pt>
                <c:pt idx="2">
                  <c:v>4813804.5600000005</c:v>
                </c:pt>
              </c:numCache>
            </c:numRef>
          </c:val>
          <c:extLst>
            <c:ext xmlns:c16="http://schemas.microsoft.com/office/drawing/2014/chart" uri="{C3380CC4-5D6E-409C-BE32-E72D297353CC}">
              <c16:uniqueId val="{00000021-0214-4826-A588-BA1ACD5736F9}"/>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[dataset_02_restaurante_Tablero.xlsx]Tabla Dinámica!TablaDinámica1</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O"/>
              <a:t>Ventas por Tipo de Servicio y Ciudad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 Dinámica'!$B$3:$B$4</c:f>
              <c:strCache>
                <c:ptCount val="1"/>
                <c:pt idx="0">
                  <c:v>Centro</c:v>
                </c:pt>
              </c:strCache>
            </c:strRef>
          </c:tx>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 Dinámica'!$A$5:$A$8</c:f>
              <c:strCache>
                <c:ptCount val="3"/>
                <c:pt idx="0">
                  <c:v>Domicilio</c:v>
                </c:pt>
                <c:pt idx="1">
                  <c:v>Mesa</c:v>
                </c:pt>
                <c:pt idx="2">
                  <c:v>Recoge</c:v>
                </c:pt>
              </c:strCache>
            </c:strRef>
          </c:cat>
          <c:val>
            <c:numRef>
              <c:f>'Tabla Dinámica'!$B$5:$B$8</c:f>
              <c:numCache>
                <c:formatCode>_("$"* #,##0.00_);_("$"* \(#,##0.00\);_("$"* "-"??_);_(@_)</c:formatCode>
                <c:ptCount val="3"/>
                <c:pt idx="0">
                  <c:v>5018706.919999999</c:v>
                </c:pt>
                <c:pt idx="1">
                  <c:v>4654526.669999999</c:v>
                </c:pt>
                <c:pt idx="2">
                  <c:v>5226960.99</c:v>
                </c:pt>
              </c:numCache>
            </c:numRef>
          </c:val>
          <c:extLst>
            <c:ext xmlns:c16="http://schemas.microsoft.com/office/drawing/2014/chart" uri="{C3380CC4-5D6E-409C-BE32-E72D297353CC}">
              <c16:uniqueId val="{00000000-73B5-460A-BD3F-32E46DE18C7C}"/>
            </c:ext>
          </c:extLst>
        </c:ser>
        <c:ser>
          <c:idx val="1"/>
          <c:order val="1"/>
          <c:tx>
            <c:strRef>
              <c:f>'Tabla Dinámica'!$C$3:$C$4</c:f>
              <c:strCache>
                <c:ptCount val="1"/>
                <c:pt idx="0">
                  <c:v>Envigado</c:v>
                </c:pt>
              </c:strCache>
            </c:strRef>
          </c:tx>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 Dinámica'!$A$5:$A$8</c:f>
              <c:strCache>
                <c:ptCount val="3"/>
                <c:pt idx="0">
                  <c:v>Domicilio</c:v>
                </c:pt>
                <c:pt idx="1">
                  <c:v>Mesa</c:v>
                </c:pt>
                <c:pt idx="2">
                  <c:v>Recoge</c:v>
                </c:pt>
              </c:strCache>
            </c:strRef>
          </c:cat>
          <c:val>
            <c:numRef>
              <c:f>'Tabla Dinámica'!$C$5:$C$8</c:f>
              <c:numCache>
                <c:formatCode>_("$"* #,##0.00_);_("$"* \(#,##0.00\);_("$"* "-"??_);_(@_)</c:formatCode>
                <c:ptCount val="3"/>
                <c:pt idx="0">
                  <c:v>4918545.41</c:v>
                </c:pt>
                <c:pt idx="1">
                  <c:v>5021866.3599999994</c:v>
                </c:pt>
                <c:pt idx="2">
                  <c:v>4699299.0000000009</c:v>
                </c:pt>
              </c:numCache>
            </c:numRef>
          </c:val>
          <c:extLst>
            <c:ext xmlns:c16="http://schemas.microsoft.com/office/drawing/2014/chart" uri="{C3380CC4-5D6E-409C-BE32-E72D297353CC}">
              <c16:uniqueId val="{00000007-5654-4625-80A4-E096D8499606}"/>
            </c:ext>
          </c:extLst>
        </c:ser>
        <c:ser>
          <c:idx val="2"/>
          <c:order val="2"/>
          <c:tx>
            <c:strRef>
              <c:f>'Tabla Dinámica'!$D$3:$D$4</c:f>
              <c:strCache>
                <c:ptCount val="1"/>
                <c:pt idx="0">
                  <c:v>Laureles</c:v>
                </c:pt>
              </c:strCache>
            </c:strRef>
          </c:tx>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 Dinámica'!$A$5:$A$8</c:f>
              <c:strCache>
                <c:ptCount val="3"/>
                <c:pt idx="0">
                  <c:v>Domicilio</c:v>
                </c:pt>
                <c:pt idx="1">
                  <c:v>Mesa</c:v>
                </c:pt>
                <c:pt idx="2">
                  <c:v>Recoge</c:v>
                </c:pt>
              </c:strCache>
            </c:strRef>
          </c:cat>
          <c:val>
            <c:numRef>
              <c:f>'Tabla Dinámica'!$D$5:$D$8</c:f>
              <c:numCache>
                <c:formatCode>_("$"* #,##0.00_);_("$"* \(#,##0.00\);_("$"* "-"??_);_(@_)</c:formatCode>
                <c:ptCount val="3"/>
                <c:pt idx="0">
                  <c:v>4828570.2200000016</c:v>
                </c:pt>
                <c:pt idx="1">
                  <c:v>4597582.8900000006</c:v>
                </c:pt>
                <c:pt idx="2">
                  <c:v>4664697.5800000019</c:v>
                </c:pt>
              </c:numCache>
            </c:numRef>
          </c:val>
          <c:extLst>
            <c:ext xmlns:c16="http://schemas.microsoft.com/office/drawing/2014/chart" uri="{C3380CC4-5D6E-409C-BE32-E72D297353CC}">
              <c16:uniqueId val="{00000008-5654-4625-80A4-E096D8499606}"/>
            </c:ext>
          </c:extLst>
        </c:ser>
        <c:ser>
          <c:idx val="3"/>
          <c:order val="3"/>
          <c:tx>
            <c:strRef>
              <c:f>'Tabla Dinámica'!$E$3:$E$4</c:f>
              <c:strCache>
                <c:ptCount val="1"/>
                <c:pt idx="0">
                  <c:v>Poblado</c:v>
                </c:pt>
              </c:strCache>
            </c:strRef>
          </c:tx>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 Dinámica'!$A$5:$A$8</c:f>
              <c:strCache>
                <c:ptCount val="3"/>
                <c:pt idx="0">
                  <c:v>Domicilio</c:v>
                </c:pt>
                <c:pt idx="1">
                  <c:v>Mesa</c:v>
                </c:pt>
                <c:pt idx="2">
                  <c:v>Recoge</c:v>
                </c:pt>
              </c:strCache>
            </c:strRef>
          </c:cat>
          <c:val>
            <c:numRef>
              <c:f>'Tabla Dinámica'!$E$5:$E$8</c:f>
              <c:numCache>
                <c:formatCode>_("$"* #,##0.00_);_("$"* \(#,##0.00\);_("$"* "-"??_);_(@_)</c:formatCode>
                <c:ptCount val="3"/>
                <c:pt idx="0">
                  <c:v>5058811.330000001</c:v>
                </c:pt>
                <c:pt idx="1">
                  <c:v>4631365.8900000015</c:v>
                </c:pt>
                <c:pt idx="2">
                  <c:v>4813804.5600000005</c:v>
                </c:pt>
              </c:numCache>
            </c:numRef>
          </c:val>
          <c:extLst>
            <c:ext xmlns:c16="http://schemas.microsoft.com/office/drawing/2014/chart" uri="{C3380CC4-5D6E-409C-BE32-E72D297353CC}">
              <c16:uniqueId val="{00000009-5654-4625-80A4-E096D8499606}"/>
            </c:ext>
          </c:extLst>
        </c:ser>
        <c:dLbls>
          <c:showLegendKey val="0"/>
          <c:showVal val="0"/>
          <c:showCatName val="0"/>
          <c:showSerName val="0"/>
          <c:showPercent val="0"/>
          <c:showBubbleSize val="0"/>
        </c:dLbls>
        <c:gapWidth val="100"/>
        <c:overlap val="-24"/>
        <c:axId val="884277071"/>
        <c:axId val="884265551"/>
      </c:barChart>
      <c:catAx>
        <c:axId val="8842770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4265551"/>
        <c:crosses val="autoZero"/>
        <c:auto val="1"/>
        <c:lblAlgn val="ctr"/>
        <c:lblOffset val="100"/>
        <c:noMultiLvlLbl val="0"/>
      </c:catAx>
      <c:valAx>
        <c:axId val="88426555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427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[dataset_02_restaurante_Tablero.xlsx]Tabla Dinámica!TablaDinámica2</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O"/>
              <a:t>Total Ventas Categoría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'Tabla Dinámica'!$B$11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 Dinámica'!$A$12:$A$17</c:f>
              <c:strCache>
                <c:ptCount val="5"/>
                <c:pt idx="0">
                  <c:v>Bebidas</c:v>
                </c:pt>
                <c:pt idx="1">
                  <c:v>Vegano</c:v>
                </c:pt>
                <c:pt idx="2">
                  <c:v>Pasta</c:v>
                </c:pt>
                <c:pt idx="3">
                  <c:v>Comida rapida</c:v>
                </c:pt>
                <c:pt idx="4">
                  <c:v>Parrilla</c:v>
                </c:pt>
              </c:strCache>
            </c:strRef>
          </c:cat>
          <c:val>
            <c:numRef>
              <c:f>'Tabla Dinámica'!$B$12:$B$17</c:f>
              <c:numCache>
                <c:formatCode>_("$"* #,##0.00_);_("$"* \(#,##0.00\);_("$"* "-"??_);_(@_)</c:formatCode>
                <c:ptCount val="5"/>
                <c:pt idx="0">
                  <c:v>11316065.640000004</c:v>
                </c:pt>
                <c:pt idx="1">
                  <c:v>11353654.259999994</c:v>
                </c:pt>
                <c:pt idx="2">
                  <c:v>11620521.079999998</c:v>
                </c:pt>
                <c:pt idx="3">
                  <c:v>11706493.050000003</c:v>
                </c:pt>
                <c:pt idx="4">
                  <c:v>12138003.789999986</c:v>
                </c:pt>
              </c:numCache>
            </c:numRef>
          </c:val>
          <c:extLst>
            <c:ext xmlns:c16="http://schemas.microsoft.com/office/drawing/2014/chart" uri="{C3380CC4-5D6E-409C-BE32-E72D297353CC}">
              <c16:uniqueId val="{00000000-83B0-4B91-8045-A3AA80A1E43F}"/>
            </c:ext>
          </c:extLst>
        </c:ser>
        <c:dLbls>
          <c:showLegendKey val="0"/>
          <c:showVal val="1"/>
          <c:showCatName val="0"/>
          <c:showSerName val="0"/>
          <c:showPercent val="0"/>
          <c:showBubbleSize val="0"/>
        </c:dLbls>
        <c:gapWidth val="150"/>
        <c:shape val="box"/>
        <c:axId val="884293391"/>
        <c:axId val="884292911"/>
        <c:axId val="0"/>
      </c:bar3DChart>
      <c:catAx>
        <c:axId val="88429339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4292911"/>
        <c:crosses val="autoZero"/>
        <c:auto val="1"/>
        <c:lblAlgn val="ctr"/>
        <c:lblOffset val="100"/>
        <c:noMultiLvlLbl val="0"/>
      </c:catAx>
      <c:valAx>
        <c:axId val="88429291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429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487680</xdr:colOff>
      <xdr:row>23</xdr:row>
      <xdr:rowOff>150697</xdr:rowOff>
    </xdr:from>
    <xdr:to>
      <xdr:col>24</xdr:col>
      <xdr:colOff>132034</xdr:colOff>
      <xdr:row>27</xdr:row>
      <xdr:rowOff>40191</xdr:rowOff>
    </xdr:to>
    <xdr:pic>
      <xdr:nvPicPr>
        <xdr:cNvPr id="2" name="Imagen 1">
          <a:extLst>
            <a:ext uri="{FF2B5EF4-FFF2-40B4-BE49-F238E27FC236}">
              <a16:creationId xmlns:a16="http://schemas.microsoft.com/office/drawing/2014/main" id="{9B2C495F-21A0-AC91-4FA7-5BEDE6ECFD95}"/>
            </a:ext>
          </a:extLst>
        </xdr:cNvPr>
        <xdr:cNvPicPr>
          <a:picLocks noChangeAspect="1"/>
        </xdr:cNvPicPr>
      </xdr:nvPicPr>
      <xdr:blipFill>
        <a:blip xmlns:r="http://schemas.openxmlformats.org/officeDocument/2006/relationships" r:embed="rId1"/>
        <a:stretch>
          <a:fillRect/>
        </a:stretch>
      </xdr:blipFill>
      <xdr:spPr>
        <a:xfrm>
          <a:off x="14409420" y="4722697"/>
          <a:ext cx="8262574" cy="621014"/>
        </a:xfrm>
        <a:prstGeom prst="rect">
          <a:avLst/>
        </a:prstGeom>
      </xdr:spPr>
    </xdr:pic>
    <xdr:clientData/>
  </xdr:twoCellAnchor>
  <xdr:twoCellAnchor>
    <xdr:from>
      <xdr:col>19</xdr:col>
      <xdr:colOff>1150620</xdr:colOff>
      <xdr:row>23</xdr:row>
      <xdr:rowOff>121920</xdr:rowOff>
    </xdr:from>
    <xdr:to>
      <xdr:col>20</xdr:col>
      <xdr:colOff>601980</xdr:colOff>
      <xdr:row>27</xdr:row>
      <xdr:rowOff>99060</xdr:rowOff>
    </xdr:to>
    <xdr:sp macro="" textlink="">
      <xdr:nvSpPr>
        <xdr:cNvPr id="3" name="Rectángulo: esquinas redondeadas 2">
          <a:extLst>
            <a:ext uri="{FF2B5EF4-FFF2-40B4-BE49-F238E27FC236}">
              <a16:creationId xmlns:a16="http://schemas.microsoft.com/office/drawing/2014/main" id="{4EBC5C15-AA73-4AB8-D437-596AFD5F55D1}"/>
            </a:ext>
          </a:extLst>
        </xdr:cNvPr>
        <xdr:cNvSpPr/>
      </xdr:nvSpPr>
      <xdr:spPr>
        <a:xfrm>
          <a:off x="17998440" y="4693920"/>
          <a:ext cx="815340" cy="70866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68580</xdr:colOff>
      <xdr:row>18</xdr:row>
      <xdr:rowOff>114300</xdr:rowOff>
    </xdr:from>
    <xdr:to>
      <xdr:col>9</xdr:col>
      <xdr:colOff>289560</xdr:colOff>
      <xdr:row>33</xdr:row>
      <xdr:rowOff>135467</xdr:rowOff>
    </xdr:to>
    <xdr:graphicFrame macro="">
      <xdr:nvGraphicFramePr>
        <xdr:cNvPr id="3" name="Gráfico 2">
          <a:extLst>
            <a:ext uri="{FF2B5EF4-FFF2-40B4-BE49-F238E27FC236}">
              <a16:creationId xmlns:a16="http://schemas.microsoft.com/office/drawing/2014/main" id="{446257D0-E4B9-9262-AB46-6B657613D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320040</xdr:colOff>
      <xdr:row>3</xdr:row>
      <xdr:rowOff>84667</xdr:rowOff>
    </xdr:from>
    <xdr:to>
      <xdr:col>12</xdr:col>
      <xdr:colOff>388620</xdr:colOff>
      <xdr:row>18</xdr:row>
      <xdr:rowOff>84667</xdr:rowOff>
    </xdr:to>
    <xdr:graphicFrame macro="">
      <xdr:nvGraphicFramePr>
        <xdr:cNvPr id="6" name="Gráfico 5">
          <a:extLst>
            <a:ext uri="{FF2B5EF4-FFF2-40B4-BE49-F238E27FC236}">
              <a16:creationId xmlns:a16="http://schemas.microsoft.com/office/drawing/2014/main" id="{A8E11BA8-E78A-E165-8AB0-848E789A2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83820</xdr:colOff>
      <xdr:row>3</xdr:row>
      <xdr:rowOff>72390</xdr:rowOff>
    </xdr:from>
    <xdr:to>
      <xdr:col>9</xdr:col>
      <xdr:colOff>281940</xdr:colOff>
      <xdr:row>18</xdr:row>
      <xdr:rowOff>72390</xdr:rowOff>
    </xdr:to>
    <xdr:graphicFrame macro="">
      <xdr:nvGraphicFramePr>
        <xdr:cNvPr id="7" name="Gráfico 6">
          <a:extLst>
            <a:ext uri="{FF2B5EF4-FFF2-40B4-BE49-F238E27FC236}">
              <a16:creationId xmlns:a16="http://schemas.microsoft.com/office/drawing/2014/main" id="{9651EF2C-7B01-BE49-F145-622BAD697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347132</xdr:colOff>
      <xdr:row>18</xdr:row>
      <xdr:rowOff>122345</xdr:rowOff>
    </xdr:from>
    <xdr:to>
      <xdr:col>12</xdr:col>
      <xdr:colOff>396239</xdr:colOff>
      <xdr:row>33</xdr:row>
      <xdr:rowOff>135467</xdr:rowOff>
    </xdr:to>
    <xdr:graphicFrame macro="">
      <xdr:nvGraphicFramePr>
        <xdr:cNvPr id="8" name="Gráfico 7">
          <a:extLst>
            <a:ext uri="{FF2B5EF4-FFF2-40B4-BE49-F238E27FC236}">
              <a16:creationId xmlns:a16="http://schemas.microsoft.com/office/drawing/2014/main" id="{7FEBE429-9997-E9BF-D1BD-74A7E050E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422486</xdr:colOff>
      <xdr:row>15</xdr:row>
      <xdr:rowOff>126154</xdr:rowOff>
    </xdr:from>
    <xdr:to>
      <xdr:col>15</xdr:col>
      <xdr:colOff>778086</xdr:colOff>
      <xdr:row>23</xdr:row>
      <xdr:rowOff>57574</xdr:rowOff>
    </xdr:to>
    <mc:AlternateContent xmlns:mc="http://schemas.openxmlformats.org/markup-compatibility/2006">
      <mc:Choice xmlns:a14="http://schemas.microsoft.com/office/drawing/2010/main" Requires="a14">
        <xdr:graphicFrame macro="">
          <xdr:nvGraphicFramePr>
            <xdr:cNvPr id="10" name="sede">
              <a:extLst>
                <a:ext uri="{FF2B5EF4-FFF2-40B4-BE49-F238E27FC236}">
                  <a16:creationId xmlns:a16="http://schemas.microsoft.com/office/drawing/2014/main" id="{31AA275B-4DBB-27F7-384A-CD48660D492D}"/>
                </a:ext>
              </a:extLst>
            </xdr:cNvPr>
            <xdr:cNvGraphicFramePr/>
          </xdr:nvGraphicFramePr>
          <xdr:xfrm>
            <a:off x="0" y="0"/>
            <a:ext cx="0" cy="0"/>
          </xdr:xfrm>
          <a:graphic>
            <a:graphicData uri="http://schemas.microsoft.com/office/drawing/2010/slicer">
              <sle:slicer xmlns:sle="http://schemas.microsoft.com/office/drawing/2010/slicer" name="sede"/>
            </a:graphicData>
          </a:graphic>
        </xdr:graphicFrame>
      </mc:Choice>
      <mc:Fallback>
        <xdr:sp macro="" textlink="">
          <xdr:nvSpPr>
            <xdr:cNvPr id="0" name=""/>
            <xdr:cNvSpPr>
              <a:spLocks noTextEdit="1"/>
            </xdr:cNvSpPr>
          </xdr:nvSpPr>
          <xdr:spPr>
            <a:xfrm>
              <a:off x="11547686" y="2920154"/>
              <a:ext cx="1828800" cy="1421553"/>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430106</xdr:colOff>
      <xdr:row>9</xdr:row>
      <xdr:rowOff>39795</xdr:rowOff>
    </xdr:from>
    <xdr:to>
      <xdr:col>15</xdr:col>
      <xdr:colOff>785706</xdr:colOff>
      <xdr:row>15</xdr:row>
      <xdr:rowOff>115995</xdr:rowOff>
    </xdr:to>
    <mc:AlternateContent xmlns:mc="http://schemas.openxmlformats.org/markup-compatibility/2006">
      <mc:Choice xmlns:a14="http://schemas.microsoft.com/office/drawing/2010/main" Requires="a14">
        <xdr:graphicFrame macro="">
          <xdr:nvGraphicFramePr>
            <xdr:cNvPr id="11" name="tipo_servicio">
              <a:extLst>
                <a:ext uri="{FF2B5EF4-FFF2-40B4-BE49-F238E27FC236}">
                  <a16:creationId xmlns:a16="http://schemas.microsoft.com/office/drawing/2014/main" id="{E62559F7-9B45-3B43-EFE7-56FAB5AD8BC1}"/>
                </a:ext>
              </a:extLst>
            </xdr:cNvPr>
            <xdr:cNvGraphicFramePr/>
          </xdr:nvGraphicFramePr>
          <xdr:xfrm>
            <a:off x="0" y="0"/>
            <a:ext cx="0" cy="0"/>
          </xdr:xfrm>
          <a:graphic>
            <a:graphicData uri="http://schemas.microsoft.com/office/drawing/2010/slicer">
              <sle:slicer xmlns:sle="http://schemas.microsoft.com/office/drawing/2010/slicer" name="tipo_servicio"/>
            </a:graphicData>
          </a:graphic>
        </xdr:graphicFrame>
      </mc:Choice>
      <mc:Fallback>
        <xdr:sp macro="" textlink="">
          <xdr:nvSpPr>
            <xdr:cNvPr id="0" name=""/>
            <xdr:cNvSpPr>
              <a:spLocks noTextEdit="1"/>
            </xdr:cNvSpPr>
          </xdr:nvSpPr>
          <xdr:spPr>
            <a:xfrm>
              <a:off x="11555306" y="1716195"/>
              <a:ext cx="1828800" cy="1193800"/>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415713</xdr:colOff>
      <xdr:row>23</xdr:row>
      <xdr:rowOff>61807</xdr:rowOff>
    </xdr:from>
    <xdr:to>
      <xdr:col>15</xdr:col>
      <xdr:colOff>768773</xdr:colOff>
      <xdr:row>32</xdr:row>
      <xdr:rowOff>84667</xdr:rowOff>
    </xdr:to>
    <mc:AlternateContent xmlns:mc="http://schemas.openxmlformats.org/markup-compatibility/2006">
      <mc:Choice xmlns:a14="http://schemas.microsoft.com/office/drawing/2010/main" Requires="a14">
        <xdr:graphicFrame macro="">
          <xdr:nvGraphicFramePr>
            <xdr:cNvPr id="12" name="categoria_menu">
              <a:extLst>
                <a:ext uri="{FF2B5EF4-FFF2-40B4-BE49-F238E27FC236}">
                  <a16:creationId xmlns:a16="http://schemas.microsoft.com/office/drawing/2014/main" id="{F06F2799-4FD5-1E63-AD8A-E5F13D286760}"/>
                </a:ext>
              </a:extLst>
            </xdr:cNvPr>
            <xdr:cNvGraphicFramePr/>
          </xdr:nvGraphicFramePr>
          <xdr:xfrm>
            <a:off x="0" y="0"/>
            <a:ext cx="0" cy="0"/>
          </xdr:xfrm>
          <a:graphic>
            <a:graphicData uri="http://schemas.microsoft.com/office/drawing/2010/slicer">
              <sle:slicer xmlns:sle="http://schemas.microsoft.com/office/drawing/2010/slicer" name="categoria_menu"/>
            </a:graphicData>
          </a:graphic>
        </xdr:graphicFrame>
      </mc:Choice>
      <mc:Fallback>
        <xdr:sp macro="" textlink="">
          <xdr:nvSpPr>
            <xdr:cNvPr id="0" name=""/>
            <xdr:cNvSpPr>
              <a:spLocks noTextEdit="1"/>
            </xdr:cNvSpPr>
          </xdr:nvSpPr>
          <xdr:spPr>
            <a:xfrm>
              <a:off x="11540913" y="4345940"/>
              <a:ext cx="1826260" cy="1699260"/>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802640</xdr:colOff>
      <xdr:row>4</xdr:row>
      <xdr:rowOff>44027</xdr:rowOff>
    </xdr:from>
    <xdr:to>
      <xdr:col>16</xdr:col>
      <xdr:colOff>1160780</xdr:colOff>
      <xdr:row>23</xdr:row>
      <xdr:rowOff>8466</xdr:rowOff>
    </xdr:to>
    <mc:AlternateContent xmlns:mc="http://schemas.openxmlformats.org/markup-compatibility/2006">
      <mc:Choice xmlns:a14="http://schemas.microsoft.com/office/drawing/2010/main" Requires="a14">
        <xdr:graphicFrame macro="">
          <xdr:nvGraphicFramePr>
            <xdr:cNvPr id="13" name="Meses (fecha_orden)">
              <a:extLst>
                <a:ext uri="{FF2B5EF4-FFF2-40B4-BE49-F238E27FC236}">
                  <a16:creationId xmlns:a16="http://schemas.microsoft.com/office/drawing/2014/main" id="{4228171E-B9C7-0001-115F-3D90A665E89D}"/>
                </a:ext>
              </a:extLst>
            </xdr:cNvPr>
            <xdr:cNvGraphicFramePr/>
          </xdr:nvGraphicFramePr>
          <xdr:xfrm>
            <a:off x="0" y="0"/>
            <a:ext cx="0" cy="0"/>
          </xdr:xfrm>
          <a:graphic>
            <a:graphicData uri="http://schemas.microsoft.com/office/drawing/2010/slicer">
              <sle:slicer xmlns:sle="http://schemas.microsoft.com/office/drawing/2010/slicer" name="Meses (fecha_orden)"/>
            </a:graphicData>
          </a:graphic>
        </xdr:graphicFrame>
      </mc:Choice>
      <mc:Fallback>
        <xdr:sp macro="" textlink="">
          <xdr:nvSpPr>
            <xdr:cNvPr id="0" name=""/>
            <xdr:cNvSpPr>
              <a:spLocks noTextEdit="1"/>
            </xdr:cNvSpPr>
          </xdr:nvSpPr>
          <xdr:spPr>
            <a:xfrm>
              <a:off x="13401040" y="789094"/>
              <a:ext cx="1831340" cy="3503505"/>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425027</xdr:colOff>
      <xdr:row>4</xdr:row>
      <xdr:rowOff>45720</xdr:rowOff>
    </xdr:from>
    <xdr:to>
      <xdr:col>15</xdr:col>
      <xdr:colOff>783167</xdr:colOff>
      <xdr:row>9</xdr:row>
      <xdr:rowOff>38099</xdr:rowOff>
    </xdr:to>
    <mc:AlternateContent xmlns:mc="http://schemas.openxmlformats.org/markup-compatibility/2006">
      <mc:Choice xmlns:a14="http://schemas.microsoft.com/office/drawing/2010/main" Requires="a14">
        <xdr:graphicFrame macro="">
          <xdr:nvGraphicFramePr>
            <xdr:cNvPr id="14" name="Años (fecha_orden)">
              <a:extLst>
                <a:ext uri="{FF2B5EF4-FFF2-40B4-BE49-F238E27FC236}">
                  <a16:creationId xmlns:a16="http://schemas.microsoft.com/office/drawing/2014/main" id="{9D0941EF-DA64-6F5E-6B01-AC431E2C8BF5}"/>
                </a:ext>
              </a:extLst>
            </xdr:cNvPr>
            <xdr:cNvGraphicFramePr/>
          </xdr:nvGraphicFramePr>
          <xdr:xfrm>
            <a:off x="0" y="0"/>
            <a:ext cx="0" cy="0"/>
          </xdr:xfrm>
          <a:graphic>
            <a:graphicData uri="http://schemas.microsoft.com/office/drawing/2010/slicer">
              <sle:slicer xmlns:sle="http://schemas.microsoft.com/office/drawing/2010/slicer" name="Años (fecha_orden)"/>
            </a:graphicData>
          </a:graphic>
        </xdr:graphicFrame>
      </mc:Choice>
      <mc:Fallback>
        <xdr:sp macro="" textlink="">
          <xdr:nvSpPr>
            <xdr:cNvPr id="0" name=""/>
            <xdr:cNvSpPr>
              <a:spLocks noTextEdit="1"/>
            </xdr:cNvSpPr>
          </xdr:nvSpPr>
          <xdr:spPr>
            <a:xfrm>
              <a:off x="11550227" y="790787"/>
              <a:ext cx="1831340" cy="923712"/>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702733</xdr:colOff>
      <xdr:row>7</xdr:row>
      <xdr:rowOff>110065</xdr:rowOff>
    </xdr:from>
    <xdr:to>
      <xdr:col>14</xdr:col>
      <xdr:colOff>245533</xdr:colOff>
      <xdr:row>13</xdr:row>
      <xdr:rowOff>8466</xdr:rowOff>
    </xdr:to>
    <xdr:grpSp>
      <xdr:nvGrpSpPr>
        <xdr:cNvPr id="15" name="Grupo 14">
          <a:extLst>
            <a:ext uri="{FF2B5EF4-FFF2-40B4-BE49-F238E27FC236}">
              <a16:creationId xmlns:a16="http://schemas.microsoft.com/office/drawing/2014/main" id="{4708BA1F-977E-1AFA-BD3E-1F396BAA274B}"/>
            </a:ext>
          </a:extLst>
        </xdr:cNvPr>
        <xdr:cNvGrpSpPr/>
      </xdr:nvGrpSpPr>
      <xdr:grpSpPr>
        <a:xfrm>
          <a:off x="9541933" y="1413932"/>
          <a:ext cx="1828800" cy="1016001"/>
          <a:chOff x="17399000" y="3826933"/>
          <a:chExt cx="1828800" cy="1016001"/>
        </a:xfrm>
      </xdr:grpSpPr>
      <xdr:sp macro="" textlink="$C$17">
        <xdr:nvSpPr>
          <xdr:cNvPr id="2" name="Rectángulo: esquinas redondeadas 1">
            <a:extLst>
              <a:ext uri="{FF2B5EF4-FFF2-40B4-BE49-F238E27FC236}">
                <a16:creationId xmlns:a16="http://schemas.microsoft.com/office/drawing/2014/main" id="{2BFE418E-7C7F-878B-C270-D7232D9A9E82}"/>
              </a:ext>
            </a:extLst>
          </xdr:cNvPr>
          <xdr:cNvSpPr/>
        </xdr:nvSpPr>
        <xdr:spPr>
          <a:xfrm>
            <a:off x="17399000" y="4233334"/>
            <a:ext cx="1820333" cy="609600"/>
          </a:xfrm>
          <a:prstGeom prst="roundRect">
            <a:avLst/>
          </a:prstGeom>
          <a:ln w="2857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78D1843-196F-44EA-94C2-DD68C9F5FF0D}" type="TxLink">
              <a:rPr lang="en-US" sz="1800" b="0" i="0" u="none" strike="noStrike">
                <a:solidFill>
                  <a:srgbClr val="000000"/>
                </a:solidFill>
                <a:latin typeface="Calibri"/>
                <a:ea typeface="Calibri"/>
                <a:cs typeface="Calibri"/>
              </a:rPr>
              <a:pPr algn="ctr"/>
              <a:t> $ 58.134.737,82 </a:t>
            </a:fld>
            <a:endParaRPr lang="es-CO" sz="1800"/>
          </a:p>
        </xdr:txBody>
      </xdr:sp>
      <xdr:sp macro="" textlink="">
        <xdr:nvSpPr>
          <xdr:cNvPr id="4" name="Rectángulo 3">
            <a:extLst>
              <a:ext uri="{FF2B5EF4-FFF2-40B4-BE49-F238E27FC236}">
                <a16:creationId xmlns:a16="http://schemas.microsoft.com/office/drawing/2014/main" id="{BA4E9906-6C61-D38E-0794-6A9DE07DBABB}"/>
              </a:ext>
            </a:extLst>
          </xdr:cNvPr>
          <xdr:cNvSpPr/>
        </xdr:nvSpPr>
        <xdr:spPr>
          <a:xfrm>
            <a:off x="17399000" y="3826933"/>
            <a:ext cx="1828800" cy="36406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s-CO" sz="1400" b="1"/>
              <a:t>TOTAL VENTAS</a:t>
            </a:r>
          </a:p>
        </xdr:txBody>
      </xdr:sp>
    </xdr:grpSp>
    <xdr:clientData/>
  </xdr:twoCellAnchor>
  <xdr:twoCellAnchor>
    <xdr:from>
      <xdr:col>12</xdr:col>
      <xdr:colOff>685800</xdr:colOff>
      <xdr:row>14</xdr:row>
      <xdr:rowOff>143932</xdr:rowOff>
    </xdr:from>
    <xdr:to>
      <xdr:col>14</xdr:col>
      <xdr:colOff>237066</xdr:colOff>
      <xdr:row>21</xdr:row>
      <xdr:rowOff>33867</xdr:rowOff>
    </xdr:to>
    <xdr:grpSp>
      <xdr:nvGrpSpPr>
        <xdr:cNvPr id="16" name="Grupo 15">
          <a:extLst>
            <a:ext uri="{FF2B5EF4-FFF2-40B4-BE49-F238E27FC236}">
              <a16:creationId xmlns:a16="http://schemas.microsoft.com/office/drawing/2014/main" id="{E6DBB78A-7369-AD51-9456-B94CDFAEEECE}"/>
            </a:ext>
          </a:extLst>
        </xdr:cNvPr>
        <xdr:cNvGrpSpPr/>
      </xdr:nvGrpSpPr>
      <xdr:grpSpPr>
        <a:xfrm>
          <a:off x="9525000" y="2751665"/>
          <a:ext cx="1837266" cy="1193802"/>
          <a:chOff x="17382067" y="4902199"/>
          <a:chExt cx="1837266" cy="1193802"/>
        </a:xfrm>
      </xdr:grpSpPr>
      <xdr:sp macro="" textlink="$F$25">
        <xdr:nvSpPr>
          <xdr:cNvPr id="5" name="Rectángulo: esquinas redondeadas 4">
            <a:extLst>
              <a:ext uri="{FF2B5EF4-FFF2-40B4-BE49-F238E27FC236}">
                <a16:creationId xmlns:a16="http://schemas.microsoft.com/office/drawing/2014/main" id="{8E90C53E-AF95-42D8-BADC-E856DB9A41EA}"/>
              </a:ext>
            </a:extLst>
          </xdr:cNvPr>
          <xdr:cNvSpPr/>
        </xdr:nvSpPr>
        <xdr:spPr>
          <a:xfrm>
            <a:off x="17382067" y="5486401"/>
            <a:ext cx="1820333" cy="609600"/>
          </a:xfrm>
          <a:prstGeom prst="roundRect">
            <a:avLst/>
          </a:prstGeom>
          <a:ln w="2857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EE5BEEDF-A161-4D31-B1D9-FBE3C3173D11}" type="TxLink">
              <a:rPr lang="en-US" sz="1800" b="0" i="0" u="none" strike="noStrike">
                <a:solidFill>
                  <a:srgbClr val="000000"/>
                </a:solidFill>
                <a:latin typeface="Calibri"/>
                <a:ea typeface="Calibri"/>
                <a:cs typeface="Calibri"/>
              </a:rPr>
              <a:pPr marL="0" indent="0" algn="ctr"/>
              <a:t> $ 5.362.525,57 </a:t>
            </a:fld>
            <a:endParaRPr lang="es-CO" sz="1800" b="0" i="0" u="none" strike="noStrike">
              <a:solidFill>
                <a:srgbClr val="000000"/>
              </a:solidFill>
              <a:latin typeface="Calibri"/>
              <a:ea typeface="Calibri"/>
              <a:cs typeface="Calibri"/>
            </a:endParaRPr>
          </a:p>
        </xdr:txBody>
      </xdr:sp>
      <xdr:sp macro="" textlink="">
        <xdr:nvSpPr>
          <xdr:cNvPr id="9" name="Rectángulo 8">
            <a:extLst>
              <a:ext uri="{FF2B5EF4-FFF2-40B4-BE49-F238E27FC236}">
                <a16:creationId xmlns:a16="http://schemas.microsoft.com/office/drawing/2014/main" id="{9ABC6D94-8922-4EDF-92A5-3DFEAE6F2194}"/>
              </a:ext>
            </a:extLst>
          </xdr:cNvPr>
          <xdr:cNvSpPr/>
        </xdr:nvSpPr>
        <xdr:spPr>
          <a:xfrm>
            <a:off x="17399000" y="4902199"/>
            <a:ext cx="1820333" cy="54186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s-CO" sz="1400" b="1"/>
              <a:t>TOTAL DESCUENTO</a:t>
            </a:r>
            <a:r>
              <a:rPr lang="es-CO" sz="1400" b="1" baseline="0"/>
              <a:t> APLICADO</a:t>
            </a:r>
            <a:endParaRPr lang="es-CO" sz="1400" b="1"/>
          </a:p>
        </xdr:txBody>
      </xdr:sp>
    </xdr:grpSp>
    <xdr:clientData/>
  </xdr:twoCellAnchor>
  <xdr:twoCellAnchor>
    <xdr:from>
      <xdr:col>12</xdr:col>
      <xdr:colOff>694267</xdr:colOff>
      <xdr:row>22</xdr:row>
      <xdr:rowOff>126998</xdr:rowOff>
    </xdr:from>
    <xdr:to>
      <xdr:col>14</xdr:col>
      <xdr:colOff>245533</xdr:colOff>
      <xdr:row>29</xdr:row>
      <xdr:rowOff>16934</xdr:rowOff>
    </xdr:to>
    <xdr:grpSp>
      <xdr:nvGrpSpPr>
        <xdr:cNvPr id="17" name="Grupo 16">
          <a:extLst>
            <a:ext uri="{FF2B5EF4-FFF2-40B4-BE49-F238E27FC236}">
              <a16:creationId xmlns:a16="http://schemas.microsoft.com/office/drawing/2014/main" id="{1A92E9A4-EE52-4FE3-82D1-A5FAADFBAEE1}"/>
            </a:ext>
          </a:extLst>
        </xdr:cNvPr>
        <xdr:cNvGrpSpPr/>
      </xdr:nvGrpSpPr>
      <xdr:grpSpPr>
        <a:xfrm>
          <a:off x="9533467" y="4224865"/>
          <a:ext cx="1837266" cy="1193802"/>
          <a:chOff x="17382067" y="4902199"/>
          <a:chExt cx="1837266" cy="1193802"/>
        </a:xfrm>
      </xdr:grpSpPr>
      <xdr:sp macro="" textlink="$F$33">
        <xdr:nvSpPr>
          <xdr:cNvPr id="18" name="Rectángulo: esquinas redondeadas 17">
            <a:extLst>
              <a:ext uri="{FF2B5EF4-FFF2-40B4-BE49-F238E27FC236}">
                <a16:creationId xmlns:a16="http://schemas.microsoft.com/office/drawing/2014/main" id="{55430B6F-ACC8-74AF-6C8B-B465A1238CEF}"/>
              </a:ext>
            </a:extLst>
          </xdr:cNvPr>
          <xdr:cNvSpPr/>
        </xdr:nvSpPr>
        <xdr:spPr>
          <a:xfrm>
            <a:off x="17382067" y="5486401"/>
            <a:ext cx="1820333" cy="609600"/>
          </a:xfrm>
          <a:prstGeom prst="roundRect">
            <a:avLst/>
          </a:prstGeom>
          <a:ln w="2857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ABB2E3B7-1DB6-4FF8-A024-D11DE34A7FA1}" type="TxLink">
              <a:rPr lang="en-US" sz="1800" b="0" i="0" u="none" strike="noStrike">
                <a:solidFill>
                  <a:srgbClr val="000000"/>
                </a:solidFill>
                <a:latin typeface="Calibri"/>
                <a:ea typeface="Calibri"/>
                <a:cs typeface="Calibri"/>
              </a:rPr>
              <a:pPr marL="0" indent="0" algn="ctr"/>
              <a:t>4.760</a:t>
            </a:fld>
            <a:endParaRPr lang="es-CO" sz="3200" b="0" i="0" u="none" strike="noStrike">
              <a:solidFill>
                <a:srgbClr val="000000"/>
              </a:solidFill>
              <a:latin typeface="Calibri"/>
              <a:ea typeface="Calibri"/>
              <a:cs typeface="Calibri"/>
            </a:endParaRPr>
          </a:p>
        </xdr:txBody>
      </xdr:sp>
      <xdr:sp macro="" textlink="">
        <xdr:nvSpPr>
          <xdr:cNvPr id="19" name="Rectángulo 18">
            <a:extLst>
              <a:ext uri="{FF2B5EF4-FFF2-40B4-BE49-F238E27FC236}">
                <a16:creationId xmlns:a16="http://schemas.microsoft.com/office/drawing/2014/main" id="{AD01F89A-9E53-0444-9BC2-40E098852D33}"/>
              </a:ext>
            </a:extLst>
          </xdr:cNvPr>
          <xdr:cNvSpPr/>
        </xdr:nvSpPr>
        <xdr:spPr>
          <a:xfrm>
            <a:off x="17399000" y="4902199"/>
            <a:ext cx="1820333" cy="54186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s-CO" sz="1400" b="1"/>
              <a:t>CALIFICACIÓN OTORGADA</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giraldo perez" refreshedDate="46104.558970949074" createdVersion="8" refreshedVersion="8" minRefreshableVersion="3" recordCount="1180" xr:uid="{D71621FD-2B98-4C27-B54E-C9770E9DE83B}">
  <cacheSource type="worksheet">
    <worksheetSource name="Data_Set_2"/>
  </cacheSource>
  <cacheFields count="17">
    <cacheField name="orden_id" numFmtId="0">
      <sharedItems/>
    </cacheField>
    <cacheField name="fecha_orden" numFmtId="166">
      <sharedItems containsSemiMixedTypes="0" containsNonDate="0" containsDate="1" containsString="0" minDate="2025-01-02T00:00:00" maxDate="2026-12-02T00:00:00" count="387">
        <d v="2025-02-01T00:00:00"/>
        <d v="2025-02-02T00:00:00"/>
        <d v="2025-03-02T00:00:00"/>
        <d v="2025-02-04T00:00:00"/>
        <d v="2025-02-05T00:00:00"/>
        <d v="2025-06-02T00:00:00"/>
        <d v="2025-02-07T00:00:00"/>
        <d v="2025-02-08T00:00:00"/>
        <d v="2025-09-02T00:00:00"/>
        <d v="2025-02-10T00:00:00"/>
        <d v="2025-02-11T00:00:00"/>
        <d v="2025-12-0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2-03T00:00:00"/>
        <d v="2025-03-03T00:00:00"/>
        <d v="2025-03-04T00:00:00"/>
        <d v="2025-05-03T00:00:00"/>
        <d v="2025-03-06T00:00:00"/>
        <d v="2025-03-07T00:00:00"/>
        <d v="2025-08-03T00:00:00"/>
        <d v="2025-03-09T00:00:00"/>
        <d v="2025-03-10T00:00:00"/>
        <d v="2025-11-03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1-04T00:00:00"/>
        <d v="2025-04-02T00:00:00"/>
        <d v="2025-04-03T00:00:00"/>
        <d v="2025-04-04T00:00:00"/>
        <d v="2025-04-05T00:00:00"/>
        <d v="2025-04-06T00:00:00"/>
        <d v="2025-07-04T00:00:00"/>
        <d v="2025-04-08T00:00:00"/>
        <d v="2025-04-09T00:00:00"/>
        <d v="2025-10-04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1-05T00:00:00"/>
        <d v="2025-05-02T00:00:00"/>
        <d v="2025-05-05T00:00:00"/>
        <d v="2025-05-06T00:00:00"/>
        <d v="2025-07-05T00:00:00"/>
        <d v="2025-05-08T00:00:00"/>
        <d v="2025-05-09T00:00:00"/>
        <d v="2025-10-05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4T00:00:00"/>
        <d v="2025-06-05T00:00:00"/>
        <d v="2025-06-06T00:00:00"/>
        <d v="2025-06-07T00:00:00"/>
        <d v="2025-06-08T00:00:00"/>
        <d v="2025-09-06T00:00:00"/>
        <d v="2025-06-10T00:00:00"/>
        <d v="2025-06-11T00:00:00"/>
        <d v="2025-12-06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7T00:00:00"/>
        <d v="2025-07-08T00:00:00"/>
        <d v="2025-09-07T00:00:00"/>
        <d v="2025-07-10T00:00:00"/>
        <d v="2025-07-11T00:00:00"/>
        <d v="2025-12-07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4T00:00:00"/>
        <d v="2025-08-06T00:00:00"/>
        <d v="2025-08-07T00:00:00"/>
        <d v="2025-08-08T00:00:00"/>
        <d v="2025-08-09T00:00:00"/>
        <d v="2025-08-10T00:00:00"/>
        <d v="2025-11-08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1-09T00:00:00"/>
        <d v="2025-09-03T00:00:00"/>
        <d v="2025-09-05T00:00:00"/>
        <d v="2025-07-09T00:00:00"/>
        <d v="2025-09-08T00:00:00"/>
        <d v="2025-09-09T00:00:00"/>
        <d v="2025-10-09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01-10T00:00:00"/>
        <d v="2025-10-02T00:00:00"/>
        <d v="2025-10-03T00:00:00"/>
        <d v="2025-04-10T00:00:00"/>
        <d v="2025-10-06T00:00:00"/>
        <d v="2025-10-08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03-11T00:00:00"/>
        <d v="2025-11-04T00:00:00"/>
        <d v="2025-11-05T00:00:00"/>
        <d v="2025-11-07T00:00:00"/>
        <d v="2025-11-10T00:00:00"/>
        <d v="2025-11-11T00:00:00"/>
        <d v="2025-12-11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4T00:00:00"/>
        <d v="2025-12-05T00:00:00"/>
        <d v="2025-06-12T00:00:00"/>
        <d v="2025-12-08T00:00:00"/>
        <d v="2025-12-10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2-01T00:00:00"/>
        <d v="2026-01-03T00:00:00"/>
        <d v="2026-01-04T00:00:00"/>
        <d v="2026-05-01T00:00:00"/>
        <d v="2026-01-06T00:00:00"/>
        <d v="2026-01-07T00:00:00"/>
        <d v="2026-08-01T00:00:00"/>
        <d v="2026-01-09T00:00:00"/>
        <d v="2026-01-10T00:00:00"/>
        <d v="2026-11-0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5-01-02T00:00:00"/>
        <d v="2025-02-06T00:00:00"/>
        <d v="2025-02-09T00:00:00"/>
        <d v="2025-02-12T00:00:00"/>
        <d v="2025-03-05T00:00:00"/>
        <d v="2025-06-03T00:00:00"/>
        <d v="2025-03-08T00:00:00"/>
        <d v="2025-12-03T00:00:00"/>
        <d v="2025-04-01T00:00:00"/>
        <d v="2025-05-04T00:00:00"/>
        <d v="2025-04-07T00:00:00"/>
        <d v="2025-05-01T00:00:00"/>
        <d v="2025-05-07T00:00:00"/>
        <d v="2025-08-05T00:00:00"/>
        <d v="2025-05-10T00:00:00"/>
        <d v="2025-01-06T00:00:00"/>
        <d v="2025-07-06T00:00:00"/>
        <d v="2025-06-09T00:00:00"/>
        <d v="2025-01-07T00:00:00"/>
        <d v="2025-07-03T00:00:00"/>
        <d v="2025-10-07T00:00:00"/>
        <d v="2025-07-12T00:00:00"/>
        <d v="2025-08-02T00:00:00"/>
        <d v="2025-08-11T00:00:00"/>
        <d v="2025-09-01T00:00:00"/>
        <d v="2025-09-04T00:00:00"/>
        <d v="2025-09-10T00:00:00"/>
        <d v="2025-11-09T00:00:00"/>
        <d v="2025-10-01T00:00:00"/>
        <d v="2025-01-11T00:00:00"/>
        <d v="2025-11-06T00:00:00"/>
        <d v="2025-11-12T00:00:00"/>
        <d v="2025-01-12T00:00:00"/>
        <d v="2025-12-09T00:00:00"/>
        <d v="2026-01-02T00:00:00"/>
        <d v="2026-03-01T00:00:00"/>
        <d v="2026-01-05T00:00:00"/>
        <d v="2026-06-01T00:00:00"/>
        <d v="2026-01-08T00:00:00"/>
        <d v="2026-09-01T00:00:00"/>
        <d v="2026-01-11T00:00:00"/>
        <d v="2026-12-01T00:00:00"/>
        <d v="2025-01-03T00:00:00"/>
        <d v="2025-01-08T00:00:00"/>
        <d v="2026-04-01T00:00:00"/>
        <d v="2026-07-01T00:00:00"/>
        <d v="2026-10-01T00:00:00"/>
      </sharedItems>
      <fieldGroup par="16"/>
    </cacheField>
    <cacheField name="hora_orden" numFmtId="20">
      <sharedItems containsSemiMixedTypes="0" containsNonDate="0" containsDate="1" containsString="0" minDate="1899-12-30T10:00:00" maxDate="1899-12-30T21:53:00"/>
    </cacheField>
    <cacheField name="sede" numFmtId="0">
      <sharedItems count="4">
        <s v="Laureles"/>
        <s v="Poblado"/>
        <s v="Centro"/>
        <s v="Envigado"/>
      </sharedItems>
    </cacheField>
    <cacheField name="tipo_servicio" numFmtId="0">
      <sharedItems count="3">
        <s v="Mesa"/>
        <s v="Domicilio"/>
        <s v="Recoge"/>
      </sharedItems>
    </cacheField>
    <cacheField name="categoria_menu" numFmtId="0">
      <sharedItems count="5">
        <s v="Comida rapida"/>
        <s v="Pasta"/>
        <s v="Parrilla"/>
        <s v="Vegano"/>
        <s v="Bebidas"/>
      </sharedItems>
    </cacheField>
    <cacheField name="items" numFmtId="0">
      <sharedItems containsSemiMixedTypes="0" containsString="0" containsNumber="1" containsInteger="1" minValue="2" maxValue="6"/>
    </cacheField>
    <cacheField name="valor_bruto" numFmtId="44">
      <sharedItems containsSemiMixedTypes="0" containsString="0" containsNumber="1" minValue="5356.85" maxValue="456058.93"/>
    </cacheField>
    <cacheField name="descuento_cupon" numFmtId="44">
      <sharedItems containsSemiMixedTypes="0" containsString="0" containsNumber="1" minValue="515.54" maxValue="8491.74"/>
    </cacheField>
    <cacheField name="tiempo_preparacion_min" numFmtId="0">
      <sharedItems containsSemiMixedTypes="0" containsString="0" containsNumber="1" containsInteger="1" minValue="13" maxValue="31" count="19">
        <n v="19"/>
        <n v="14"/>
        <n v="24"/>
        <n v="25"/>
        <n v="15"/>
        <n v="23"/>
        <n v="31"/>
        <n v="28"/>
        <n v="18"/>
        <n v="13"/>
        <n v="27"/>
        <n v="22"/>
        <n v="21"/>
        <n v="29"/>
        <n v="20"/>
        <n v="17"/>
        <n v="16"/>
        <n v="26"/>
        <n v="30"/>
      </sharedItems>
    </cacheField>
    <cacheField name="tiempo_entrega_min" numFmtId="0">
      <sharedItems containsMixedTypes="1" containsNumber="1" containsInteger="1" minValue="6" maxValue="290"/>
    </cacheField>
    <cacheField name="medio_pago" numFmtId="0">
      <sharedItems count="3">
        <s v="Tarjeta"/>
        <s v="Efectivo"/>
        <s v="App"/>
      </sharedItems>
    </cacheField>
    <cacheField name="estado" numFmtId="0">
      <sharedItems/>
    </cacheField>
    <cacheField name="calificacion" numFmtId="0">
      <sharedItems containsSemiMixedTypes="0" containsString="0" containsNumber="1" containsInteger="1" minValue="3" maxValue="5"/>
    </cacheField>
    <cacheField name="Meses (fecha_orden)" numFmtId="0" databaseField="0">
      <fieldGroup base="1">
        <rangePr groupBy="months" startDate="2025-01-02T00:00:00" endDate="2026-12-02T00:00:00"/>
        <groupItems count="14">
          <s v="&lt;2/01/2025"/>
          <s v="ene"/>
          <s v="feb"/>
          <s v="mar"/>
          <s v="abr"/>
          <s v="may"/>
          <s v="jun"/>
          <s v="jul"/>
          <s v="ago"/>
          <s v="sep"/>
          <s v="oct"/>
          <s v="nov"/>
          <s v="dic"/>
          <s v="&gt;2/12/2026"/>
        </groupItems>
      </fieldGroup>
    </cacheField>
    <cacheField name="Trimestres (fecha_orden)" numFmtId="0" databaseField="0">
      <fieldGroup base="1">
        <rangePr groupBy="quarters" startDate="2025-01-02T00:00:00" endDate="2026-12-02T00:00:00"/>
        <groupItems count="6">
          <s v="&lt;2/01/2025"/>
          <s v="Trim.1"/>
          <s v="Trim.2"/>
          <s v="Trim.3"/>
          <s v="Trim.4"/>
          <s v="&gt;2/12/2026"/>
        </groupItems>
      </fieldGroup>
    </cacheField>
    <cacheField name="Años (fecha_orden)" numFmtId="0" databaseField="0">
      <fieldGroup base="1">
        <rangePr groupBy="years" startDate="2025-01-02T00:00:00" endDate="2026-12-02T00:00:00"/>
        <groupItems count="4">
          <s v="&lt;2/01/2025"/>
          <s v="2025"/>
          <s v="2026"/>
          <s v="&gt;2/12/2026"/>
        </groupItems>
      </fieldGroup>
    </cacheField>
  </cacheFields>
  <extLst>
    <ext xmlns:x14="http://schemas.microsoft.com/office/spreadsheetml/2009/9/main" uri="{725AE2AE-9491-48be-B2B4-4EB974FC3084}">
      <x14:pivotCacheDefinition pivotCacheId="1313983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0">
  <r>
    <s v="RES-100000"/>
    <x v="0"/>
    <d v="1899-12-30T10:00:00"/>
    <x v="0"/>
    <x v="0"/>
    <x v="0"/>
    <n v="4"/>
    <n v="35015.65"/>
    <n v="2390.69"/>
    <x v="0"/>
    <n v="49"/>
    <x v="0"/>
    <s v="Entregada"/>
    <n v="5"/>
  </r>
  <r>
    <s v="RES-100001"/>
    <x v="1"/>
    <d v="1899-12-30T11:07:00"/>
    <x v="1"/>
    <x v="1"/>
    <x v="1"/>
    <n v="4"/>
    <n v="58285.75"/>
    <n v="2913.21"/>
    <x v="1"/>
    <n v="51"/>
    <x v="1"/>
    <s v="Cancelada"/>
    <n v="3"/>
  </r>
  <r>
    <s v="RES-100002"/>
    <x v="2"/>
    <d v="1899-12-30T12:14:00"/>
    <x v="2"/>
    <x v="2"/>
    <x v="2"/>
    <n v="2"/>
    <n v="65402.45"/>
    <n v="5233.8999999999996"/>
    <x v="2"/>
    <n v="44"/>
    <x v="2"/>
    <s v="Reembolsada"/>
    <n v="5"/>
  </r>
  <r>
    <s v="RES-100003"/>
    <x v="3"/>
    <d v="1899-12-30T13:21:00"/>
    <x v="3"/>
    <x v="0"/>
    <x v="3"/>
    <n v="2"/>
    <n v="54936.24"/>
    <n v="2319.9499999999998"/>
    <x v="2"/>
    <n v="26"/>
    <x v="0"/>
    <s v="Entregada"/>
    <n v="5"/>
  </r>
  <r>
    <s v="RES-100004"/>
    <x v="4"/>
    <d v="1899-12-30T14:28:00"/>
    <x v="0"/>
    <x v="1"/>
    <x v="4"/>
    <n v="4"/>
    <n v="43421.04"/>
    <n v="5699.85"/>
    <x v="3"/>
    <n v="49"/>
    <x v="1"/>
    <s v="Cancelada"/>
    <n v="3"/>
  </r>
  <r>
    <s v="RES-100005"/>
    <x v="5"/>
    <d v="1899-12-30T15:35:00"/>
    <x v="1"/>
    <x v="2"/>
    <x v="0"/>
    <n v="6"/>
    <n v="39092.199999999997"/>
    <n v="7563.39"/>
    <x v="4"/>
    <n v="29"/>
    <x v="2"/>
    <s v="Reembolsada"/>
    <n v="4"/>
  </r>
  <r>
    <s v="RES-100006"/>
    <x v="6"/>
    <d v="1899-12-30T16:42:00"/>
    <x v="2"/>
    <x v="0"/>
    <x v="1"/>
    <n v="4"/>
    <n v="51180.2"/>
    <n v="2556.65"/>
    <x v="5"/>
    <n v="32"/>
    <x v="0"/>
    <s v="Entregada"/>
    <n v="5"/>
  </r>
  <r>
    <s v="RES-100007"/>
    <x v="7"/>
    <d v="1899-12-30T17:49:00"/>
    <x v="3"/>
    <x v="1"/>
    <x v="2"/>
    <n v="2"/>
    <n v="36889.83"/>
    <n v="1317.26"/>
    <x v="6"/>
    <n v="32"/>
    <x v="1"/>
    <s v="Cancelada"/>
    <n v="5"/>
  </r>
  <r>
    <s v="RES-100008"/>
    <x v="8"/>
    <d v="1899-12-30T18:56:00"/>
    <x v="0"/>
    <x v="2"/>
    <x v="3"/>
    <n v="5"/>
    <n v="51316.9"/>
    <n v="4102.1000000000004"/>
    <x v="7"/>
    <n v="51"/>
    <x v="2"/>
    <s v="Reembolsada"/>
    <n v="3"/>
  </r>
  <r>
    <s v="RES-100009"/>
    <x v="9"/>
    <d v="1899-12-30T19:03:00"/>
    <x v="1"/>
    <x v="0"/>
    <x v="4"/>
    <n v="3"/>
    <n v="50797.440000000002"/>
    <n v="1257.25"/>
    <x v="8"/>
    <n v="49"/>
    <x v="0"/>
    <s v="Entregada"/>
    <n v="3"/>
  </r>
  <r>
    <s v="RES-100010"/>
    <x v="10"/>
    <d v="1899-12-30T20:10:00"/>
    <x v="2"/>
    <x v="1"/>
    <x v="0"/>
    <n v="4"/>
    <n v="29941.33"/>
    <n v="8371.39"/>
    <x v="6"/>
    <n v="51"/>
    <x v="1"/>
    <s v="Cancelada"/>
    <n v="4"/>
  </r>
  <r>
    <s v="RES-100011"/>
    <x v="11"/>
    <d v="1899-12-30T21:17:00"/>
    <x v="3"/>
    <x v="2"/>
    <x v="1"/>
    <n v="2"/>
    <n v="29518.31"/>
    <n v="8270.49"/>
    <x v="4"/>
    <n v="47"/>
    <x v="2"/>
    <s v="Reembolsada"/>
    <n v="3"/>
  </r>
  <r>
    <s v="RES-100012"/>
    <x v="12"/>
    <d v="1899-12-30T10:24:00"/>
    <x v="0"/>
    <x v="0"/>
    <x v="2"/>
    <n v="6"/>
    <n v="57474.78"/>
    <n v="4519.57"/>
    <x v="9"/>
    <n v="41"/>
    <x v="0"/>
    <s v="Entregada"/>
    <n v="4"/>
  </r>
  <r>
    <s v="RES-100013"/>
    <x v="13"/>
    <d v="1899-12-30T11:31:00"/>
    <x v="1"/>
    <x v="1"/>
    <x v="3"/>
    <n v="5"/>
    <n v="40351.9"/>
    <n v="5423.65"/>
    <x v="10"/>
    <n v="43"/>
    <x v="1"/>
    <s v="Cancelada"/>
    <n v="4"/>
  </r>
  <r>
    <s v="RES-100014"/>
    <x v="14"/>
    <d v="1899-12-30T12:38:00"/>
    <x v="2"/>
    <x v="2"/>
    <x v="4"/>
    <n v="3"/>
    <n v="54881.82"/>
    <n v="2213.2600000000002"/>
    <x v="5"/>
    <n v="52"/>
    <x v="2"/>
    <s v="Reembolsada"/>
    <n v="3"/>
  </r>
  <r>
    <s v="RES-100015"/>
    <x v="15"/>
    <d v="1899-12-30T13:45:00"/>
    <x v="3"/>
    <x v="0"/>
    <x v="0"/>
    <n v="3"/>
    <n v="34184.18"/>
    <n v="2124.44"/>
    <x v="7"/>
    <n v="53"/>
    <x v="0"/>
    <s v="Entregada"/>
    <n v="5"/>
  </r>
  <r>
    <s v="RES-100016"/>
    <x v="16"/>
    <d v="1899-12-30T14:52:00"/>
    <x v="0"/>
    <x v="1"/>
    <x v="1"/>
    <n v="3"/>
    <n v="68862.94"/>
    <n v="7452.35"/>
    <x v="9"/>
    <n v="46"/>
    <x v="1"/>
    <s v="Cancelada"/>
    <n v="5"/>
  </r>
  <r>
    <s v="RES-100017"/>
    <x v="17"/>
    <d v="1899-12-30T15:59:00"/>
    <x v="1"/>
    <x v="2"/>
    <x v="2"/>
    <n v="4"/>
    <n v="46692.2"/>
    <n v="6814.09"/>
    <x v="11"/>
    <n v="43"/>
    <x v="2"/>
    <s v="Reembolsada"/>
    <n v="5"/>
  </r>
  <r>
    <s v="RES-100018"/>
    <x v="18"/>
    <d v="1899-12-30T16:06:00"/>
    <x v="2"/>
    <x v="0"/>
    <x v="3"/>
    <n v="5"/>
    <n v="42490.9"/>
    <n v="6732.03"/>
    <x v="5"/>
    <n v="39"/>
    <x v="0"/>
    <s v="Entregada"/>
    <n v="5"/>
  </r>
  <r>
    <s v="RES-100019"/>
    <x v="19"/>
    <d v="1899-12-30T17:13:00"/>
    <x v="3"/>
    <x v="1"/>
    <x v="4"/>
    <n v="4"/>
    <n v="63386.65"/>
    <n v="5609.76"/>
    <x v="5"/>
    <n v="45"/>
    <x v="1"/>
    <s v="Cancelada"/>
    <n v="4"/>
  </r>
  <r>
    <s v="RES-100020"/>
    <x v="20"/>
    <d v="1899-12-30T18:20:00"/>
    <x v="0"/>
    <x v="2"/>
    <x v="0"/>
    <n v="4"/>
    <n v="42900.67"/>
    <n v="3087.07"/>
    <x v="12"/>
    <n v="37"/>
    <x v="2"/>
    <s v="Reembolsada"/>
    <n v="5"/>
  </r>
  <r>
    <s v="RES-100021"/>
    <x v="21"/>
    <d v="1899-12-30T19:27:00"/>
    <x v="1"/>
    <x v="0"/>
    <x v="1"/>
    <n v="5"/>
    <n v="41845.410000000003"/>
    <n v="1243.95"/>
    <x v="10"/>
    <n v="44"/>
    <x v="0"/>
    <s v="Entregada"/>
    <n v="3"/>
  </r>
  <r>
    <s v="RES-100022"/>
    <x v="22"/>
    <d v="1899-12-30T20:34:00"/>
    <x v="2"/>
    <x v="1"/>
    <x v="2"/>
    <n v="3"/>
    <n v="52781.66"/>
    <n v="3274.31"/>
    <x v="3"/>
    <n v="38"/>
    <x v="1"/>
    <s v="Cancelada"/>
    <n v="3"/>
  </r>
  <r>
    <s v="RES-100023"/>
    <x v="23"/>
    <d v="1899-12-30T21:41:00"/>
    <x v="3"/>
    <x v="2"/>
    <x v="3"/>
    <n v="4"/>
    <n v="57929.31"/>
    <n v="782.37"/>
    <x v="13"/>
    <n v="46"/>
    <x v="2"/>
    <s v="Reembolsada"/>
    <n v="4"/>
  </r>
  <r>
    <s v="RES-100024"/>
    <x v="24"/>
    <d v="1899-12-30T10:48:00"/>
    <x v="0"/>
    <x v="0"/>
    <x v="4"/>
    <n v="2"/>
    <n v="62295.89"/>
    <n v="1339.42"/>
    <x v="2"/>
    <n v="49"/>
    <x v="0"/>
    <s v="Entregada"/>
    <n v="4"/>
  </r>
  <r>
    <s v="RES-100025"/>
    <x v="25"/>
    <d v="1899-12-30T11:55:00"/>
    <x v="1"/>
    <x v="1"/>
    <x v="0"/>
    <n v="2"/>
    <n v="29329.5"/>
    <n v="6975.3"/>
    <x v="13"/>
    <n v="26"/>
    <x v="1"/>
    <s v="Cancelada"/>
    <n v="5"/>
  </r>
  <r>
    <s v="RES-100026"/>
    <x v="26"/>
    <d v="1899-12-30T12:02:00"/>
    <x v="2"/>
    <x v="2"/>
    <x v="1"/>
    <n v="2"/>
    <n v="45506.16"/>
    <n v="1184.02"/>
    <x v="12"/>
    <n v="33"/>
    <x v="2"/>
    <s v="Reembolsada"/>
    <n v="5"/>
  </r>
  <r>
    <s v="RES-100027"/>
    <x v="27"/>
    <d v="1899-12-30T13:09:00"/>
    <x v="3"/>
    <x v="0"/>
    <x v="2"/>
    <n v="4"/>
    <n v="69698.679999999993"/>
    <n v="3669.67"/>
    <x v="8"/>
    <n v="32"/>
    <x v="0"/>
    <s v="Entregada"/>
    <n v="3"/>
  </r>
  <r>
    <s v="RES-100028"/>
    <x v="28"/>
    <d v="1899-12-30T14:16:00"/>
    <x v="0"/>
    <x v="1"/>
    <x v="3"/>
    <n v="3"/>
    <n v="56314.18"/>
    <n v="7270.55"/>
    <x v="14"/>
    <n v="43"/>
    <x v="1"/>
    <s v="Cancelada"/>
    <n v="5"/>
  </r>
  <r>
    <s v="RES-100029"/>
    <x v="29"/>
    <d v="1899-12-30T15:23:00"/>
    <x v="1"/>
    <x v="2"/>
    <x v="4"/>
    <n v="4"/>
    <n v="39528.83"/>
    <n v="6744.04"/>
    <x v="15"/>
    <n v="47"/>
    <x v="2"/>
    <s v="Reembolsada"/>
    <n v="5"/>
  </r>
  <r>
    <s v="RES-100030"/>
    <x v="30"/>
    <d v="1899-12-30T16:30:00"/>
    <x v="2"/>
    <x v="0"/>
    <x v="0"/>
    <n v="5"/>
    <n v="56407.82"/>
    <n v="6744.08"/>
    <x v="15"/>
    <n v="36"/>
    <x v="0"/>
    <s v="Entregada"/>
    <n v="3"/>
  </r>
  <r>
    <s v="RES-100031"/>
    <x v="31"/>
    <d v="1899-12-30T17:37:00"/>
    <x v="3"/>
    <x v="1"/>
    <x v="1"/>
    <n v="5"/>
    <n v="44663.09"/>
    <n v="8336.58"/>
    <x v="10"/>
    <n v="23"/>
    <x v="1"/>
    <s v="Cancelada"/>
    <n v="5"/>
  </r>
  <r>
    <s v="RES-100032"/>
    <x v="32"/>
    <d v="1899-12-30T18:44:00"/>
    <x v="0"/>
    <x v="2"/>
    <x v="2"/>
    <n v="2"/>
    <n v="32025.78"/>
    <n v="3999.53"/>
    <x v="16"/>
    <n v="36"/>
    <x v="2"/>
    <s v="Reembolsada"/>
    <n v="3"/>
  </r>
  <r>
    <s v="RES-100033"/>
    <x v="33"/>
    <d v="1899-12-30T19:51:00"/>
    <x v="1"/>
    <x v="0"/>
    <x v="3"/>
    <n v="4"/>
    <n v="31138.48"/>
    <n v="7447.1"/>
    <x v="17"/>
    <n v="43"/>
    <x v="0"/>
    <s v="Entregada"/>
    <n v="3"/>
  </r>
  <r>
    <s v="RES-100034"/>
    <x v="34"/>
    <d v="1899-12-30T20:58:00"/>
    <x v="2"/>
    <x v="1"/>
    <x v="4"/>
    <n v="4"/>
    <n v="37945.21"/>
    <n v="5334.97"/>
    <x v="13"/>
    <n v="30"/>
    <x v="1"/>
    <s v="Cancelada"/>
    <n v="4"/>
  </r>
  <r>
    <s v="RES-100035"/>
    <x v="35"/>
    <d v="1899-12-30T21:05:00"/>
    <x v="3"/>
    <x v="2"/>
    <x v="0"/>
    <n v="3"/>
    <n v="51315.57"/>
    <n v="7990.14"/>
    <x v="18"/>
    <n v="45"/>
    <x v="2"/>
    <s v="Reembolsada"/>
    <n v="5"/>
  </r>
  <r>
    <s v="RES-100036"/>
    <x v="36"/>
    <d v="1899-12-30T10:12:00"/>
    <x v="0"/>
    <x v="0"/>
    <x v="1"/>
    <n v="4"/>
    <n v="54998.64"/>
    <n v="5828.73"/>
    <x v="11"/>
    <n v="45"/>
    <x v="0"/>
    <s v="Entregada"/>
    <n v="3"/>
  </r>
  <r>
    <s v="RES-100037"/>
    <x v="37"/>
    <d v="1899-12-30T11:19:00"/>
    <x v="1"/>
    <x v="1"/>
    <x v="2"/>
    <n v="6"/>
    <n v="36105.870000000003"/>
    <n v="7143.24"/>
    <x v="14"/>
    <n v="34"/>
    <x v="1"/>
    <s v="Cancelada"/>
    <n v="4"/>
  </r>
  <r>
    <s v="RES-100038"/>
    <x v="38"/>
    <d v="1899-12-30T12:26:00"/>
    <x v="2"/>
    <x v="2"/>
    <x v="3"/>
    <n v="5"/>
    <n v="63069.68"/>
    <n v="7747.42"/>
    <x v="1"/>
    <n v="26"/>
    <x v="2"/>
    <s v="Reembolsada"/>
    <n v="5"/>
  </r>
  <r>
    <s v="RES-100039"/>
    <x v="39"/>
    <d v="1899-12-30T13:33:00"/>
    <x v="3"/>
    <x v="0"/>
    <x v="4"/>
    <n v="3"/>
    <n v="63651.07"/>
    <n v="8086.99"/>
    <x v="8"/>
    <n v="37"/>
    <x v="0"/>
    <s v="Entregada"/>
    <n v="5"/>
  </r>
  <r>
    <s v="RES-100040"/>
    <x v="40"/>
    <d v="1899-12-30T14:40:00"/>
    <x v="0"/>
    <x v="1"/>
    <x v="0"/>
    <n v="6"/>
    <n v="67873.27"/>
    <n v="2650.88"/>
    <x v="6"/>
    <n v="47"/>
    <x v="1"/>
    <s v="Cancelada"/>
    <n v="4"/>
  </r>
  <r>
    <s v="RES-100041"/>
    <x v="41"/>
    <d v="1899-12-30T15:47:00"/>
    <x v="1"/>
    <x v="2"/>
    <x v="1"/>
    <n v="2"/>
    <n v="53435.14"/>
    <n v="3072.54"/>
    <x v="6"/>
    <n v="42"/>
    <x v="2"/>
    <s v="Reembolsada"/>
    <n v="4"/>
  </r>
  <r>
    <s v="RES-100042"/>
    <x v="42"/>
    <d v="1899-12-30T16:54:00"/>
    <x v="2"/>
    <x v="0"/>
    <x v="2"/>
    <n v="3"/>
    <n v="52492.69"/>
    <n v="5608.03"/>
    <x v="10"/>
    <n v="43"/>
    <x v="0"/>
    <s v="Entregada"/>
    <n v="5"/>
  </r>
  <r>
    <s v="RES-100043"/>
    <x v="43"/>
    <d v="1899-12-30T17:01:00"/>
    <x v="3"/>
    <x v="1"/>
    <x v="3"/>
    <n v="6"/>
    <n v="31285"/>
    <n v="3739.86"/>
    <x v="9"/>
    <n v="53"/>
    <x v="1"/>
    <s v="Cancelada"/>
    <n v="4"/>
  </r>
  <r>
    <s v="RES-100044"/>
    <x v="44"/>
    <d v="1899-12-30T18:08:00"/>
    <x v="0"/>
    <x v="2"/>
    <x v="4"/>
    <n v="6"/>
    <n v="35161.03"/>
    <n v="3807.32"/>
    <x v="18"/>
    <n v="23"/>
    <x v="2"/>
    <s v="Reembolsada"/>
    <n v="4"/>
  </r>
  <r>
    <s v="RES-100045"/>
    <x v="45"/>
    <d v="1899-12-30T19:15:00"/>
    <x v="1"/>
    <x v="0"/>
    <x v="0"/>
    <n v="4"/>
    <n v="61767.07"/>
    <n v="1142.3"/>
    <x v="14"/>
    <n v="43"/>
    <x v="0"/>
    <s v="Entregada"/>
    <n v="4"/>
  </r>
  <r>
    <s v="RES-100046"/>
    <x v="46"/>
    <d v="1899-12-30T20:22:00"/>
    <x v="2"/>
    <x v="1"/>
    <x v="1"/>
    <n v="2"/>
    <n v="61707.519999999997"/>
    <n v="2387.71"/>
    <x v="6"/>
    <n v="26"/>
    <x v="1"/>
    <s v="Cancelada"/>
    <n v="5"/>
  </r>
  <r>
    <s v="RES-100047"/>
    <x v="47"/>
    <d v="1899-12-30T21:29:00"/>
    <x v="3"/>
    <x v="2"/>
    <x v="2"/>
    <n v="5"/>
    <n v="41129.29"/>
    <n v="5269.39"/>
    <x v="3"/>
    <n v="46"/>
    <x v="2"/>
    <s v="Reembolsada"/>
    <n v="3"/>
  </r>
  <r>
    <s v="RES-100048"/>
    <x v="48"/>
    <d v="1899-12-30T10:36:00"/>
    <x v="0"/>
    <x v="0"/>
    <x v="3"/>
    <n v="6"/>
    <n v="63657.58"/>
    <n v="5478.48"/>
    <x v="2"/>
    <n v="53"/>
    <x v="0"/>
    <s v="Entregada"/>
    <n v="4"/>
  </r>
  <r>
    <s v="RES-100049"/>
    <x v="49"/>
    <d v="1899-12-30T11:43:00"/>
    <x v="1"/>
    <x v="1"/>
    <x v="4"/>
    <n v="3"/>
    <n v="60939.98"/>
    <n v="6297.67"/>
    <x v="11"/>
    <n v="44"/>
    <x v="1"/>
    <s v="Cancelada"/>
    <n v="4"/>
  </r>
  <r>
    <s v="RES-100050"/>
    <x v="50"/>
    <d v="1899-12-30T12:50:00"/>
    <x v="2"/>
    <x v="2"/>
    <x v="0"/>
    <n v="4"/>
    <n v="57614.86"/>
    <n v="5105.72"/>
    <x v="10"/>
    <n v="38"/>
    <x v="2"/>
    <s v="Reembolsada"/>
    <n v="5"/>
  </r>
  <r>
    <s v="RES-100051"/>
    <x v="51"/>
    <d v="1899-12-30T13:57:00"/>
    <x v="3"/>
    <x v="0"/>
    <x v="1"/>
    <n v="5"/>
    <n v="63011.11"/>
    <n v="4851.34"/>
    <x v="14"/>
    <n v="32"/>
    <x v="0"/>
    <s v="Entregada"/>
    <n v="4"/>
  </r>
  <r>
    <s v="RES-100052"/>
    <x v="52"/>
    <d v="1899-12-30T14:04:00"/>
    <x v="0"/>
    <x v="1"/>
    <x v="2"/>
    <n v="3"/>
    <n v="36812.519999999997"/>
    <n v="3952.41"/>
    <x v="16"/>
    <n v="24"/>
    <x v="1"/>
    <s v="Cancelada"/>
    <n v="4"/>
  </r>
  <r>
    <s v="RES-100053"/>
    <x v="53"/>
    <d v="1899-12-30T15:11:00"/>
    <x v="1"/>
    <x v="2"/>
    <x v="3"/>
    <n v="2"/>
    <n v="53946.46"/>
    <n v="6221.58"/>
    <x v="14"/>
    <n v="36"/>
    <x v="2"/>
    <s v="Reembolsada"/>
    <n v="3"/>
  </r>
  <r>
    <s v="RES-100054"/>
    <x v="54"/>
    <d v="1899-12-30T16:18:00"/>
    <x v="2"/>
    <x v="0"/>
    <x v="4"/>
    <n v="6"/>
    <n v="47871.23"/>
    <n v="4016.75"/>
    <x v="4"/>
    <n v="38"/>
    <x v="0"/>
    <s v="Entregada"/>
    <n v="5"/>
  </r>
  <r>
    <s v="RES-100055"/>
    <x v="55"/>
    <d v="1899-12-30T17:25:00"/>
    <x v="3"/>
    <x v="1"/>
    <x v="0"/>
    <n v="6"/>
    <n v="56291.97"/>
    <n v="560.46"/>
    <x v="16"/>
    <n v="28"/>
    <x v="1"/>
    <s v="Cancelada"/>
    <n v="4"/>
  </r>
  <r>
    <s v="RES-100056"/>
    <x v="56"/>
    <d v="1899-12-30T18:32:00"/>
    <x v="0"/>
    <x v="2"/>
    <x v="1"/>
    <n v="4"/>
    <n v="34566.51"/>
    <n v="1074.31"/>
    <x v="17"/>
    <n v="27"/>
    <x v="2"/>
    <s v="Reembolsada"/>
    <n v="5"/>
  </r>
  <r>
    <s v="RES-100057"/>
    <x v="57"/>
    <d v="1899-12-30T19:39:00"/>
    <x v="1"/>
    <x v="0"/>
    <x v="2"/>
    <n v="5"/>
    <n v="38379.22"/>
    <n v="6157.93"/>
    <x v="10"/>
    <n v="27"/>
    <x v="0"/>
    <s v="Entregada"/>
    <n v="3"/>
  </r>
  <r>
    <s v="RES-100058"/>
    <x v="58"/>
    <d v="1899-12-30T20:46:00"/>
    <x v="2"/>
    <x v="1"/>
    <x v="3"/>
    <n v="6"/>
    <n v="61425.64"/>
    <n v="1184.55"/>
    <x v="10"/>
    <n v="49"/>
    <x v="1"/>
    <s v="Cancelada"/>
    <n v="5"/>
  </r>
  <r>
    <s v="RES-100059"/>
    <x v="59"/>
    <d v="1899-12-30T21:53:00"/>
    <x v="3"/>
    <x v="2"/>
    <x v="4"/>
    <n v="4"/>
    <n v="62580.62"/>
    <n v="3926.12"/>
    <x v="5"/>
    <n v="41"/>
    <x v="2"/>
    <s v="Reembolsada"/>
    <n v="5"/>
  </r>
  <r>
    <s v="RES-100060"/>
    <x v="60"/>
    <d v="1899-12-30T10:00:00"/>
    <x v="0"/>
    <x v="0"/>
    <x v="0"/>
    <n v="4"/>
    <n v="29163.27"/>
    <n v="1686.8"/>
    <x v="5"/>
    <n v="35"/>
    <x v="0"/>
    <s v="Entregada"/>
    <n v="4"/>
  </r>
  <r>
    <s v="RES-100061"/>
    <x v="61"/>
    <d v="1899-12-30T11:07:00"/>
    <x v="1"/>
    <x v="1"/>
    <x v="1"/>
    <n v="3"/>
    <n v="39097.79"/>
    <n v="938.66"/>
    <x v="10"/>
    <n v="36"/>
    <x v="1"/>
    <s v="Cancelada"/>
    <n v="3"/>
  </r>
  <r>
    <s v="RES-100062"/>
    <x v="62"/>
    <d v="1899-12-30T12:14:00"/>
    <x v="2"/>
    <x v="2"/>
    <x v="2"/>
    <n v="2"/>
    <n v="61333.34"/>
    <n v="1571.84"/>
    <x v="9"/>
    <n v="52"/>
    <x v="2"/>
    <s v="Reembolsada"/>
    <n v="5"/>
  </r>
  <r>
    <s v="RES-100063"/>
    <x v="63"/>
    <d v="1899-12-30T13:21:00"/>
    <x v="3"/>
    <x v="0"/>
    <x v="3"/>
    <n v="2"/>
    <n v="29122.32"/>
    <n v="1074.22"/>
    <x v="10"/>
    <n v="42"/>
    <x v="0"/>
    <s v="Entregada"/>
    <n v="3"/>
  </r>
  <r>
    <s v="RES-100064"/>
    <x v="64"/>
    <d v="1899-12-30T14:28:00"/>
    <x v="0"/>
    <x v="1"/>
    <x v="4"/>
    <n v="6"/>
    <n v="46352.52"/>
    <n v="5812.69"/>
    <x v="14"/>
    <n v="38"/>
    <x v="1"/>
    <s v="Cancelada"/>
    <n v="5"/>
  </r>
  <r>
    <s v="RES-100065"/>
    <x v="65"/>
    <d v="1899-12-30T15:35:00"/>
    <x v="1"/>
    <x v="2"/>
    <x v="0"/>
    <n v="5"/>
    <n v="64909.95"/>
    <n v="4893.3599999999997"/>
    <x v="4"/>
    <n v="41"/>
    <x v="2"/>
    <s v="Reembolsada"/>
    <n v="4"/>
  </r>
  <r>
    <s v="RES-100066"/>
    <x v="66"/>
    <d v="1899-12-30T16:42:00"/>
    <x v="2"/>
    <x v="0"/>
    <x v="1"/>
    <n v="2"/>
    <n v="63187.71"/>
    <n v="1300.7"/>
    <x v="3"/>
    <n v="50"/>
    <x v="0"/>
    <s v="Entregada"/>
    <n v="5"/>
  </r>
  <r>
    <s v="RES-100067"/>
    <x v="67"/>
    <d v="1899-12-30T17:49:00"/>
    <x v="3"/>
    <x v="1"/>
    <x v="2"/>
    <n v="5"/>
    <n v="42260.53"/>
    <n v="7788.01"/>
    <x v="1"/>
    <n v="40"/>
    <x v="1"/>
    <s v="Cancelada"/>
    <n v="5"/>
  </r>
  <r>
    <s v="RES-100068"/>
    <x v="68"/>
    <d v="1899-12-30T18:56:00"/>
    <x v="0"/>
    <x v="2"/>
    <x v="3"/>
    <n v="4"/>
    <n v="45095.68"/>
    <n v="6238.29"/>
    <x v="17"/>
    <n v="30"/>
    <x v="2"/>
    <s v="Reembolsada"/>
    <n v="3"/>
  </r>
  <r>
    <s v="RES-100069"/>
    <x v="69"/>
    <d v="1899-12-30T19:03:00"/>
    <x v="1"/>
    <x v="0"/>
    <x v="4"/>
    <n v="6"/>
    <n v="49939.43"/>
    <n v="3215.87"/>
    <x v="18"/>
    <n v="37"/>
    <x v="0"/>
    <s v="Entregada"/>
    <n v="3"/>
  </r>
  <r>
    <s v="RES-100070"/>
    <x v="70"/>
    <d v="1899-12-30T20:10:00"/>
    <x v="2"/>
    <x v="1"/>
    <x v="0"/>
    <n v="2"/>
    <n v="39437.120000000003"/>
    <n v="888"/>
    <x v="6"/>
    <n v="42"/>
    <x v="1"/>
    <s v="Cancelada"/>
    <n v="3"/>
  </r>
  <r>
    <s v="RES-100071"/>
    <x v="71"/>
    <d v="1899-12-30T21:17:00"/>
    <x v="3"/>
    <x v="2"/>
    <x v="1"/>
    <n v="5"/>
    <n v="52923.519999999997"/>
    <n v="1747.2"/>
    <x v="3"/>
    <n v="25"/>
    <x v="2"/>
    <s v="Reembolsada"/>
    <n v="3"/>
  </r>
  <r>
    <s v="RES-100072"/>
    <x v="72"/>
    <d v="1899-12-30T10:24:00"/>
    <x v="0"/>
    <x v="0"/>
    <x v="2"/>
    <n v="5"/>
    <n v="45538.28"/>
    <n v="4067.99"/>
    <x v="2"/>
    <n v="29"/>
    <x v="0"/>
    <s v="Entregada"/>
    <n v="5"/>
  </r>
  <r>
    <s v="RES-100073"/>
    <x v="73"/>
    <d v="1899-12-30T11:31:00"/>
    <x v="1"/>
    <x v="1"/>
    <x v="3"/>
    <n v="5"/>
    <n v="49617.86"/>
    <n v="520.64"/>
    <x v="6"/>
    <n v="23"/>
    <x v="1"/>
    <s v="Cancelada"/>
    <n v="5"/>
  </r>
  <r>
    <s v="RES-100074"/>
    <x v="74"/>
    <d v="1899-12-30T12:38:00"/>
    <x v="2"/>
    <x v="2"/>
    <x v="4"/>
    <n v="2"/>
    <n v="49537.78"/>
    <n v="1471.64"/>
    <x v="6"/>
    <n v="34"/>
    <x v="2"/>
    <s v="Reembolsada"/>
    <n v="3"/>
  </r>
  <r>
    <s v="RES-100075"/>
    <x v="75"/>
    <d v="1899-12-30T13:45:00"/>
    <x v="3"/>
    <x v="0"/>
    <x v="0"/>
    <n v="5"/>
    <n v="53147.67"/>
    <n v="6272.54"/>
    <x v="18"/>
    <n v="41"/>
    <x v="0"/>
    <s v="Entregada"/>
    <n v="5"/>
  </r>
  <r>
    <s v="RES-100076"/>
    <x v="76"/>
    <d v="1899-12-30T14:52:00"/>
    <x v="0"/>
    <x v="1"/>
    <x v="1"/>
    <n v="4"/>
    <n v="65137.120000000003"/>
    <n v="6438.24"/>
    <x v="2"/>
    <n v="53"/>
    <x v="1"/>
    <s v="Cancelada"/>
    <n v="4"/>
  </r>
  <r>
    <s v="RES-100077"/>
    <x v="77"/>
    <d v="1899-12-30T15:59:00"/>
    <x v="1"/>
    <x v="2"/>
    <x v="2"/>
    <n v="3"/>
    <n v="57248.25"/>
    <n v="1370.54"/>
    <x v="6"/>
    <n v="53"/>
    <x v="2"/>
    <s v="Reembolsada"/>
    <n v="5"/>
  </r>
  <r>
    <s v="RES-100078"/>
    <x v="78"/>
    <d v="1899-12-30T16:06:00"/>
    <x v="2"/>
    <x v="0"/>
    <x v="3"/>
    <n v="5"/>
    <n v="60342.44"/>
    <n v="2321.58"/>
    <x v="15"/>
    <n v="37"/>
    <x v="0"/>
    <s v="Entregada"/>
    <n v="5"/>
  </r>
  <r>
    <s v="RES-100079"/>
    <x v="79"/>
    <d v="1899-12-30T17:13:00"/>
    <x v="3"/>
    <x v="1"/>
    <x v="4"/>
    <n v="2"/>
    <n v="68947.240000000005"/>
    <n v="4545.7700000000004"/>
    <x v="0"/>
    <n v="24"/>
    <x v="1"/>
    <s v="Cancelada"/>
    <n v="3"/>
  </r>
  <r>
    <s v="RES-100080"/>
    <x v="80"/>
    <d v="1899-12-30T18:20:00"/>
    <x v="0"/>
    <x v="2"/>
    <x v="0"/>
    <n v="3"/>
    <n v="27554.97"/>
    <n v="3146.66"/>
    <x v="5"/>
    <n v="38"/>
    <x v="2"/>
    <s v="Reembolsada"/>
    <n v="5"/>
  </r>
  <r>
    <s v="RES-100081"/>
    <x v="81"/>
    <d v="1899-12-30T19:27:00"/>
    <x v="1"/>
    <x v="0"/>
    <x v="1"/>
    <n v="6"/>
    <n v="69221.08"/>
    <n v="7960.52"/>
    <x v="2"/>
    <n v="35"/>
    <x v="0"/>
    <s v="Entregada"/>
    <n v="5"/>
  </r>
  <r>
    <s v="RES-100082"/>
    <x v="82"/>
    <d v="1899-12-30T20:34:00"/>
    <x v="2"/>
    <x v="1"/>
    <x v="2"/>
    <n v="5"/>
    <n v="64394.71"/>
    <n v="2226.1999999999998"/>
    <x v="7"/>
    <n v="48"/>
    <x v="1"/>
    <s v="Cancelada"/>
    <n v="3"/>
  </r>
  <r>
    <s v="RES-100083"/>
    <x v="83"/>
    <d v="1899-12-30T21:41:00"/>
    <x v="3"/>
    <x v="2"/>
    <x v="3"/>
    <n v="6"/>
    <n v="39007.81"/>
    <n v="6208.63"/>
    <x v="3"/>
    <n v="33"/>
    <x v="2"/>
    <s v="Reembolsada"/>
    <n v="3"/>
  </r>
  <r>
    <s v="RES-100084"/>
    <x v="84"/>
    <d v="1899-12-30T10:48:00"/>
    <x v="0"/>
    <x v="0"/>
    <x v="4"/>
    <n v="6"/>
    <n v="45573.17"/>
    <n v="2995.88"/>
    <x v="10"/>
    <n v="52"/>
    <x v="0"/>
    <s v="Entregada"/>
    <n v="5"/>
  </r>
  <r>
    <s v="RES-100085"/>
    <x v="85"/>
    <d v="1899-12-30T11:55:00"/>
    <x v="1"/>
    <x v="1"/>
    <x v="0"/>
    <n v="4"/>
    <n v="68475.47"/>
    <n v="7650.38"/>
    <x v="8"/>
    <n v="45"/>
    <x v="1"/>
    <s v="Cancelada"/>
    <n v="3"/>
  </r>
  <r>
    <s v="RES-100086"/>
    <x v="86"/>
    <d v="1899-12-30T12:02:00"/>
    <x v="2"/>
    <x v="2"/>
    <x v="1"/>
    <n v="6"/>
    <n v="26633.93"/>
    <n v="5984.25"/>
    <x v="13"/>
    <n v="43"/>
    <x v="2"/>
    <s v="Reembolsada"/>
    <n v="3"/>
  </r>
  <r>
    <s v="RES-100087"/>
    <x v="87"/>
    <d v="1899-12-30T13:09:00"/>
    <x v="3"/>
    <x v="0"/>
    <x v="2"/>
    <n v="4"/>
    <n v="41981.59"/>
    <n v="6036.18"/>
    <x v="0"/>
    <n v="24"/>
    <x v="0"/>
    <s v="Entregada"/>
    <n v="4"/>
  </r>
  <r>
    <s v="RES-100088"/>
    <x v="88"/>
    <d v="1899-12-30T14:16:00"/>
    <x v="0"/>
    <x v="1"/>
    <x v="3"/>
    <n v="3"/>
    <n v="48304.77"/>
    <n v="6441.84"/>
    <x v="18"/>
    <n v="49"/>
    <x v="1"/>
    <s v="Cancelada"/>
    <n v="5"/>
  </r>
  <r>
    <s v="RES-100089"/>
    <x v="89"/>
    <d v="1899-12-30T15:23:00"/>
    <x v="1"/>
    <x v="2"/>
    <x v="4"/>
    <n v="2"/>
    <n v="62801.77"/>
    <n v="6060.58"/>
    <x v="4"/>
    <n v="33"/>
    <x v="2"/>
    <s v="Reembolsada"/>
    <n v="5"/>
  </r>
  <r>
    <s v="RES-100090"/>
    <x v="90"/>
    <d v="1899-12-30T16:30:00"/>
    <x v="2"/>
    <x v="0"/>
    <x v="0"/>
    <n v="4"/>
    <n v="39595.01"/>
    <n v="3226.56"/>
    <x v="15"/>
    <n v="28"/>
    <x v="0"/>
    <s v="Entregada"/>
    <n v="4"/>
  </r>
  <r>
    <s v="RES-100091"/>
    <x v="32"/>
    <d v="1899-12-30T17:37:00"/>
    <x v="3"/>
    <x v="1"/>
    <x v="1"/>
    <n v="2"/>
    <n v="43234.31"/>
    <n v="7385.68"/>
    <x v="12"/>
    <n v="44"/>
    <x v="1"/>
    <s v="Cancelada"/>
    <n v="4"/>
  </r>
  <r>
    <s v="RES-100092"/>
    <x v="63"/>
    <d v="1899-12-30T18:44:00"/>
    <x v="0"/>
    <x v="2"/>
    <x v="2"/>
    <n v="3"/>
    <n v="31339.99"/>
    <n v="7510.97"/>
    <x v="6"/>
    <n v="49"/>
    <x v="2"/>
    <s v="Reembolsada"/>
    <n v="5"/>
  </r>
  <r>
    <s v="RES-100093"/>
    <x v="91"/>
    <d v="1899-12-30T19:51:00"/>
    <x v="1"/>
    <x v="0"/>
    <x v="3"/>
    <n v="3"/>
    <n v="37754.769999999997"/>
    <n v="7207.74"/>
    <x v="0"/>
    <n v="51"/>
    <x v="0"/>
    <s v="Entregada"/>
    <n v="3"/>
  </r>
  <r>
    <s v="RES-100094"/>
    <x v="92"/>
    <d v="1899-12-30T20:58:00"/>
    <x v="2"/>
    <x v="1"/>
    <x v="4"/>
    <n v="4"/>
    <n v="28811.75"/>
    <n v="3013.81"/>
    <x v="7"/>
    <n v="36"/>
    <x v="1"/>
    <s v="Cancelada"/>
    <n v="5"/>
  </r>
  <r>
    <s v="RES-100095"/>
    <x v="93"/>
    <d v="1899-12-30T21:05:00"/>
    <x v="3"/>
    <x v="2"/>
    <x v="0"/>
    <n v="4"/>
    <n v="42585.48"/>
    <n v="8032.25"/>
    <x v="7"/>
    <n v="47"/>
    <x v="2"/>
    <s v="Reembolsada"/>
    <n v="5"/>
  </r>
  <r>
    <s v="RES-100096"/>
    <x v="94"/>
    <d v="1899-12-30T10:12:00"/>
    <x v="0"/>
    <x v="0"/>
    <x v="1"/>
    <n v="5"/>
    <n v="42864.639999999999"/>
    <n v="3176.56"/>
    <x v="12"/>
    <n v="39"/>
    <x v="0"/>
    <s v="Entregada"/>
    <n v="5"/>
  </r>
  <r>
    <s v="RES-100097"/>
    <x v="95"/>
    <d v="1899-12-30T11:19:00"/>
    <x v="1"/>
    <x v="1"/>
    <x v="2"/>
    <n v="3"/>
    <n v="64893.38"/>
    <n v="2303.52"/>
    <x v="6"/>
    <n v="47"/>
    <x v="1"/>
    <s v="Cancelada"/>
    <n v="4"/>
  </r>
  <r>
    <s v="RES-100098"/>
    <x v="96"/>
    <d v="1899-12-30T12:26:00"/>
    <x v="2"/>
    <x v="2"/>
    <x v="3"/>
    <n v="2"/>
    <n v="61823.64"/>
    <n v="2274.37"/>
    <x v="10"/>
    <n v="29"/>
    <x v="2"/>
    <s v="Reembolsada"/>
    <n v="3"/>
  </r>
  <r>
    <s v="RES-100099"/>
    <x v="97"/>
    <d v="1899-12-30T13:33:00"/>
    <x v="3"/>
    <x v="0"/>
    <x v="4"/>
    <n v="2"/>
    <n v="31384.799999999999"/>
    <n v="748.91"/>
    <x v="1"/>
    <n v="40"/>
    <x v="0"/>
    <s v="Entregada"/>
    <n v="5"/>
  </r>
  <r>
    <s v="RES-100100"/>
    <x v="98"/>
    <d v="1899-12-30T14:40:00"/>
    <x v="0"/>
    <x v="1"/>
    <x v="0"/>
    <n v="2"/>
    <n v="68756.37"/>
    <n v="1709.28"/>
    <x v="6"/>
    <n v="52"/>
    <x v="1"/>
    <s v="Cancelada"/>
    <n v="4"/>
  </r>
  <r>
    <s v="RES-100101"/>
    <x v="99"/>
    <d v="1899-12-30T15:47:00"/>
    <x v="1"/>
    <x v="2"/>
    <x v="1"/>
    <n v="2"/>
    <n v="35471.14"/>
    <n v="7044.06"/>
    <x v="6"/>
    <n v="52"/>
    <x v="2"/>
    <s v="Reembolsada"/>
    <n v="5"/>
  </r>
  <r>
    <s v="RES-100102"/>
    <x v="100"/>
    <d v="1899-12-30T16:54:00"/>
    <x v="2"/>
    <x v="0"/>
    <x v="2"/>
    <n v="6"/>
    <n v="32001.26"/>
    <n v="5262.74"/>
    <x v="8"/>
    <n v="28"/>
    <x v="0"/>
    <s v="Entregada"/>
    <n v="5"/>
  </r>
  <r>
    <s v="RES-100103"/>
    <x v="101"/>
    <d v="1899-12-30T17:01:00"/>
    <x v="3"/>
    <x v="1"/>
    <x v="3"/>
    <n v="5"/>
    <n v="31115.24"/>
    <n v="6939.23"/>
    <x v="15"/>
    <n v="30"/>
    <x v="1"/>
    <s v="Cancelada"/>
    <n v="3"/>
  </r>
  <r>
    <s v="RES-100104"/>
    <x v="102"/>
    <d v="1899-12-30T18:08:00"/>
    <x v="0"/>
    <x v="2"/>
    <x v="4"/>
    <n v="5"/>
    <n v="67252.52"/>
    <n v="2186.14"/>
    <x v="5"/>
    <n v="34"/>
    <x v="2"/>
    <s v="Reembolsada"/>
    <n v="5"/>
  </r>
  <r>
    <s v="RES-100105"/>
    <x v="103"/>
    <d v="1899-12-30T19:15:00"/>
    <x v="1"/>
    <x v="0"/>
    <x v="0"/>
    <n v="4"/>
    <n v="29561.23"/>
    <n v="4350.62"/>
    <x v="6"/>
    <n v="23"/>
    <x v="0"/>
    <s v="Entregada"/>
    <n v="5"/>
  </r>
  <r>
    <s v="RES-100106"/>
    <x v="104"/>
    <d v="1899-12-30T20:22:00"/>
    <x v="2"/>
    <x v="1"/>
    <x v="1"/>
    <n v="2"/>
    <n v="30341.66"/>
    <n v="8330.06"/>
    <x v="2"/>
    <n v="28"/>
    <x v="1"/>
    <s v="Cancelada"/>
    <n v="3"/>
  </r>
  <r>
    <s v="RES-100107"/>
    <x v="105"/>
    <d v="1899-12-30T21:29:00"/>
    <x v="3"/>
    <x v="2"/>
    <x v="2"/>
    <n v="2"/>
    <n v="36173.72"/>
    <n v="5990.7"/>
    <x v="7"/>
    <n v="36"/>
    <x v="2"/>
    <s v="Reembolsada"/>
    <n v="3"/>
  </r>
  <r>
    <s v="RES-100108"/>
    <x v="106"/>
    <d v="1899-12-30T10:36:00"/>
    <x v="0"/>
    <x v="0"/>
    <x v="3"/>
    <n v="3"/>
    <n v="40025.85"/>
    <n v="7654.76"/>
    <x v="5"/>
    <n v="52"/>
    <x v="0"/>
    <s v="Entregada"/>
    <n v="5"/>
  </r>
  <r>
    <s v="RES-100109"/>
    <x v="107"/>
    <d v="1899-12-30T11:43:00"/>
    <x v="1"/>
    <x v="1"/>
    <x v="4"/>
    <n v="3"/>
    <n v="51489.24"/>
    <n v="3301.27"/>
    <x v="10"/>
    <n v="44"/>
    <x v="1"/>
    <s v="Cancelada"/>
    <n v="5"/>
  </r>
  <r>
    <s v="RES-100110"/>
    <x v="108"/>
    <d v="1899-12-30T12:50:00"/>
    <x v="2"/>
    <x v="2"/>
    <x v="0"/>
    <n v="4"/>
    <n v="69383.81"/>
    <n v="6312.24"/>
    <x v="0"/>
    <n v="25"/>
    <x v="2"/>
    <s v="Reembolsada"/>
    <n v="3"/>
  </r>
  <r>
    <s v="RES-100111"/>
    <x v="109"/>
    <d v="1899-12-30T13:57:00"/>
    <x v="3"/>
    <x v="0"/>
    <x v="1"/>
    <n v="6"/>
    <n v="60818.15"/>
    <n v="2711.07"/>
    <x v="8"/>
    <n v="33"/>
    <x v="0"/>
    <s v="Entregada"/>
    <n v="4"/>
  </r>
  <r>
    <s v="RES-100112"/>
    <x v="110"/>
    <d v="1899-12-30T14:04:00"/>
    <x v="0"/>
    <x v="1"/>
    <x v="2"/>
    <n v="3"/>
    <n v="43183"/>
    <n v="3425.35"/>
    <x v="7"/>
    <n v="27"/>
    <x v="1"/>
    <s v="Cancelada"/>
    <n v="5"/>
  </r>
  <r>
    <s v="RES-100113"/>
    <x v="111"/>
    <d v="1899-12-30T15:11:00"/>
    <x v="1"/>
    <x v="2"/>
    <x v="3"/>
    <n v="5"/>
    <n v="29787.57"/>
    <n v="3351.18"/>
    <x v="1"/>
    <n v="23"/>
    <x v="2"/>
    <s v="Reembolsada"/>
    <n v="3"/>
  </r>
  <r>
    <s v="RES-100114"/>
    <x v="112"/>
    <d v="1899-12-30T16:18:00"/>
    <x v="2"/>
    <x v="0"/>
    <x v="4"/>
    <n v="5"/>
    <n v="31135.360000000001"/>
    <n v="5410.71"/>
    <x v="14"/>
    <n v="28"/>
    <x v="0"/>
    <s v="Entregada"/>
    <n v="5"/>
  </r>
  <r>
    <s v="RES-100115"/>
    <x v="113"/>
    <d v="1899-12-30T17:25:00"/>
    <x v="3"/>
    <x v="1"/>
    <x v="0"/>
    <n v="2"/>
    <n v="62813.2"/>
    <n v="2396.86"/>
    <x v="15"/>
    <n v="24"/>
    <x v="1"/>
    <s v="Cancelada"/>
    <n v="4"/>
  </r>
  <r>
    <s v="RES-100116"/>
    <x v="114"/>
    <d v="1899-12-30T18:32:00"/>
    <x v="0"/>
    <x v="2"/>
    <x v="1"/>
    <n v="2"/>
    <n v="46771.69"/>
    <n v="3106.81"/>
    <x v="7"/>
    <n v="50"/>
    <x v="2"/>
    <s v="Reembolsada"/>
    <n v="5"/>
  </r>
  <r>
    <s v="RES-100117"/>
    <x v="115"/>
    <d v="1899-12-30T19:39:00"/>
    <x v="1"/>
    <x v="0"/>
    <x v="2"/>
    <n v="6"/>
    <n v="59784.38"/>
    <n v="6428.3"/>
    <x v="17"/>
    <n v="52"/>
    <x v="0"/>
    <s v="Entregada"/>
    <n v="4"/>
  </r>
  <r>
    <s v="RES-100118"/>
    <x v="116"/>
    <d v="1899-12-30T20:46:00"/>
    <x v="2"/>
    <x v="1"/>
    <x v="3"/>
    <n v="3"/>
    <n v="46160.68"/>
    <n v="6209.11"/>
    <x v="12"/>
    <n v="29"/>
    <x v="1"/>
    <s v="Cancelada"/>
    <n v="5"/>
  </r>
  <r>
    <s v="RES-100119"/>
    <x v="117"/>
    <d v="1899-12-30T21:53:00"/>
    <x v="3"/>
    <x v="2"/>
    <x v="4"/>
    <n v="3"/>
    <n v="37168.78"/>
    <n v="932.4"/>
    <x v="9"/>
    <n v="51"/>
    <x v="2"/>
    <s v="Reembolsada"/>
    <n v="3"/>
  </r>
  <r>
    <s v="RES-100120"/>
    <x v="118"/>
    <d v="1899-12-30T10:00:00"/>
    <x v="0"/>
    <x v="0"/>
    <x v="0"/>
    <n v="5"/>
    <n v="26158.52"/>
    <n v="7706.02"/>
    <x v="18"/>
    <n v="28"/>
    <x v="0"/>
    <s v="Entregada"/>
    <n v="4"/>
  </r>
  <r>
    <s v="RES-100121"/>
    <x v="5"/>
    <d v="1899-12-30T11:07:00"/>
    <x v="1"/>
    <x v="1"/>
    <x v="1"/>
    <n v="3"/>
    <n v="53423.87"/>
    <n v="3166.3"/>
    <x v="16"/>
    <n v="32"/>
    <x v="1"/>
    <s v="Cancelada"/>
    <n v="3"/>
  </r>
  <r>
    <s v="RES-100122"/>
    <x v="33"/>
    <d v="1899-12-30T12:14:00"/>
    <x v="2"/>
    <x v="2"/>
    <x v="2"/>
    <n v="5"/>
    <n v="60251.19"/>
    <n v="6054.94"/>
    <x v="13"/>
    <n v="45"/>
    <x v="2"/>
    <s v="Reembolsada"/>
    <n v="5"/>
  </r>
  <r>
    <s v="RES-100123"/>
    <x v="119"/>
    <d v="1899-12-30T13:21:00"/>
    <x v="3"/>
    <x v="0"/>
    <x v="3"/>
    <n v="6"/>
    <n v="37367.56"/>
    <n v="4355.97"/>
    <x v="9"/>
    <n v="28"/>
    <x v="0"/>
    <s v="Entregada"/>
    <n v="5"/>
  </r>
  <r>
    <s v="RES-100124"/>
    <x v="120"/>
    <d v="1899-12-30T14:28:00"/>
    <x v="0"/>
    <x v="1"/>
    <x v="4"/>
    <n v="3"/>
    <n v="64939.17"/>
    <n v="2936.89"/>
    <x v="2"/>
    <n v="28"/>
    <x v="1"/>
    <s v="Cancelada"/>
    <n v="3"/>
  </r>
  <r>
    <s v="RES-100125"/>
    <x v="121"/>
    <d v="1899-12-30T15:35:00"/>
    <x v="1"/>
    <x v="2"/>
    <x v="0"/>
    <n v="6"/>
    <n v="43851.19"/>
    <n v="4251.9005882352949"/>
    <x v="10"/>
    <n v="6"/>
    <x v="2"/>
    <s v="Reembolsada"/>
    <n v="4"/>
  </r>
  <r>
    <s v="RES-100126"/>
    <x v="122"/>
    <d v="1899-12-30T16:42:00"/>
    <x v="2"/>
    <x v="0"/>
    <x v="1"/>
    <n v="6"/>
    <n v="29957.45"/>
    <n v="3005.79"/>
    <x v="0"/>
    <n v="31"/>
    <x v="0"/>
    <s v="Entregada"/>
    <n v="5"/>
  </r>
  <r>
    <s v="RES-100127"/>
    <x v="123"/>
    <d v="1899-12-30T17:49:00"/>
    <x v="3"/>
    <x v="1"/>
    <x v="2"/>
    <n v="6"/>
    <n v="50382.61"/>
    <n v="5228.6099999999997"/>
    <x v="7"/>
    <n v="25"/>
    <x v="1"/>
    <s v="Cancelada"/>
    <n v="4"/>
  </r>
  <r>
    <s v="RES-100128"/>
    <x v="124"/>
    <d v="1899-12-30T18:56:00"/>
    <x v="0"/>
    <x v="2"/>
    <x v="3"/>
    <n v="3"/>
    <n v="34659.51"/>
    <n v="8486.9"/>
    <x v="1"/>
    <n v="34"/>
    <x v="2"/>
    <s v="Reembolsada"/>
    <n v="3"/>
  </r>
  <r>
    <s v="RES-100129"/>
    <x v="125"/>
    <d v="1899-12-30T19:03:00"/>
    <x v="1"/>
    <x v="0"/>
    <x v="4"/>
    <n v="5"/>
    <n v="47345.35"/>
    <n v="6756.47"/>
    <x v="0"/>
    <n v="24"/>
    <x v="0"/>
    <s v="Entregada"/>
    <n v="4"/>
  </r>
  <r>
    <s v="RES-100130"/>
    <x v="126"/>
    <d v="1899-12-30T20:10:00"/>
    <x v="2"/>
    <x v="1"/>
    <x v="0"/>
    <n v="5"/>
    <n v="63016.3"/>
    <n v="1422.42"/>
    <x v="3"/>
    <n v="41"/>
    <x v="1"/>
    <s v="Cancelada"/>
    <n v="3"/>
  </r>
  <r>
    <s v="RES-100131"/>
    <x v="127"/>
    <d v="1899-12-30T21:17:00"/>
    <x v="3"/>
    <x v="2"/>
    <x v="1"/>
    <n v="6"/>
    <n v="48027.68"/>
    <n v="2890.83"/>
    <x v="17"/>
    <n v="46"/>
    <x v="2"/>
    <s v="Reembolsada"/>
    <n v="4"/>
  </r>
  <r>
    <s v="RES-100132"/>
    <x v="128"/>
    <d v="1899-12-30T10:24:00"/>
    <x v="0"/>
    <x v="0"/>
    <x v="2"/>
    <n v="3"/>
    <n v="62841.61"/>
    <n v="1201.07"/>
    <x v="8"/>
    <n v="25"/>
    <x v="0"/>
    <s v="Entregada"/>
    <n v="3"/>
  </r>
  <r>
    <s v="RES-100133"/>
    <x v="129"/>
    <d v="1899-12-30T11:31:00"/>
    <x v="1"/>
    <x v="1"/>
    <x v="3"/>
    <n v="2"/>
    <n v="69274.080000000002"/>
    <n v="5684.89"/>
    <x v="8"/>
    <n v="46"/>
    <x v="1"/>
    <s v="Cancelada"/>
    <n v="4"/>
  </r>
  <r>
    <s v="RES-100134"/>
    <x v="130"/>
    <d v="1899-12-30T12:38:00"/>
    <x v="2"/>
    <x v="2"/>
    <x v="4"/>
    <n v="6"/>
    <n v="63098.38"/>
    <n v="2875.68"/>
    <x v="12"/>
    <n v="26"/>
    <x v="2"/>
    <s v="Reembolsada"/>
    <n v="5"/>
  </r>
  <r>
    <s v="RES-100135"/>
    <x v="131"/>
    <d v="1899-12-30T13:45:00"/>
    <x v="3"/>
    <x v="0"/>
    <x v="0"/>
    <n v="2"/>
    <n v="221190.47"/>
    <n v="5741.8"/>
    <x v="8"/>
    <n v="39"/>
    <x v="0"/>
    <s v="Entregada"/>
    <n v="5"/>
  </r>
  <r>
    <s v="RES-100136"/>
    <x v="132"/>
    <d v="1899-12-30T14:52:00"/>
    <x v="0"/>
    <x v="1"/>
    <x v="1"/>
    <n v="2"/>
    <n v="30313.01"/>
    <n v="2862.84"/>
    <x v="5"/>
    <n v="23"/>
    <x v="1"/>
    <s v="Cancelada"/>
    <n v="5"/>
  </r>
  <r>
    <s v="RES-100137"/>
    <x v="133"/>
    <d v="1899-12-30T15:59:00"/>
    <x v="1"/>
    <x v="2"/>
    <x v="2"/>
    <n v="4"/>
    <n v="68193.47"/>
    <n v="1621.88"/>
    <x v="11"/>
    <n v="53"/>
    <x v="2"/>
    <s v="Reembolsada"/>
    <n v="3"/>
  </r>
  <r>
    <s v="RES-100138"/>
    <x v="134"/>
    <d v="1899-12-30T16:06:00"/>
    <x v="2"/>
    <x v="0"/>
    <x v="3"/>
    <n v="2"/>
    <n v="60602.9"/>
    <n v="7636.07"/>
    <x v="13"/>
    <n v="40"/>
    <x v="0"/>
    <s v="Entregada"/>
    <n v="5"/>
  </r>
  <r>
    <s v="RES-100139"/>
    <x v="135"/>
    <d v="1899-12-30T17:13:00"/>
    <x v="3"/>
    <x v="1"/>
    <x v="4"/>
    <n v="3"/>
    <n v="68952.17"/>
    <n v="5854.91"/>
    <x v="1"/>
    <n v="34"/>
    <x v="1"/>
    <s v="Cancelada"/>
    <n v="3"/>
  </r>
  <r>
    <s v="RES-100140"/>
    <x v="136"/>
    <d v="1899-12-30T18:20:00"/>
    <x v="0"/>
    <x v="2"/>
    <x v="0"/>
    <n v="6"/>
    <n v="43362.66"/>
    <n v="3735.65"/>
    <x v="4"/>
    <n v="27"/>
    <x v="2"/>
    <s v="Reembolsada"/>
    <n v="3"/>
  </r>
  <r>
    <s v="RES-100141"/>
    <x v="137"/>
    <d v="1899-12-30T19:27:00"/>
    <x v="1"/>
    <x v="0"/>
    <x v="1"/>
    <n v="6"/>
    <n v="67604.39"/>
    <n v="4967.6742105263156"/>
    <x v="9"/>
    <n v="44"/>
    <x v="0"/>
    <s v="Entregada"/>
    <n v="4"/>
  </r>
  <r>
    <s v="RES-100142"/>
    <x v="138"/>
    <d v="1899-12-30T20:34:00"/>
    <x v="2"/>
    <x v="1"/>
    <x v="2"/>
    <n v="2"/>
    <n v="54303.31"/>
    <n v="4745.45"/>
    <x v="15"/>
    <n v="25"/>
    <x v="1"/>
    <s v="Cancelada"/>
    <n v="4"/>
  </r>
  <r>
    <s v="RES-100143"/>
    <x v="139"/>
    <d v="1899-12-30T21:41:00"/>
    <x v="3"/>
    <x v="2"/>
    <x v="3"/>
    <n v="3"/>
    <n v="40392.06"/>
    <n v="8458.23"/>
    <x v="10"/>
    <n v="35"/>
    <x v="2"/>
    <s v="Reembolsada"/>
    <n v="5"/>
  </r>
  <r>
    <s v="RES-100144"/>
    <x v="140"/>
    <d v="1899-12-30T10:48:00"/>
    <x v="0"/>
    <x v="0"/>
    <x v="4"/>
    <n v="4"/>
    <n v="39033.4"/>
    <n v="1407.66"/>
    <x v="13"/>
    <n v="53"/>
    <x v="0"/>
    <s v="Entregada"/>
    <n v="5"/>
  </r>
  <r>
    <s v="RES-100145"/>
    <x v="141"/>
    <d v="1899-12-30T11:55:00"/>
    <x v="1"/>
    <x v="1"/>
    <x v="0"/>
    <n v="5"/>
    <n v="67186.27"/>
    <n v="4287.74"/>
    <x v="2"/>
    <n v="45"/>
    <x v="1"/>
    <s v="Cancelada"/>
    <n v="5"/>
  </r>
  <r>
    <s v="RES-100146"/>
    <x v="142"/>
    <d v="1899-12-30T12:02:00"/>
    <x v="2"/>
    <x v="2"/>
    <x v="1"/>
    <n v="2"/>
    <n v="54473.98"/>
    <n v="3147.67"/>
    <x v="8"/>
    <n v="51"/>
    <x v="2"/>
    <s v="Reembolsada"/>
    <n v="5"/>
  </r>
  <r>
    <s v="RES-100147"/>
    <x v="143"/>
    <d v="1899-12-30T13:09:00"/>
    <x v="3"/>
    <x v="0"/>
    <x v="2"/>
    <n v="2"/>
    <n v="69375.97"/>
    <n v="7402.58"/>
    <x v="2"/>
    <n v="30"/>
    <x v="0"/>
    <s v="Entregada"/>
    <n v="5"/>
  </r>
  <r>
    <s v="RES-100148"/>
    <x v="144"/>
    <d v="1899-12-30T14:16:00"/>
    <x v="0"/>
    <x v="1"/>
    <x v="3"/>
    <n v="5"/>
    <n v="46025.37"/>
    <n v="5079.6905263157896"/>
    <x v="18"/>
    <n v="31"/>
    <x v="1"/>
    <s v="Cancelada"/>
    <n v="3"/>
  </r>
  <r>
    <s v="RES-100149"/>
    <x v="145"/>
    <d v="1899-12-30T15:23:00"/>
    <x v="1"/>
    <x v="2"/>
    <x v="4"/>
    <n v="4"/>
    <n v="32598.86"/>
    <n v="4698.6499999999996"/>
    <x v="4"/>
    <n v="41"/>
    <x v="2"/>
    <s v="Reembolsada"/>
    <n v="5"/>
  </r>
  <r>
    <s v="RES-100150"/>
    <x v="146"/>
    <d v="1899-12-30T16:30:00"/>
    <x v="2"/>
    <x v="0"/>
    <x v="0"/>
    <n v="2"/>
    <n v="41828.83"/>
    <n v="2224.62"/>
    <x v="2"/>
    <n v="33"/>
    <x v="0"/>
    <s v="Entregada"/>
    <n v="5"/>
  </r>
  <r>
    <s v="RES-100151"/>
    <x v="147"/>
    <d v="1899-12-30T17:37:00"/>
    <x v="3"/>
    <x v="1"/>
    <x v="1"/>
    <n v="3"/>
    <n v="65077.24"/>
    <n v="618.57000000000005"/>
    <x v="12"/>
    <n v="34"/>
    <x v="1"/>
    <s v="Cancelada"/>
    <n v="5"/>
  </r>
  <r>
    <s v="RES-100152"/>
    <x v="34"/>
    <d v="1899-12-30T18:44:00"/>
    <x v="0"/>
    <x v="2"/>
    <x v="2"/>
    <n v="4"/>
    <n v="66475.320000000007"/>
    <n v="7856.2"/>
    <x v="6"/>
    <n v="51"/>
    <x v="2"/>
    <s v="Reembolsada"/>
    <n v="3"/>
  </r>
  <r>
    <s v="RES-100153"/>
    <x v="65"/>
    <d v="1899-12-30T19:51:00"/>
    <x v="1"/>
    <x v="0"/>
    <x v="3"/>
    <n v="5"/>
    <n v="29522.86"/>
    <n v="6037.28"/>
    <x v="2"/>
    <n v="30"/>
    <x v="0"/>
    <s v="Entregada"/>
    <n v="3"/>
  </r>
  <r>
    <s v="RES-100154"/>
    <x v="93"/>
    <d v="1899-12-30T20:58:00"/>
    <x v="2"/>
    <x v="1"/>
    <x v="4"/>
    <n v="4"/>
    <n v="52889.17"/>
    <n v="4145.9799999999996"/>
    <x v="5"/>
    <n v="25"/>
    <x v="1"/>
    <s v="Cancelada"/>
    <n v="3"/>
  </r>
  <r>
    <s v="RES-100155"/>
    <x v="122"/>
    <d v="1899-12-30T21:05:00"/>
    <x v="3"/>
    <x v="2"/>
    <x v="0"/>
    <n v="6"/>
    <n v="27980.73"/>
    <n v="7336.24"/>
    <x v="18"/>
    <n v="47"/>
    <x v="2"/>
    <s v="Reembolsada"/>
    <n v="3"/>
  </r>
  <r>
    <s v="RES-100156"/>
    <x v="148"/>
    <d v="1899-12-30T10:12:00"/>
    <x v="0"/>
    <x v="0"/>
    <x v="1"/>
    <n v="2"/>
    <n v="35290.230000000003"/>
    <n v="3863.04"/>
    <x v="7"/>
    <n v="47"/>
    <x v="0"/>
    <s v="Entregada"/>
    <n v="4"/>
  </r>
  <r>
    <s v="RES-100157"/>
    <x v="149"/>
    <d v="1899-12-30T11:19:00"/>
    <x v="1"/>
    <x v="1"/>
    <x v="2"/>
    <n v="6"/>
    <n v="47560.29"/>
    <n v="2076.4499999999998"/>
    <x v="8"/>
    <n v="36"/>
    <x v="1"/>
    <s v="Cancelada"/>
    <n v="5"/>
  </r>
  <r>
    <s v="RES-100158"/>
    <x v="150"/>
    <d v="1899-12-30T12:26:00"/>
    <x v="2"/>
    <x v="2"/>
    <x v="3"/>
    <n v="5"/>
    <n v="67287.259999999995"/>
    <n v="1658.61"/>
    <x v="7"/>
    <n v="44"/>
    <x v="2"/>
    <s v="Reembolsada"/>
    <n v="3"/>
  </r>
  <r>
    <s v="RES-100159"/>
    <x v="151"/>
    <d v="1899-12-30T13:33:00"/>
    <x v="3"/>
    <x v="0"/>
    <x v="4"/>
    <n v="2"/>
    <n v="31613.38"/>
    <n v="5824.4"/>
    <x v="1"/>
    <n v="26"/>
    <x v="0"/>
    <s v="Entregada"/>
    <n v="4"/>
  </r>
  <r>
    <s v="RES-100160"/>
    <x v="152"/>
    <d v="1899-12-30T14:40:00"/>
    <x v="0"/>
    <x v="1"/>
    <x v="0"/>
    <n v="4"/>
    <n v="27454.06"/>
    <n v="6108.26"/>
    <x v="9"/>
    <n v="40"/>
    <x v="1"/>
    <s v="Cancelada"/>
    <n v="4"/>
  </r>
  <r>
    <s v="RES-100161"/>
    <x v="153"/>
    <d v="1899-12-30T15:47:00"/>
    <x v="1"/>
    <x v="2"/>
    <x v="1"/>
    <n v="5"/>
    <n v="38358.04"/>
    <n v="8324.91"/>
    <x v="0"/>
    <n v="46"/>
    <x v="2"/>
    <s v="Reembolsada"/>
    <n v="3"/>
  </r>
  <r>
    <s v="RES-100162"/>
    <x v="154"/>
    <d v="1899-12-30T16:54:00"/>
    <x v="2"/>
    <x v="0"/>
    <x v="2"/>
    <n v="6"/>
    <n v="63651.95"/>
    <n v="6238.7"/>
    <x v="13"/>
    <n v="49"/>
    <x v="0"/>
    <s v="Entregada"/>
    <n v="5"/>
  </r>
  <r>
    <s v="RES-100163"/>
    <x v="155"/>
    <d v="1899-12-30T17:01:00"/>
    <x v="3"/>
    <x v="1"/>
    <x v="3"/>
    <n v="2"/>
    <n v="58931.86"/>
    <n v="2269.7800000000002"/>
    <x v="8"/>
    <n v="51"/>
    <x v="1"/>
    <s v="Cancelada"/>
    <n v="4"/>
  </r>
  <r>
    <s v="RES-100164"/>
    <x v="156"/>
    <d v="1899-12-30T18:08:00"/>
    <x v="0"/>
    <x v="2"/>
    <x v="4"/>
    <n v="4"/>
    <n v="49012.160000000003"/>
    <n v="1505.56"/>
    <x v="10"/>
    <n v="27"/>
    <x v="2"/>
    <s v="Reembolsada"/>
    <n v="4"/>
  </r>
  <r>
    <s v="RES-100165"/>
    <x v="157"/>
    <d v="1899-12-30T19:15:00"/>
    <x v="1"/>
    <x v="0"/>
    <x v="0"/>
    <n v="3"/>
    <n v="48463.05"/>
    <n v="5394.07"/>
    <x v="9"/>
    <n v="49"/>
    <x v="0"/>
    <s v="Entregada"/>
    <n v="3"/>
  </r>
  <r>
    <s v="RES-100166"/>
    <x v="158"/>
    <d v="1899-12-30T20:22:00"/>
    <x v="2"/>
    <x v="1"/>
    <x v="1"/>
    <n v="3"/>
    <n v="58605.31"/>
    <n v="522.20000000000005"/>
    <x v="12"/>
    <n v="42"/>
    <x v="1"/>
    <s v="Cancelada"/>
    <n v="3"/>
  </r>
  <r>
    <s v="RES-100167"/>
    <x v="159"/>
    <d v="1899-12-30T21:29:00"/>
    <x v="3"/>
    <x v="2"/>
    <x v="2"/>
    <n v="3"/>
    <n v="65221.36"/>
    <n v="7944.51"/>
    <x v="7"/>
    <n v="40"/>
    <x v="2"/>
    <s v="Reembolsada"/>
    <n v="3"/>
  </r>
  <r>
    <s v="RES-100168"/>
    <x v="160"/>
    <d v="1899-12-30T10:36:00"/>
    <x v="0"/>
    <x v="0"/>
    <x v="3"/>
    <n v="2"/>
    <n v="26491.96"/>
    <n v="544.64"/>
    <x v="9"/>
    <n v="50"/>
    <x v="0"/>
    <s v="Entregada"/>
    <n v="4"/>
  </r>
  <r>
    <s v="RES-100169"/>
    <x v="161"/>
    <d v="1899-12-30T11:43:00"/>
    <x v="1"/>
    <x v="1"/>
    <x v="4"/>
    <n v="5"/>
    <n v="61458.23"/>
    <n v="2707.95"/>
    <x v="9"/>
    <n v="47"/>
    <x v="1"/>
    <s v="Cancelada"/>
    <n v="5"/>
  </r>
  <r>
    <s v="RES-100170"/>
    <x v="162"/>
    <d v="1899-12-30T12:50:00"/>
    <x v="2"/>
    <x v="2"/>
    <x v="0"/>
    <n v="4"/>
    <n v="52282.79"/>
    <n v="3913.9"/>
    <x v="0"/>
    <n v="35"/>
    <x v="2"/>
    <s v="Reembolsada"/>
    <n v="4"/>
  </r>
  <r>
    <s v="RES-100171"/>
    <x v="163"/>
    <d v="1899-12-30T13:57:00"/>
    <x v="3"/>
    <x v="0"/>
    <x v="1"/>
    <n v="4"/>
    <n v="57607.15"/>
    <n v="4896.1000000000004"/>
    <x v="17"/>
    <n v="28"/>
    <x v="0"/>
    <s v="Entregada"/>
    <n v="5"/>
  </r>
  <r>
    <s v="RES-100172"/>
    <x v="164"/>
    <d v="1899-12-30T14:04:00"/>
    <x v="0"/>
    <x v="1"/>
    <x v="2"/>
    <n v="2"/>
    <n v="36428.480000000003"/>
    <n v="2225.91"/>
    <x v="6"/>
    <n v="43"/>
    <x v="1"/>
    <s v="Cancelada"/>
    <n v="4"/>
  </r>
  <r>
    <s v="RES-100173"/>
    <x v="165"/>
    <d v="1899-12-30T15:11:00"/>
    <x v="1"/>
    <x v="2"/>
    <x v="3"/>
    <n v="4"/>
    <n v="37766.68"/>
    <n v="6954.85"/>
    <x v="0"/>
    <n v="34"/>
    <x v="2"/>
    <s v="Reembolsada"/>
    <n v="3"/>
  </r>
  <r>
    <s v="RES-100174"/>
    <x v="166"/>
    <d v="1899-12-30T16:18:00"/>
    <x v="2"/>
    <x v="0"/>
    <x v="4"/>
    <n v="6"/>
    <n v="53770.78"/>
    <n v="4064.97"/>
    <x v="12"/>
    <n v="24"/>
    <x v="0"/>
    <s v="Entregada"/>
    <n v="4"/>
  </r>
  <r>
    <s v="RES-100175"/>
    <x v="167"/>
    <d v="1899-12-30T17:25:00"/>
    <x v="3"/>
    <x v="1"/>
    <x v="0"/>
    <n v="2"/>
    <n v="39898.720000000001"/>
    <n v="5535.76"/>
    <x v="6"/>
    <n v="42"/>
    <x v="1"/>
    <s v="Cancelada"/>
    <n v="5"/>
  </r>
  <r>
    <s v="RES-100176"/>
    <x v="168"/>
    <d v="1899-12-30T18:32:00"/>
    <x v="0"/>
    <x v="2"/>
    <x v="1"/>
    <n v="6"/>
    <n v="37469.97"/>
    <n v="724.89"/>
    <x v="11"/>
    <n v="49"/>
    <x v="2"/>
    <s v="Reembolsada"/>
    <n v="3"/>
  </r>
  <r>
    <s v="RES-100177"/>
    <x v="169"/>
    <d v="1899-12-30T19:39:00"/>
    <x v="1"/>
    <x v="0"/>
    <x v="2"/>
    <n v="2"/>
    <n v="49187.57"/>
    <n v="1997.15"/>
    <x v="17"/>
    <n v="38"/>
    <x v="0"/>
    <s v="Entregada"/>
    <n v="5"/>
  </r>
  <r>
    <s v="RES-100178"/>
    <x v="170"/>
    <d v="1899-12-30T20:46:00"/>
    <x v="2"/>
    <x v="1"/>
    <x v="3"/>
    <n v="5"/>
    <n v="69173.31"/>
    <n v="4683.87"/>
    <x v="18"/>
    <n v="51"/>
    <x v="1"/>
    <s v="Cancelada"/>
    <n v="5"/>
  </r>
  <r>
    <s v="RES-100179"/>
    <x v="171"/>
    <d v="1899-12-30T21:53:00"/>
    <x v="3"/>
    <x v="2"/>
    <x v="4"/>
    <n v="3"/>
    <n v="26891.65"/>
    <n v="6185.53"/>
    <x v="8"/>
    <n v="27"/>
    <x v="2"/>
    <s v="Reembolsada"/>
    <n v="5"/>
  </r>
  <r>
    <s v="RES-100180"/>
    <x v="172"/>
    <d v="1899-12-30T10:00:00"/>
    <x v="0"/>
    <x v="0"/>
    <x v="0"/>
    <n v="6"/>
    <n v="39265.21"/>
    <n v="6621.87"/>
    <x v="18"/>
    <n v="32"/>
    <x v="0"/>
    <s v="Entregada"/>
    <n v="4"/>
  </r>
  <r>
    <s v="RES-100181"/>
    <x v="173"/>
    <d v="1899-12-30T11:07:00"/>
    <x v="1"/>
    <x v="1"/>
    <x v="1"/>
    <n v="3"/>
    <n v="60012.7"/>
    <n v="2340.6799999999998"/>
    <x v="15"/>
    <n v="48"/>
    <x v="1"/>
    <s v="Cancelada"/>
    <n v="3"/>
  </r>
  <r>
    <s v="RES-100182"/>
    <x v="7"/>
    <d v="1899-12-30T12:14:00"/>
    <x v="2"/>
    <x v="2"/>
    <x v="2"/>
    <n v="5"/>
    <n v="26909.42"/>
    <n v="697.36"/>
    <x v="8"/>
    <n v="53"/>
    <x v="2"/>
    <s v="Reembolsada"/>
    <n v="3"/>
  </r>
  <r>
    <s v="RES-100183"/>
    <x v="35"/>
    <d v="1899-12-30T13:21:00"/>
    <x v="3"/>
    <x v="0"/>
    <x v="3"/>
    <n v="3"/>
    <n v="53520.89"/>
    <n v="5173.6000000000004"/>
    <x v="5"/>
    <n v="39"/>
    <x v="0"/>
    <s v="Entregada"/>
    <n v="4"/>
  </r>
  <r>
    <s v="RES-100184"/>
    <x v="174"/>
    <d v="1899-12-30T14:28:00"/>
    <x v="0"/>
    <x v="1"/>
    <x v="4"/>
    <n v="4"/>
    <n v="31105.38"/>
    <n v="5946.62"/>
    <x v="3"/>
    <n v="30"/>
    <x v="1"/>
    <s v="Cancelada"/>
    <n v="3"/>
  </r>
  <r>
    <s v="RES-100185"/>
    <x v="94"/>
    <d v="1899-12-30T15:35:00"/>
    <x v="1"/>
    <x v="2"/>
    <x v="0"/>
    <n v="2"/>
    <n v="47653.88"/>
    <n v="4251.9005882352949"/>
    <x v="0"/>
    <n v="52"/>
    <x v="2"/>
    <s v="Reembolsada"/>
    <n v="4"/>
  </r>
  <r>
    <s v="RES-100186"/>
    <x v="175"/>
    <d v="1899-12-30T16:42:00"/>
    <x v="2"/>
    <x v="0"/>
    <x v="1"/>
    <n v="2"/>
    <n v="43416.02"/>
    <n v="6131.38"/>
    <x v="7"/>
    <n v="47"/>
    <x v="0"/>
    <s v="Entregada"/>
    <n v="3"/>
  </r>
  <r>
    <s v="RES-100187"/>
    <x v="176"/>
    <d v="1899-12-30T17:49:00"/>
    <x v="3"/>
    <x v="1"/>
    <x v="2"/>
    <n v="5"/>
    <n v="39834.019999999997"/>
    <n v="3270.91"/>
    <x v="3"/>
    <n v="53"/>
    <x v="1"/>
    <s v="Cancelada"/>
    <n v="4"/>
  </r>
  <r>
    <s v="RES-100188"/>
    <x v="177"/>
    <d v="1899-12-30T18:56:00"/>
    <x v="0"/>
    <x v="2"/>
    <x v="3"/>
    <n v="4"/>
    <n v="66764.62"/>
    <n v="1367.72"/>
    <x v="18"/>
    <n v="51"/>
    <x v="2"/>
    <s v="Reembolsada"/>
    <n v="3"/>
  </r>
  <r>
    <s v="RES-100189"/>
    <x v="178"/>
    <d v="1899-12-30T19:03:00"/>
    <x v="1"/>
    <x v="0"/>
    <x v="4"/>
    <n v="4"/>
    <n v="37655.94"/>
    <n v="7502.6"/>
    <x v="4"/>
    <n v="32"/>
    <x v="0"/>
    <s v="Entregada"/>
    <n v="4"/>
  </r>
  <r>
    <s v="RES-100190"/>
    <x v="179"/>
    <d v="1899-12-30T20:10:00"/>
    <x v="2"/>
    <x v="1"/>
    <x v="0"/>
    <n v="5"/>
    <n v="48358.06"/>
    <n v="617.17999999999995"/>
    <x v="3"/>
    <n v="32"/>
    <x v="1"/>
    <s v="Cancelada"/>
    <n v="5"/>
  </r>
  <r>
    <s v="RES-100191"/>
    <x v="180"/>
    <d v="1899-12-30T21:17:00"/>
    <x v="3"/>
    <x v="2"/>
    <x v="1"/>
    <n v="4"/>
    <n v="29415.83"/>
    <n v="7549.74"/>
    <x v="9"/>
    <n v="33"/>
    <x v="2"/>
    <s v="Reembolsada"/>
    <n v="3"/>
  </r>
  <r>
    <s v="RES-100192"/>
    <x v="181"/>
    <d v="1899-12-30T10:24:00"/>
    <x v="0"/>
    <x v="0"/>
    <x v="2"/>
    <n v="6"/>
    <n v="38523.65"/>
    <n v="814.45"/>
    <x v="0"/>
    <n v="24"/>
    <x v="0"/>
    <s v="Entregada"/>
    <n v="3"/>
  </r>
  <r>
    <s v="RES-100193"/>
    <x v="182"/>
    <d v="1899-12-30T11:31:00"/>
    <x v="1"/>
    <x v="1"/>
    <x v="3"/>
    <n v="6"/>
    <n v="29422.66"/>
    <n v="5866.54"/>
    <x v="17"/>
    <n v="30"/>
    <x v="1"/>
    <s v="Cancelada"/>
    <n v="4"/>
  </r>
  <r>
    <s v="RES-100194"/>
    <x v="183"/>
    <d v="1899-12-30T12:38:00"/>
    <x v="2"/>
    <x v="2"/>
    <x v="4"/>
    <n v="2"/>
    <n v="69819.7"/>
    <n v="5128.5"/>
    <x v="14"/>
    <n v="41"/>
    <x v="2"/>
    <s v="Reembolsada"/>
    <n v="5"/>
  </r>
  <r>
    <s v="RES-100195"/>
    <x v="184"/>
    <d v="1899-12-30T13:45:00"/>
    <x v="3"/>
    <x v="0"/>
    <x v="0"/>
    <n v="2"/>
    <n v="52797.279999999999"/>
    <n v="2860.81"/>
    <x v="2"/>
    <n v="46"/>
    <x v="0"/>
    <s v="Entregada"/>
    <n v="4"/>
  </r>
  <r>
    <s v="RES-100196"/>
    <x v="185"/>
    <d v="1899-12-30T14:52:00"/>
    <x v="0"/>
    <x v="1"/>
    <x v="1"/>
    <n v="2"/>
    <n v="49850.31"/>
    <n v="4603.22"/>
    <x v="18"/>
    <n v="33"/>
    <x v="1"/>
    <s v="Cancelada"/>
    <n v="5"/>
  </r>
  <r>
    <s v="RES-100197"/>
    <x v="186"/>
    <d v="1899-12-30T15:59:00"/>
    <x v="1"/>
    <x v="2"/>
    <x v="2"/>
    <n v="4"/>
    <n v="43983.71"/>
    <n v="1470.77"/>
    <x v="8"/>
    <n v="25"/>
    <x v="2"/>
    <s v="Reembolsada"/>
    <n v="3"/>
  </r>
  <r>
    <s v="RES-100198"/>
    <x v="187"/>
    <d v="1899-12-30T16:06:00"/>
    <x v="2"/>
    <x v="0"/>
    <x v="3"/>
    <n v="6"/>
    <n v="26691.74"/>
    <n v="917.31"/>
    <x v="8"/>
    <n v="47"/>
    <x v="0"/>
    <s v="Entregada"/>
    <n v="4"/>
  </r>
  <r>
    <s v="RES-100199"/>
    <x v="188"/>
    <d v="1899-12-30T17:13:00"/>
    <x v="3"/>
    <x v="1"/>
    <x v="4"/>
    <n v="5"/>
    <n v="61045.83"/>
    <n v="1526.99"/>
    <x v="14"/>
    <n v="25"/>
    <x v="1"/>
    <s v="Cancelada"/>
    <n v="3"/>
  </r>
  <r>
    <s v="RES-100200"/>
    <x v="189"/>
    <d v="1899-12-30T18:20:00"/>
    <x v="0"/>
    <x v="2"/>
    <x v="0"/>
    <n v="2"/>
    <n v="27536.69"/>
    <n v="5697.09"/>
    <x v="10"/>
    <n v="24"/>
    <x v="2"/>
    <s v="Reembolsada"/>
    <n v="5"/>
  </r>
  <r>
    <s v="RES-100201"/>
    <x v="190"/>
    <d v="1899-12-30T19:27:00"/>
    <x v="1"/>
    <x v="0"/>
    <x v="1"/>
    <n v="3"/>
    <n v="56138.37"/>
    <n v="4295.12"/>
    <x v="15"/>
    <n v="31"/>
    <x v="0"/>
    <s v="Entregada"/>
    <n v="5"/>
  </r>
  <r>
    <s v="RES-100202"/>
    <x v="191"/>
    <d v="1899-12-30T20:34:00"/>
    <x v="2"/>
    <x v="1"/>
    <x v="2"/>
    <n v="3"/>
    <n v="43234.93"/>
    <n v="7832.04"/>
    <x v="0"/>
    <n v="52"/>
    <x v="1"/>
    <s v="Cancelada"/>
    <n v="5"/>
  </r>
  <r>
    <s v="RES-100203"/>
    <x v="192"/>
    <d v="1899-12-30T21:41:00"/>
    <x v="3"/>
    <x v="2"/>
    <x v="3"/>
    <n v="2"/>
    <n v="69313.710000000006"/>
    <n v="3496.17"/>
    <x v="14"/>
    <n v="39"/>
    <x v="2"/>
    <s v="Reembolsada"/>
    <n v="5"/>
  </r>
  <r>
    <s v="RES-100204"/>
    <x v="193"/>
    <d v="1899-12-30T10:48:00"/>
    <x v="0"/>
    <x v="0"/>
    <x v="4"/>
    <n v="4"/>
    <n v="57587.51"/>
    <n v="6985.43"/>
    <x v="16"/>
    <n v="41"/>
    <x v="0"/>
    <s v="Entregada"/>
    <n v="3"/>
  </r>
  <r>
    <s v="RES-100205"/>
    <x v="194"/>
    <d v="1899-12-30T11:55:00"/>
    <x v="1"/>
    <x v="1"/>
    <x v="0"/>
    <n v="6"/>
    <n v="68039.83"/>
    <n v="4247.6000000000004"/>
    <x v="14"/>
    <n v="38"/>
    <x v="1"/>
    <s v="Cancelada"/>
    <n v="3"/>
  </r>
  <r>
    <s v="RES-100206"/>
    <x v="195"/>
    <d v="1899-12-30T12:02:00"/>
    <x v="2"/>
    <x v="2"/>
    <x v="1"/>
    <n v="3"/>
    <n v="35299.370000000003"/>
    <n v="771.05"/>
    <x v="10"/>
    <n v="28"/>
    <x v="2"/>
    <s v="Reembolsada"/>
    <n v="3"/>
  </r>
  <r>
    <s v="RES-100207"/>
    <x v="196"/>
    <d v="1899-12-30T13:09:00"/>
    <x v="3"/>
    <x v="0"/>
    <x v="2"/>
    <n v="5"/>
    <n v="52950.35"/>
    <n v="6449.77"/>
    <x v="13"/>
    <n v="40"/>
    <x v="0"/>
    <s v="Entregada"/>
    <n v="5"/>
  </r>
  <r>
    <s v="RES-100208"/>
    <x v="197"/>
    <d v="1899-12-30T14:16:00"/>
    <x v="0"/>
    <x v="1"/>
    <x v="3"/>
    <n v="2"/>
    <n v="69760.34"/>
    <n v="3759.86"/>
    <x v="16"/>
    <n v="47"/>
    <x v="1"/>
    <s v="Cancelada"/>
    <n v="5"/>
  </r>
  <r>
    <s v="RES-100209"/>
    <x v="198"/>
    <d v="1899-12-30T15:23:00"/>
    <x v="1"/>
    <x v="2"/>
    <x v="4"/>
    <n v="3"/>
    <n v="43573.24"/>
    <n v="2155.8000000000002"/>
    <x v="14"/>
    <n v="52"/>
    <x v="2"/>
    <s v="Reembolsada"/>
    <n v="4"/>
  </r>
  <r>
    <s v="RES-100210"/>
    <x v="199"/>
    <d v="1899-12-30T16:30:00"/>
    <x v="2"/>
    <x v="0"/>
    <x v="0"/>
    <n v="5"/>
    <n v="66847.55"/>
    <n v="6891.91"/>
    <x v="14"/>
    <n v="23"/>
    <x v="0"/>
    <s v="Entregada"/>
    <n v="4"/>
  </r>
  <r>
    <s v="RES-100211"/>
    <x v="200"/>
    <d v="1899-12-30T17:37:00"/>
    <x v="3"/>
    <x v="1"/>
    <x v="1"/>
    <n v="6"/>
    <n v="44553.2"/>
    <n v="974.61"/>
    <x v="18"/>
    <n v="40"/>
    <x v="1"/>
    <s v="Cancelada"/>
    <n v="3"/>
  </r>
  <r>
    <s v="RES-100212"/>
    <x v="201"/>
    <d v="1899-12-30T18:44:00"/>
    <x v="0"/>
    <x v="2"/>
    <x v="2"/>
    <n v="5"/>
    <n v="37555.69"/>
    <n v="4692.4399999999996"/>
    <x v="18"/>
    <n v="23"/>
    <x v="2"/>
    <s v="Reembolsada"/>
    <n v="4"/>
  </r>
  <r>
    <s v="RES-100213"/>
    <x v="8"/>
    <d v="1899-12-30T19:51:00"/>
    <x v="1"/>
    <x v="0"/>
    <x v="3"/>
    <n v="4"/>
    <n v="64856.65"/>
    <n v="1715.09"/>
    <x v="13"/>
    <n v="39"/>
    <x v="0"/>
    <s v="Entregada"/>
    <n v="4"/>
  </r>
  <r>
    <s v="RES-100214"/>
    <x v="202"/>
    <d v="1899-12-30T20:58:00"/>
    <x v="2"/>
    <x v="1"/>
    <x v="4"/>
    <n v="3"/>
    <n v="30852.95"/>
    <n v="4503.41"/>
    <x v="2"/>
    <n v="25"/>
    <x v="1"/>
    <s v="Cancelada"/>
    <n v="4"/>
  </r>
  <r>
    <s v="RES-100215"/>
    <x v="67"/>
    <d v="1899-12-30T21:05:00"/>
    <x v="3"/>
    <x v="2"/>
    <x v="0"/>
    <n v="4"/>
    <n v="65883.570000000007"/>
    <n v="7573.77"/>
    <x v="10"/>
    <n v="52"/>
    <x v="2"/>
    <s v="Reembolsada"/>
    <n v="5"/>
  </r>
  <r>
    <s v="RES-100216"/>
    <x v="203"/>
    <d v="1899-12-30T10:12:00"/>
    <x v="0"/>
    <x v="0"/>
    <x v="1"/>
    <n v="2"/>
    <n v="26076.67"/>
    <n v="6237.46"/>
    <x v="1"/>
    <n v="24"/>
    <x v="0"/>
    <s v="Entregada"/>
    <n v="4"/>
  </r>
  <r>
    <s v="RES-100217"/>
    <x v="124"/>
    <d v="1899-12-30T11:19:00"/>
    <x v="1"/>
    <x v="1"/>
    <x v="2"/>
    <n v="5"/>
    <n v="69553.59"/>
    <n v="2519.17"/>
    <x v="0"/>
    <n v="32"/>
    <x v="1"/>
    <s v="Cancelada"/>
    <n v="3"/>
  </r>
  <r>
    <s v="RES-100218"/>
    <x v="204"/>
    <d v="1899-12-30T12:26:00"/>
    <x v="2"/>
    <x v="2"/>
    <x v="3"/>
    <n v="3"/>
    <n v="35626.629999999997"/>
    <n v="4498.6000000000004"/>
    <x v="17"/>
    <n v="36"/>
    <x v="2"/>
    <s v="Reembolsada"/>
    <n v="4"/>
  </r>
  <r>
    <s v="RES-100219"/>
    <x v="205"/>
    <d v="1899-12-30T13:33:00"/>
    <x v="3"/>
    <x v="0"/>
    <x v="4"/>
    <n v="5"/>
    <n v="44018.9"/>
    <n v="3169.25"/>
    <x v="13"/>
    <n v="27"/>
    <x v="0"/>
    <s v="Entregada"/>
    <n v="4"/>
  </r>
  <r>
    <s v="RES-100220"/>
    <x v="206"/>
    <d v="1899-12-30T14:40:00"/>
    <x v="0"/>
    <x v="1"/>
    <x v="0"/>
    <n v="5"/>
    <n v="36013.25"/>
    <n v="5766.03"/>
    <x v="0"/>
    <n v="41"/>
    <x v="1"/>
    <s v="Cancelada"/>
    <n v="4"/>
  </r>
  <r>
    <s v="RES-100221"/>
    <x v="207"/>
    <d v="1899-12-30T15:47:00"/>
    <x v="1"/>
    <x v="2"/>
    <x v="1"/>
    <n v="3"/>
    <n v="62938.5"/>
    <n v="5835.99"/>
    <x v="3"/>
    <n v="35"/>
    <x v="2"/>
    <s v="Reembolsada"/>
    <n v="5"/>
  </r>
  <r>
    <s v="RES-100222"/>
    <x v="208"/>
    <d v="1899-12-30T16:54:00"/>
    <x v="2"/>
    <x v="0"/>
    <x v="2"/>
    <n v="4"/>
    <n v="34925.339999999997"/>
    <n v="5952.54"/>
    <x v="17"/>
    <n v="49"/>
    <x v="0"/>
    <s v="Entregada"/>
    <n v="3"/>
  </r>
  <r>
    <s v="RES-100223"/>
    <x v="209"/>
    <d v="1899-12-30T17:01:00"/>
    <x v="3"/>
    <x v="1"/>
    <x v="3"/>
    <n v="4"/>
    <n v="31639.64"/>
    <n v="6272.54"/>
    <x v="1"/>
    <n v="39"/>
    <x v="1"/>
    <s v="Cancelada"/>
    <n v="5"/>
  </r>
  <r>
    <s v="RES-100224"/>
    <x v="210"/>
    <d v="1899-12-30T18:08:00"/>
    <x v="0"/>
    <x v="2"/>
    <x v="4"/>
    <n v="6"/>
    <n v="49659.57"/>
    <n v="2115.5100000000002"/>
    <x v="3"/>
    <n v="31"/>
    <x v="2"/>
    <s v="Reembolsada"/>
    <n v="5"/>
  </r>
  <r>
    <s v="RES-100225"/>
    <x v="211"/>
    <d v="1899-12-30T19:15:00"/>
    <x v="1"/>
    <x v="0"/>
    <x v="0"/>
    <n v="3"/>
    <n v="37351.61"/>
    <n v="7954.81"/>
    <x v="12"/>
    <n v="36"/>
    <x v="0"/>
    <s v="Entregada"/>
    <n v="3"/>
  </r>
  <r>
    <s v="RES-100226"/>
    <x v="212"/>
    <d v="1899-12-30T20:22:00"/>
    <x v="2"/>
    <x v="1"/>
    <x v="1"/>
    <n v="4"/>
    <n v="44418.8"/>
    <n v="889.56"/>
    <x v="5"/>
    <n v="46"/>
    <x v="1"/>
    <s v="Cancelada"/>
    <n v="4"/>
  </r>
  <r>
    <s v="RES-100227"/>
    <x v="213"/>
    <d v="1899-12-30T21:29:00"/>
    <x v="3"/>
    <x v="2"/>
    <x v="2"/>
    <n v="3"/>
    <n v="30388.05"/>
    <n v="7854.06"/>
    <x v="13"/>
    <n v="43"/>
    <x v="2"/>
    <s v="Reembolsada"/>
    <n v="4"/>
  </r>
  <r>
    <s v="RES-100228"/>
    <x v="214"/>
    <d v="1899-12-30T10:36:00"/>
    <x v="0"/>
    <x v="0"/>
    <x v="3"/>
    <n v="3"/>
    <n v="66253.95"/>
    <n v="5339.21"/>
    <x v="2"/>
    <n v="34"/>
    <x v="0"/>
    <s v="Entregada"/>
    <n v="4"/>
  </r>
  <r>
    <s v="RES-100229"/>
    <x v="215"/>
    <d v="1899-12-30T11:43:00"/>
    <x v="1"/>
    <x v="1"/>
    <x v="4"/>
    <n v="5"/>
    <n v="41145.08"/>
    <n v="1761.51"/>
    <x v="15"/>
    <n v="39"/>
    <x v="1"/>
    <s v="Cancelada"/>
    <n v="3"/>
  </r>
  <r>
    <s v="RES-100230"/>
    <x v="216"/>
    <d v="1899-12-30T12:50:00"/>
    <x v="2"/>
    <x v="2"/>
    <x v="0"/>
    <n v="4"/>
    <n v="33680.54"/>
    <n v="6105.32"/>
    <x v="4"/>
    <n v="53"/>
    <x v="2"/>
    <s v="Reembolsada"/>
    <n v="3"/>
  </r>
  <r>
    <s v="RES-100231"/>
    <x v="217"/>
    <d v="1899-12-30T13:57:00"/>
    <x v="3"/>
    <x v="0"/>
    <x v="1"/>
    <n v="6"/>
    <n v="33173.71"/>
    <n v="1513.54"/>
    <x v="9"/>
    <n v="38"/>
    <x v="0"/>
    <s v="Entregada"/>
    <n v="5"/>
  </r>
  <r>
    <s v="RES-100232"/>
    <x v="218"/>
    <d v="1899-12-30T14:04:00"/>
    <x v="0"/>
    <x v="1"/>
    <x v="2"/>
    <n v="2"/>
    <n v="33211.050000000003"/>
    <n v="2259.38"/>
    <x v="10"/>
    <n v="31"/>
    <x v="1"/>
    <s v="Cancelada"/>
    <n v="4"/>
  </r>
  <r>
    <s v="RES-100233"/>
    <x v="219"/>
    <d v="1899-12-30T15:11:00"/>
    <x v="1"/>
    <x v="2"/>
    <x v="3"/>
    <n v="3"/>
    <n v="42516.49"/>
    <n v="8400.65"/>
    <x v="4"/>
    <n v="47"/>
    <x v="2"/>
    <s v="Reembolsada"/>
    <n v="5"/>
  </r>
  <r>
    <s v="RES-100234"/>
    <x v="220"/>
    <d v="1899-12-30T16:18:00"/>
    <x v="2"/>
    <x v="0"/>
    <x v="4"/>
    <n v="2"/>
    <n v="49307.44"/>
    <n v="8293.42"/>
    <x v="3"/>
    <n v="41"/>
    <x v="0"/>
    <s v="Entregada"/>
    <n v="5"/>
  </r>
  <r>
    <s v="RES-100235"/>
    <x v="221"/>
    <d v="1899-12-30T17:25:00"/>
    <x v="3"/>
    <x v="1"/>
    <x v="0"/>
    <n v="5"/>
    <n v="36795.699999999997"/>
    <n v="2541.0100000000002"/>
    <x v="1"/>
    <n v="27"/>
    <x v="1"/>
    <s v="Cancelada"/>
    <n v="3"/>
  </r>
  <r>
    <s v="RES-100236"/>
    <x v="222"/>
    <d v="1899-12-30T18:32:00"/>
    <x v="0"/>
    <x v="2"/>
    <x v="1"/>
    <n v="2"/>
    <n v="57311.51"/>
    <n v="3365.39"/>
    <x v="5"/>
    <n v="52"/>
    <x v="2"/>
    <s v="Reembolsada"/>
    <n v="4"/>
  </r>
  <r>
    <s v="RES-100237"/>
    <x v="223"/>
    <d v="1899-12-30T19:39:00"/>
    <x v="1"/>
    <x v="0"/>
    <x v="2"/>
    <n v="4"/>
    <n v="66584.12"/>
    <n v="4464.87"/>
    <x v="7"/>
    <n v="25"/>
    <x v="0"/>
    <s v="Entregada"/>
    <n v="5"/>
  </r>
  <r>
    <s v="RES-100238"/>
    <x v="224"/>
    <d v="1899-12-30T20:46:00"/>
    <x v="2"/>
    <x v="1"/>
    <x v="3"/>
    <n v="5"/>
    <n v="37967.449999999997"/>
    <n v="6506.46"/>
    <x v="16"/>
    <n v="49"/>
    <x v="1"/>
    <s v="Cancelada"/>
    <n v="5"/>
  </r>
  <r>
    <s v="RES-100239"/>
    <x v="225"/>
    <d v="1899-12-30T21:53:00"/>
    <x v="3"/>
    <x v="2"/>
    <x v="4"/>
    <n v="5"/>
    <n v="62351.360000000001"/>
    <n v="7488.37"/>
    <x v="0"/>
    <n v="40"/>
    <x v="2"/>
    <s v="Reembolsada"/>
    <n v="5"/>
  </r>
  <r>
    <s v="RES-100240"/>
    <x v="226"/>
    <d v="1899-12-30T10:00:00"/>
    <x v="0"/>
    <x v="0"/>
    <x v="0"/>
    <n v="2"/>
    <n v="64236.37"/>
    <n v="4410.88"/>
    <x v="9"/>
    <n v="31"/>
    <x v="0"/>
    <s v="Entregada"/>
    <n v="5"/>
  </r>
  <r>
    <s v="RES-100241"/>
    <x v="227"/>
    <d v="1899-12-30T11:07:00"/>
    <x v="1"/>
    <x v="1"/>
    <x v="1"/>
    <n v="5"/>
    <n v="48474.95"/>
    <n v="2689.5"/>
    <x v="16"/>
    <n v="27"/>
    <x v="1"/>
    <s v="Cancelada"/>
    <n v="3"/>
  </r>
  <r>
    <s v="RES-100242"/>
    <x v="228"/>
    <d v="1899-12-30T12:14:00"/>
    <x v="2"/>
    <x v="2"/>
    <x v="2"/>
    <n v="2"/>
    <n v="56773.71"/>
    <n v="6937.74"/>
    <x v="17"/>
    <n v="30"/>
    <x v="2"/>
    <s v="Reembolsada"/>
    <n v="3"/>
  </r>
  <r>
    <s v="RES-100243"/>
    <x v="229"/>
    <d v="1899-12-30T13:21:00"/>
    <x v="3"/>
    <x v="0"/>
    <x v="3"/>
    <n v="4"/>
    <n v="56379.27"/>
    <n v="3480.27"/>
    <x v="16"/>
    <n v="40"/>
    <x v="0"/>
    <s v="Entregada"/>
    <n v="4"/>
  </r>
  <r>
    <s v="RES-100244"/>
    <x v="230"/>
    <d v="1899-12-30T14:28:00"/>
    <x v="0"/>
    <x v="1"/>
    <x v="4"/>
    <n v="5"/>
    <n v="37111.120000000003"/>
    <n v="3742.45"/>
    <x v="1"/>
    <n v="38"/>
    <x v="1"/>
    <s v="Cancelada"/>
    <n v="5"/>
  </r>
  <r>
    <s v="RES-100245"/>
    <x v="231"/>
    <d v="1899-12-30T15:35:00"/>
    <x v="1"/>
    <x v="2"/>
    <x v="0"/>
    <n v="4"/>
    <n v="40540.089999999997"/>
    <n v="1857.76"/>
    <x v="18"/>
    <s v="255.2"/>
    <x v="2"/>
    <s v="Reembolsada"/>
    <n v="4"/>
  </r>
  <r>
    <s v="RES-100246"/>
    <x v="96"/>
    <d v="1899-12-30T16:42:00"/>
    <x v="2"/>
    <x v="0"/>
    <x v="1"/>
    <n v="5"/>
    <n v="39319.75"/>
    <n v="7842.43"/>
    <x v="15"/>
    <n v="28"/>
    <x v="0"/>
    <s v="Entregada"/>
    <n v="3"/>
  </r>
  <r>
    <s v="RES-100247"/>
    <x v="232"/>
    <d v="1899-12-30T17:49:00"/>
    <x v="3"/>
    <x v="1"/>
    <x v="2"/>
    <n v="5"/>
    <n v="47400.75"/>
    <n v="5745.23"/>
    <x v="14"/>
    <n v="49"/>
    <x v="1"/>
    <s v="Cancelada"/>
    <n v="4"/>
  </r>
  <r>
    <s v="RES-100248"/>
    <x v="151"/>
    <d v="1899-12-30T18:56:00"/>
    <x v="0"/>
    <x v="2"/>
    <x v="3"/>
    <n v="2"/>
    <n v="56006.22"/>
    <n v="5741.97"/>
    <x v="1"/>
    <n v="23"/>
    <x v="2"/>
    <s v="Reembolsada"/>
    <n v="5"/>
  </r>
  <r>
    <s v="RES-100249"/>
    <x v="233"/>
    <d v="1899-12-30T19:03:00"/>
    <x v="1"/>
    <x v="0"/>
    <x v="4"/>
    <n v="6"/>
    <n v="45200.89"/>
    <n v="4415.51"/>
    <x v="8"/>
    <n v="43"/>
    <x v="0"/>
    <s v="Entregada"/>
    <n v="3"/>
  </r>
  <r>
    <s v="RES-100250"/>
    <x v="207"/>
    <d v="1899-12-30T20:10:00"/>
    <x v="2"/>
    <x v="1"/>
    <x v="0"/>
    <n v="2"/>
    <n v="58852.72"/>
    <n v="580.65"/>
    <x v="0"/>
    <n v="51"/>
    <x v="1"/>
    <s v="Cancelada"/>
    <n v="3"/>
  </r>
  <r>
    <s v="RES-100251"/>
    <x v="234"/>
    <d v="1899-12-30T21:17:00"/>
    <x v="3"/>
    <x v="2"/>
    <x v="1"/>
    <n v="2"/>
    <n v="55135.839999999997"/>
    <n v="3908.55"/>
    <x v="12"/>
    <n v="51"/>
    <x v="2"/>
    <s v="Reembolsada"/>
    <n v="5"/>
  </r>
  <r>
    <s v="RES-100252"/>
    <x v="235"/>
    <d v="1899-12-30T10:24:00"/>
    <x v="0"/>
    <x v="0"/>
    <x v="2"/>
    <n v="5"/>
    <n v="38577.589999999997"/>
    <n v="2953.63"/>
    <x v="1"/>
    <n v="27"/>
    <x v="0"/>
    <s v="Entregada"/>
    <n v="3"/>
  </r>
  <r>
    <s v="RES-100253"/>
    <x v="236"/>
    <d v="1899-12-30T11:31:00"/>
    <x v="1"/>
    <x v="1"/>
    <x v="3"/>
    <n v="6"/>
    <n v="28212.7"/>
    <n v="5895.91"/>
    <x v="18"/>
    <n v="30"/>
    <x v="1"/>
    <s v="Cancelada"/>
    <n v="5"/>
  </r>
  <r>
    <s v="RES-100254"/>
    <x v="237"/>
    <d v="1899-12-30T12:38:00"/>
    <x v="2"/>
    <x v="2"/>
    <x v="4"/>
    <n v="2"/>
    <n v="59670.12"/>
    <n v="3845.26"/>
    <x v="14"/>
    <n v="51"/>
    <x v="2"/>
    <s v="Reembolsada"/>
    <n v="3"/>
  </r>
  <r>
    <s v="RES-100255"/>
    <x v="238"/>
    <d v="1899-12-30T13:45:00"/>
    <x v="3"/>
    <x v="0"/>
    <x v="0"/>
    <n v="4"/>
    <n v="26095.93"/>
    <n v="5774.21"/>
    <x v="12"/>
    <n v="29"/>
    <x v="0"/>
    <s v="Entregada"/>
    <n v="3"/>
  </r>
  <r>
    <s v="RES-100256"/>
    <x v="239"/>
    <d v="1899-12-30T14:52:00"/>
    <x v="0"/>
    <x v="1"/>
    <x v="1"/>
    <n v="3"/>
    <n v="30734.54"/>
    <n v="3708.38"/>
    <x v="8"/>
    <n v="40"/>
    <x v="1"/>
    <s v="Cancelada"/>
    <n v="5"/>
  </r>
  <r>
    <s v="RES-100257"/>
    <x v="240"/>
    <d v="1899-12-30T15:59:00"/>
    <x v="1"/>
    <x v="2"/>
    <x v="2"/>
    <n v="2"/>
    <n v="47804.07"/>
    <n v="1565.12"/>
    <x v="1"/>
    <n v="42"/>
    <x v="2"/>
    <s v="Reembolsada"/>
    <n v="4"/>
  </r>
  <r>
    <s v="RES-100258"/>
    <x v="241"/>
    <d v="1899-12-30T16:06:00"/>
    <x v="2"/>
    <x v="0"/>
    <x v="3"/>
    <n v="5"/>
    <n v="28864.66"/>
    <n v="6034.23"/>
    <x v="3"/>
    <n v="52"/>
    <x v="0"/>
    <s v="Entregada"/>
    <n v="5"/>
  </r>
  <r>
    <s v="RES-100259"/>
    <x v="242"/>
    <d v="1899-12-30T17:13:00"/>
    <x v="3"/>
    <x v="1"/>
    <x v="4"/>
    <n v="4"/>
    <n v="52847"/>
    <n v="7987.5"/>
    <x v="9"/>
    <n v="30"/>
    <x v="1"/>
    <s v="Cancelada"/>
    <n v="4"/>
  </r>
  <r>
    <s v="RES-100260"/>
    <x v="243"/>
    <d v="1899-12-30T18:20:00"/>
    <x v="0"/>
    <x v="2"/>
    <x v="0"/>
    <n v="2"/>
    <n v="51652.9"/>
    <n v="2005.25"/>
    <x v="13"/>
    <n v="31"/>
    <x v="2"/>
    <s v="Reembolsada"/>
    <n v="4"/>
  </r>
  <r>
    <s v="RES-100261"/>
    <x v="244"/>
    <d v="1899-12-30T19:27:00"/>
    <x v="1"/>
    <x v="0"/>
    <x v="1"/>
    <n v="5"/>
    <n v="47931.99"/>
    <n v="6958.32"/>
    <x v="4"/>
    <n v="52"/>
    <x v="0"/>
    <s v="Entregada"/>
    <n v="4"/>
  </r>
  <r>
    <s v="RES-100262"/>
    <x v="245"/>
    <d v="1899-12-30T20:34:00"/>
    <x v="2"/>
    <x v="1"/>
    <x v="2"/>
    <n v="2"/>
    <n v="67308.570000000007"/>
    <n v="4165.17"/>
    <x v="2"/>
    <n v="24"/>
    <x v="1"/>
    <s v="Cancelada"/>
    <n v="5"/>
  </r>
  <r>
    <s v="RES-100263"/>
    <x v="246"/>
    <d v="1899-12-30T21:41:00"/>
    <x v="3"/>
    <x v="2"/>
    <x v="3"/>
    <n v="6"/>
    <n v="37547.589999999997"/>
    <n v="7052.13"/>
    <x v="13"/>
    <n v="46"/>
    <x v="2"/>
    <s v="Reembolsada"/>
    <n v="5"/>
  </r>
  <r>
    <s v="RES-100264"/>
    <x v="247"/>
    <d v="1899-12-30T10:48:00"/>
    <x v="0"/>
    <x v="0"/>
    <x v="4"/>
    <n v="4"/>
    <n v="29287.46"/>
    <n v="1936.2"/>
    <x v="12"/>
    <n v="42"/>
    <x v="0"/>
    <s v="Entregada"/>
    <n v="4"/>
  </r>
  <r>
    <s v="RES-100265"/>
    <x v="248"/>
    <d v="1899-12-30T11:55:00"/>
    <x v="1"/>
    <x v="1"/>
    <x v="0"/>
    <n v="6"/>
    <n v="42630.54"/>
    <n v="7037.53"/>
    <x v="13"/>
    <n v="30"/>
    <x v="1"/>
    <s v="Cancelada"/>
    <n v="3"/>
  </r>
  <r>
    <s v="RES-100266"/>
    <x v="249"/>
    <d v="1899-12-30T12:02:00"/>
    <x v="2"/>
    <x v="2"/>
    <x v="1"/>
    <n v="6"/>
    <n v="32220.7"/>
    <n v="2305.4699999999998"/>
    <x v="16"/>
    <n v="24"/>
    <x v="2"/>
    <s v="Reembolsada"/>
    <n v="5"/>
  </r>
  <r>
    <s v="RES-100267"/>
    <x v="250"/>
    <d v="1899-12-30T13:09:00"/>
    <x v="3"/>
    <x v="0"/>
    <x v="2"/>
    <n v="6"/>
    <n v="38878.36"/>
    <n v="4015.81"/>
    <x v="6"/>
    <n v="34"/>
    <x v="0"/>
    <s v="Entregada"/>
    <n v="4"/>
  </r>
  <r>
    <s v="RES-100268"/>
    <x v="251"/>
    <d v="1899-12-30T14:16:00"/>
    <x v="0"/>
    <x v="1"/>
    <x v="3"/>
    <n v="4"/>
    <n v="48805.24"/>
    <n v="5445.73"/>
    <x v="13"/>
    <n v="40"/>
    <x v="1"/>
    <s v="Cancelada"/>
    <n v="3"/>
  </r>
  <r>
    <s v="RES-100269"/>
    <x v="252"/>
    <d v="1899-12-30T15:23:00"/>
    <x v="1"/>
    <x v="2"/>
    <x v="4"/>
    <n v="2"/>
    <n v="44499.87"/>
    <n v="621.98"/>
    <x v="4"/>
    <n v="23"/>
    <x v="2"/>
    <s v="Reembolsada"/>
    <n v="5"/>
  </r>
  <r>
    <s v="RES-100270"/>
    <x v="253"/>
    <d v="1899-12-30T16:30:00"/>
    <x v="2"/>
    <x v="0"/>
    <x v="0"/>
    <n v="4"/>
    <n v="66477.58"/>
    <n v="1603.38"/>
    <x v="7"/>
    <n v="38"/>
    <x v="0"/>
    <s v="Entregada"/>
    <n v="5"/>
  </r>
  <r>
    <s v="RES-100271"/>
    <x v="254"/>
    <d v="1899-12-30T17:37:00"/>
    <x v="3"/>
    <x v="1"/>
    <x v="1"/>
    <n v="3"/>
    <n v="61729.31"/>
    <n v="1571.3"/>
    <x v="2"/>
    <n v="40"/>
    <x v="1"/>
    <s v="Cancelada"/>
    <n v="3"/>
  </r>
  <r>
    <s v="RES-100272"/>
    <x v="255"/>
    <d v="1899-12-30T18:44:00"/>
    <x v="0"/>
    <x v="2"/>
    <x v="2"/>
    <n v="4"/>
    <n v="30349.46"/>
    <n v="914.35"/>
    <x v="8"/>
    <n v="39"/>
    <x v="2"/>
    <s v="Reembolsada"/>
    <n v="3"/>
  </r>
  <r>
    <s v="RES-100273"/>
    <x v="256"/>
    <d v="1899-12-30T19:51:00"/>
    <x v="1"/>
    <x v="0"/>
    <x v="3"/>
    <n v="5"/>
    <n v="61275.71"/>
    <n v="3506.72"/>
    <x v="13"/>
    <s v="307.4"/>
    <x v="0"/>
    <s v="Entregada"/>
    <n v="5"/>
  </r>
  <r>
    <s v="RES-100274"/>
    <x v="257"/>
    <d v="1899-12-30T20:58:00"/>
    <x v="2"/>
    <x v="1"/>
    <x v="4"/>
    <n v="3"/>
    <n v="33261.040000000001"/>
    <n v="5424.19"/>
    <x v="16"/>
    <n v="44"/>
    <x v="1"/>
    <s v="Cancelada"/>
    <n v="5"/>
  </r>
  <r>
    <s v="RES-100275"/>
    <x v="258"/>
    <d v="1899-12-30T21:05:00"/>
    <x v="3"/>
    <x v="2"/>
    <x v="0"/>
    <n v="6"/>
    <n v="52702.43"/>
    <n v="5479.1"/>
    <x v="18"/>
    <n v="42"/>
    <x v="2"/>
    <s v="Reembolsada"/>
    <n v="4"/>
  </r>
  <r>
    <s v="RES-100276"/>
    <x v="259"/>
    <d v="1899-12-30T10:12:00"/>
    <x v="0"/>
    <x v="0"/>
    <x v="1"/>
    <n v="5"/>
    <n v="50244.04"/>
    <n v="2168.38"/>
    <x v="10"/>
    <n v="53"/>
    <x v="0"/>
    <s v="Entregada"/>
    <n v="4"/>
  </r>
  <r>
    <s v="RES-100277"/>
    <x v="260"/>
    <d v="1899-12-30T11:19:00"/>
    <x v="1"/>
    <x v="1"/>
    <x v="2"/>
    <n v="6"/>
    <n v="40441.25"/>
    <n v="4819.7700000000004"/>
    <x v="14"/>
    <n v="47"/>
    <x v="1"/>
    <s v="Cancelada"/>
    <n v="3"/>
  </r>
  <r>
    <s v="RES-100278"/>
    <x v="126"/>
    <d v="1899-12-30T12:26:00"/>
    <x v="2"/>
    <x v="2"/>
    <x v="3"/>
    <n v="5"/>
    <n v="35006.51"/>
    <n v="5683.62"/>
    <x v="5"/>
    <n v="33"/>
    <x v="2"/>
    <s v="Reembolsada"/>
    <n v="3"/>
  </r>
  <r>
    <s v="RES-100279"/>
    <x v="261"/>
    <d v="1899-12-30T13:33:00"/>
    <x v="3"/>
    <x v="0"/>
    <x v="4"/>
    <n v="3"/>
    <n v="56295.21"/>
    <n v="7039.78"/>
    <x v="11"/>
    <n v="28"/>
    <x v="0"/>
    <s v="Entregada"/>
    <n v="5"/>
  </r>
  <r>
    <s v="RES-100280"/>
    <x v="180"/>
    <d v="1899-12-30T14:40:00"/>
    <x v="0"/>
    <x v="1"/>
    <x v="0"/>
    <n v="4"/>
    <n v="61213.39"/>
    <n v="2697.46"/>
    <x v="0"/>
    <n v="53"/>
    <x v="1"/>
    <s v="Cancelada"/>
    <n v="5"/>
  </r>
  <r>
    <s v="RES-100281"/>
    <x v="208"/>
    <d v="1899-12-30T15:47:00"/>
    <x v="1"/>
    <x v="2"/>
    <x v="1"/>
    <n v="5"/>
    <n v="43364.95"/>
    <n v="4469.55"/>
    <x v="14"/>
    <n v="31"/>
    <x v="2"/>
    <s v="Reembolsada"/>
    <n v="5"/>
  </r>
  <r>
    <s v="RES-100282"/>
    <x v="262"/>
    <d v="1899-12-30T16:54:00"/>
    <x v="2"/>
    <x v="0"/>
    <x v="2"/>
    <n v="3"/>
    <n v="52828.37"/>
    <n v="3747.38"/>
    <x v="2"/>
    <n v="30"/>
    <x v="0"/>
    <s v="Entregada"/>
    <n v="4"/>
  </r>
  <r>
    <s v="RES-100283"/>
    <x v="263"/>
    <d v="1899-12-30T17:01:00"/>
    <x v="3"/>
    <x v="1"/>
    <x v="3"/>
    <n v="2"/>
    <n v="50237.3"/>
    <n v="3768"/>
    <x v="9"/>
    <n v="53"/>
    <x v="1"/>
    <s v="Cancelada"/>
    <n v="4"/>
  </r>
  <r>
    <s v="RES-100284"/>
    <x v="264"/>
    <d v="1899-12-30T18:08:00"/>
    <x v="0"/>
    <x v="2"/>
    <x v="4"/>
    <n v="3"/>
    <n v="63201.55"/>
    <n v="8348.2199999999993"/>
    <x v="2"/>
    <n v="26"/>
    <x v="2"/>
    <s v="Reembolsada"/>
    <n v="3"/>
  </r>
  <r>
    <s v="RES-100285"/>
    <x v="265"/>
    <d v="1899-12-30T19:15:00"/>
    <x v="1"/>
    <x v="0"/>
    <x v="0"/>
    <n v="5"/>
    <n v="30776.25"/>
    <n v="3312.57"/>
    <x v="16"/>
    <s v="179.8"/>
    <x v="0"/>
    <s v="Entregada"/>
    <n v="3"/>
  </r>
  <r>
    <s v="RES-100286"/>
    <x v="266"/>
    <d v="1899-12-30T20:22:00"/>
    <x v="2"/>
    <x v="1"/>
    <x v="1"/>
    <n v="4"/>
    <n v="69731.009999999995"/>
    <n v="8206.76"/>
    <x v="6"/>
    <n v="49"/>
    <x v="1"/>
    <s v="Cancelada"/>
    <n v="4"/>
  </r>
  <r>
    <s v="RES-100287"/>
    <x v="267"/>
    <d v="1899-12-30T21:29:00"/>
    <x v="3"/>
    <x v="2"/>
    <x v="2"/>
    <n v="3"/>
    <n v="59706.83"/>
    <n v="2022.64"/>
    <x v="7"/>
    <n v="51"/>
    <x v="2"/>
    <s v="Reembolsada"/>
    <n v="3"/>
  </r>
  <r>
    <s v="RES-100288"/>
    <x v="268"/>
    <d v="1899-12-30T10:36:00"/>
    <x v="0"/>
    <x v="0"/>
    <x v="3"/>
    <n v="5"/>
    <n v="36028.61"/>
    <n v="5573.64"/>
    <x v="6"/>
    <n v="35"/>
    <x v="0"/>
    <s v="Entregada"/>
    <n v="5"/>
  </r>
  <r>
    <s v="RES-100289"/>
    <x v="269"/>
    <d v="1899-12-30T11:43:00"/>
    <x v="1"/>
    <x v="1"/>
    <x v="4"/>
    <n v="6"/>
    <n v="42217.81"/>
    <n v="1630.36"/>
    <x v="0"/>
    <n v="40"/>
    <x v="1"/>
    <s v="Cancelada"/>
    <n v="5"/>
  </r>
  <r>
    <s v="RES-100290"/>
    <x v="270"/>
    <d v="1899-12-30T12:50:00"/>
    <x v="2"/>
    <x v="2"/>
    <x v="0"/>
    <n v="2"/>
    <n v="56120.72"/>
    <n v="1738.82"/>
    <x v="10"/>
    <n v="25"/>
    <x v="2"/>
    <s v="Reembolsada"/>
    <n v="3"/>
  </r>
  <r>
    <s v="RES-100291"/>
    <x v="271"/>
    <d v="1899-12-30T13:57:00"/>
    <x v="3"/>
    <x v="0"/>
    <x v="1"/>
    <n v="5"/>
    <n v="63495.64"/>
    <n v="2783.44"/>
    <x v="10"/>
    <n v="33"/>
    <x v="0"/>
    <s v="Entregada"/>
    <n v="4"/>
  </r>
  <r>
    <s v="RES-100292"/>
    <x v="272"/>
    <d v="1899-12-30T14:04:00"/>
    <x v="0"/>
    <x v="1"/>
    <x v="2"/>
    <n v="3"/>
    <n v="63117.760000000002"/>
    <n v="7302.05"/>
    <x v="2"/>
    <n v="26"/>
    <x v="1"/>
    <s v="Cancelada"/>
    <n v="5"/>
  </r>
  <r>
    <s v="RES-100293"/>
    <x v="273"/>
    <d v="1899-12-30T15:11:00"/>
    <x v="1"/>
    <x v="2"/>
    <x v="3"/>
    <n v="2"/>
    <n v="69238.05"/>
    <n v="2949.16"/>
    <x v="10"/>
    <n v="51"/>
    <x v="2"/>
    <s v="Reembolsada"/>
    <n v="4"/>
  </r>
  <r>
    <s v="RES-100294"/>
    <x v="274"/>
    <d v="1899-12-30T16:18:00"/>
    <x v="2"/>
    <x v="0"/>
    <x v="4"/>
    <n v="4"/>
    <n v="42884.52"/>
    <n v="4841.8100000000004"/>
    <x v="9"/>
    <n v="27"/>
    <x v="0"/>
    <s v="Entregada"/>
    <n v="5"/>
  </r>
  <r>
    <s v="RES-100295"/>
    <x v="275"/>
    <d v="1899-12-30T17:25:00"/>
    <x v="3"/>
    <x v="1"/>
    <x v="0"/>
    <n v="5"/>
    <n v="57012.17"/>
    <n v="8196.34"/>
    <x v="11"/>
    <n v="44"/>
    <x v="1"/>
    <s v="Cancelada"/>
    <n v="4"/>
  </r>
  <r>
    <s v="RES-100296"/>
    <x v="276"/>
    <d v="1899-12-30T18:32:00"/>
    <x v="0"/>
    <x v="2"/>
    <x v="1"/>
    <n v="6"/>
    <n v="64110.36"/>
    <n v="2338.94"/>
    <x v="12"/>
    <n v="40"/>
    <x v="2"/>
    <s v="Reembolsada"/>
    <n v="3"/>
  </r>
  <r>
    <s v="RES-100297"/>
    <x v="277"/>
    <d v="1899-12-30T19:39:00"/>
    <x v="1"/>
    <x v="0"/>
    <x v="2"/>
    <n v="5"/>
    <n v="37124.959999999999"/>
    <n v="1026.71"/>
    <x v="11"/>
    <n v="46"/>
    <x v="0"/>
    <s v="Entregada"/>
    <n v="5"/>
  </r>
  <r>
    <s v="RES-100298"/>
    <x v="278"/>
    <d v="1899-12-30T20:46:00"/>
    <x v="2"/>
    <x v="1"/>
    <x v="3"/>
    <n v="3"/>
    <n v="52128.42"/>
    <n v="5672.28"/>
    <x v="16"/>
    <n v="46"/>
    <x v="1"/>
    <s v="Cancelada"/>
    <n v="5"/>
  </r>
  <r>
    <s v="RES-100299"/>
    <x v="279"/>
    <d v="1899-12-30T21:53:00"/>
    <x v="3"/>
    <x v="2"/>
    <x v="4"/>
    <n v="4"/>
    <n v="34985.949999999997"/>
    <n v="7613.84"/>
    <x v="4"/>
    <n v="24"/>
    <x v="2"/>
    <s v="Reembolsada"/>
    <n v="5"/>
  </r>
  <r>
    <s v="RES-100300"/>
    <x v="280"/>
    <d v="1899-12-30T10:00:00"/>
    <x v="0"/>
    <x v="0"/>
    <x v="0"/>
    <n v="5"/>
    <n v="68830.81"/>
    <n v="3653.57"/>
    <x v="7"/>
    <n v="25"/>
    <x v="0"/>
    <s v="Entregada"/>
    <n v="5"/>
  </r>
  <r>
    <s v="RES-100301"/>
    <x v="281"/>
    <d v="1899-12-30T11:07:00"/>
    <x v="1"/>
    <x v="1"/>
    <x v="1"/>
    <n v="5"/>
    <n v="42114.41"/>
    <n v="893.09"/>
    <x v="15"/>
    <n v="28"/>
    <x v="1"/>
    <s v="Cancelada"/>
    <n v="5"/>
  </r>
  <r>
    <s v="RES-100302"/>
    <x v="282"/>
    <d v="1899-12-30T12:14:00"/>
    <x v="2"/>
    <x v="2"/>
    <x v="2"/>
    <n v="6"/>
    <n v="68088.639999999999"/>
    <n v="1882.04"/>
    <x v="5"/>
    <n v="24"/>
    <x v="2"/>
    <s v="Reembolsada"/>
    <n v="4"/>
  </r>
  <r>
    <s v="RES-100303"/>
    <x v="283"/>
    <d v="1899-12-30T13:21:00"/>
    <x v="3"/>
    <x v="0"/>
    <x v="3"/>
    <n v="6"/>
    <n v="35697.379999999997"/>
    <n v="3800.12"/>
    <x v="14"/>
    <n v="48"/>
    <x v="0"/>
    <s v="Entregada"/>
    <n v="4"/>
  </r>
  <r>
    <s v="RES-100304"/>
    <x v="11"/>
    <d v="1899-12-30T14:28:00"/>
    <x v="0"/>
    <x v="1"/>
    <x v="4"/>
    <n v="3"/>
    <n v="58539.4"/>
    <n v="6324.03"/>
    <x v="2"/>
    <n v="41"/>
    <x v="1"/>
    <s v="Cancelada"/>
    <n v="5"/>
  </r>
  <r>
    <s v="RES-100305"/>
    <x v="39"/>
    <d v="1899-12-30T15:35:00"/>
    <x v="1"/>
    <x v="2"/>
    <x v="0"/>
    <n v="3"/>
    <n v="31457.27"/>
    <n v="4922.18"/>
    <x v="0"/>
    <n v="51"/>
    <x v="2"/>
    <s v="Reembolsada"/>
    <n v="4"/>
  </r>
  <r>
    <s v="RES-100306"/>
    <x v="284"/>
    <d v="1899-12-30T16:42:00"/>
    <x v="2"/>
    <x v="0"/>
    <x v="1"/>
    <n v="2"/>
    <n v="41260.339999999997"/>
    <n v="5631.63"/>
    <x v="10"/>
    <n v="34"/>
    <x v="0"/>
    <s v="Entregada"/>
    <n v="3"/>
  </r>
  <r>
    <s v="RES-100307"/>
    <x v="285"/>
    <d v="1899-12-30T17:49:00"/>
    <x v="3"/>
    <x v="1"/>
    <x v="2"/>
    <n v="3"/>
    <n v="47630.15"/>
    <n v="2993.85"/>
    <x v="0"/>
    <n v="34"/>
    <x v="1"/>
    <s v="Cancelada"/>
    <n v="3"/>
  </r>
  <r>
    <s v="RES-100308"/>
    <x v="286"/>
    <d v="1899-12-30T18:56:00"/>
    <x v="0"/>
    <x v="2"/>
    <x v="3"/>
    <n v="6"/>
    <n v="68666.45"/>
    <n v="2028.87"/>
    <x v="8"/>
    <n v="29"/>
    <x v="2"/>
    <s v="Reembolsada"/>
    <n v="3"/>
  </r>
  <r>
    <s v="RES-100309"/>
    <x v="153"/>
    <d v="1899-12-30T19:03:00"/>
    <x v="1"/>
    <x v="0"/>
    <x v="4"/>
    <n v="3"/>
    <n v="54786.13"/>
    <n v="2914.94"/>
    <x v="17"/>
    <n v="39"/>
    <x v="0"/>
    <s v="Entregada"/>
    <n v="4"/>
  </r>
  <r>
    <s v="RES-100310"/>
    <x v="287"/>
    <d v="1899-12-30T20:10:00"/>
    <x v="2"/>
    <x v="1"/>
    <x v="0"/>
    <n v="3"/>
    <n v="44879.07"/>
    <n v="2547.69"/>
    <x v="13"/>
    <n v="28"/>
    <x v="1"/>
    <s v="Cancelada"/>
    <n v="4"/>
  </r>
  <r>
    <s v="RES-100311"/>
    <x v="209"/>
    <d v="1899-12-30T21:17:00"/>
    <x v="3"/>
    <x v="2"/>
    <x v="1"/>
    <n v="3"/>
    <n v="44918.15"/>
    <n v="6142.83"/>
    <x v="18"/>
    <n v="39"/>
    <x v="2"/>
    <s v="Reembolsada"/>
    <n v="4"/>
  </r>
  <r>
    <s v="RES-100312"/>
    <x v="288"/>
    <d v="1899-12-30T10:24:00"/>
    <x v="0"/>
    <x v="0"/>
    <x v="2"/>
    <n v="4"/>
    <n v="56569.93"/>
    <n v="4035.34"/>
    <x v="18"/>
    <n v="52"/>
    <x v="0"/>
    <s v="Entregada"/>
    <n v="4"/>
  </r>
  <r>
    <s v="RES-100313"/>
    <x v="264"/>
    <d v="1899-12-30T11:31:00"/>
    <x v="1"/>
    <x v="1"/>
    <x v="3"/>
    <n v="3"/>
    <n v="30232.25"/>
    <n v="804.01"/>
    <x v="15"/>
    <n v="43"/>
    <x v="1"/>
    <s v="Cancelada"/>
    <n v="4"/>
  </r>
  <r>
    <s v="RES-100314"/>
    <x v="289"/>
    <d v="1899-12-30T12:38:00"/>
    <x v="2"/>
    <x v="2"/>
    <x v="4"/>
    <n v="3"/>
    <n v="53589.97"/>
    <n v="4558.25"/>
    <x v="8"/>
    <n v="25"/>
    <x v="2"/>
    <s v="Reembolsada"/>
    <n v="4"/>
  </r>
  <r>
    <s v="RES-100315"/>
    <x v="290"/>
    <d v="1899-12-30T13:45:00"/>
    <x v="3"/>
    <x v="0"/>
    <x v="0"/>
    <n v="4"/>
    <n v="43581"/>
    <n v="4052.21"/>
    <x v="11"/>
    <n v="47"/>
    <x v="0"/>
    <s v="Entregada"/>
    <n v="3"/>
  </r>
  <r>
    <s v="RES-100316"/>
    <x v="291"/>
    <d v="1899-12-30T14:52:00"/>
    <x v="0"/>
    <x v="1"/>
    <x v="1"/>
    <n v="5"/>
    <n v="37381.14"/>
    <n v="5875.35"/>
    <x v="10"/>
    <n v="26"/>
    <x v="1"/>
    <s v="Cancelada"/>
    <n v="5"/>
  </r>
  <r>
    <s v="RES-100317"/>
    <x v="292"/>
    <d v="1899-12-30T15:59:00"/>
    <x v="1"/>
    <x v="2"/>
    <x v="2"/>
    <n v="3"/>
    <n v="62379.76"/>
    <n v="1985.06"/>
    <x v="4"/>
    <n v="51"/>
    <x v="2"/>
    <s v="Reembolsada"/>
    <n v="4"/>
  </r>
  <r>
    <s v="RES-100318"/>
    <x v="293"/>
    <d v="1899-12-30T16:06:00"/>
    <x v="2"/>
    <x v="0"/>
    <x v="3"/>
    <n v="4"/>
    <n v="46638.66"/>
    <n v="715.19"/>
    <x v="16"/>
    <n v="43"/>
    <x v="0"/>
    <s v="Entregada"/>
    <n v="4"/>
  </r>
  <r>
    <s v="RES-100319"/>
    <x v="294"/>
    <d v="1899-12-30T17:13:00"/>
    <x v="3"/>
    <x v="1"/>
    <x v="4"/>
    <n v="4"/>
    <n v="64218.239999999998"/>
    <n v="8403.42"/>
    <x v="3"/>
    <n v="33"/>
    <x v="1"/>
    <s v="Cancelada"/>
    <n v="4"/>
  </r>
  <r>
    <s v="RES-100320"/>
    <x v="295"/>
    <d v="1899-12-30T18:20:00"/>
    <x v="0"/>
    <x v="2"/>
    <x v="0"/>
    <n v="5"/>
    <n v="42763.21"/>
    <n v="4244.78"/>
    <x v="18"/>
    <n v="41"/>
    <x v="2"/>
    <s v="Reembolsada"/>
    <n v="4"/>
  </r>
  <r>
    <s v="RES-100321"/>
    <x v="296"/>
    <d v="1899-12-30T19:27:00"/>
    <x v="1"/>
    <x v="0"/>
    <x v="1"/>
    <n v="3"/>
    <n v="61669.95"/>
    <n v="6847.46"/>
    <x v="7"/>
    <n v="31"/>
    <x v="0"/>
    <s v="Entregada"/>
    <n v="4"/>
  </r>
  <r>
    <s v="RES-100322"/>
    <x v="297"/>
    <d v="1899-12-30T20:34:00"/>
    <x v="2"/>
    <x v="1"/>
    <x v="2"/>
    <n v="5"/>
    <n v="44891.6"/>
    <n v="4307.1400000000003"/>
    <x v="3"/>
    <n v="27"/>
    <x v="1"/>
    <s v="Cancelada"/>
    <n v="5"/>
  </r>
  <r>
    <s v="RES-100323"/>
    <x v="298"/>
    <d v="1899-12-30T21:41:00"/>
    <x v="3"/>
    <x v="2"/>
    <x v="3"/>
    <n v="4"/>
    <n v="55459.65"/>
    <n v="7168.14"/>
    <x v="12"/>
    <n v="52"/>
    <x v="2"/>
    <s v="Reembolsada"/>
    <n v="4"/>
  </r>
  <r>
    <s v="RES-100324"/>
    <x v="299"/>
    <d v="1899-12-30T10:48:00"/>
    <x v="0"/>
    <x v="0"/>
    <x v="4"/>
    <n v="5"/>
    <n v="51408.95"/>
    <n v="6698.15"/>
    <x v="15"/>
    <n v="42"/>
    <x v="0"/>
    <s v="Entregada"/>
    <n v="5"/>
  </r>
  <r>
    <s v="RES-100325"/>
    <x v="300"/>
    <d v="1899-12-30T11:55:00"/>
    <x v="1"/>
    <x v="1"/>
    <x v="0"/>
    <n v="2"/>
    <n v="26825.69"/>
    <n v="2139.83"/>
    <x v="4"/>
    <n v="49"/>
    <x v="1"/>
    <s v="Cancelada"/>
    <n v="3"/>
  </r>
  <r>
    <s v="RES-100326"/>
    <x v="301"/>
    <d v="1899-12-30T12:02:00"/>
    <x v="2"/>
    <x v="2"/>
    <x v="1"/>
    <n v="5"/>
    <n v="26849.38"/>
    <n v="3145.91"/>
    <x v="4"/>
    <n v="37"/>
    <x v="2"/>
    <s v="Reembolsada"/>
    <n v="4"/>
  </r>
  <r>
    <s v="RES-100327"/>
    <x v="302"/>
    <d v="1899-12-30T13:09:00"/>
    <x v="3"/>
    <x v="0"/>
    <x v="2"/>
    <n v="4"/>
    <n v="55052.85"/>
    <n v="882.7"/>
    <x v="10"/>
    <n v="48"/>
    <x v="0"/>
    <s v="Entregada"/>
    <n v="5"/>
  </r>
  <r>
    <s v="RES-100328"/>
    <x v="303"/>
    <d v="1899-12-30T14:16:00"/>
    <x v="0"/>
    <x v="1"/>
    <x v="3"/>
    <n v="6"/>
    <n v="35219.49"/>
    <n v="5050.21"/>
    <x v="7"/>
    <n v="41"/>
    <x v="1"/>
    <s v="Cancelada"/>
    <n v="3"/>
  </r>
  <r>
    <s v="RES-100329"/>
    <x v="304"/>
    <d v="1899-12-30T15:23:00"/>
    <x v="1"/>
    <x v="2"/>
    <x v="4"/>
    <n v="3"/>
    <n v="27798.79"/>
    <n v="7387.77"/>
    <x v="13"/>
    <n v="29"/>
    <x v="2"/>
    <s v="Reembolsada"/>
    <n v="3"/>
  </r>
  <r>
    <s v="RES-100330"/>
    <x v="305"/>
    <d v="1899-12-30T16:30:00"/>
    <x v="2"/>
    <x v="0"/>
    <x v="0"/>
    <n v="3"/>
    <n v="38986.379999999997"/>
    <n v="3855.55"/>
    <x v="12"/>
    <n v="39"/>
    <x v="0"/>
    <s v="Entregada"/>
    <n v="5"/>
  </r>
  <r>
    <s v="RES-100331"/>
    <x v="306"/>
    <d v="1899-12-30T17:37:00"/>
    <x v="3"/>
    <x v="1"/>
    <x v="1"/>
    <n v="4"/>
    <n v="50903.93"/>
    <n v="6168.71"/>
    <x v="2"/>
    <n v="53"/>
    <x v="1"/>
    <s v="Cancelada"/>
    <n v="5"/>
  </r>
  <r>
    <s v="RES-100332"/>
    <x v="307"/>
    <d v="1899-12-30T18:44:00"/>
    <x v="0"/>
    <x v="2"/>
    <x v="2"/>
    <n v="4"/>
    <n v="65390.21"/>
    <n v="4405.97"/>
    <x v="16"/>
    <n v="38"/>
    <x v="2"/>
    <s v="Reembolsada"/>
    <n v="3"/>
  </r>
  <r>
    <s v="RES-100333"/>
    <x v="308"/>
    <d v="1899-12-30T19:51:00"/>
    <x v="1"/>
    <x v="0"/>
    <x v="3"/>
    <n v="4"/>
    <n v="41997.63"/>
    <n v="6714.69"/>
    <x v="6"/>
    <n v="35"/>
    <x v="0"/>
    <s v="Entregada"/>
    <n v="5"/>
  </r>
  <r>
    <s v="RES-100334"/>
    <x v="309"/>
    <d v="1899-12-30T20:58:00"/>
    <x v="2"/>
    <x v="1"/>
    <x v="4"/>
    <n v="5"/>
    <n v="65531.13"/>
    <n v="1681.5"/>
    <x v="17"/>
    <n v="53"/>
    <x v="1"/>
    <s v="Cancelada"/>
    <n v="5"/>
  </r>
  <r>
    <s v="RES-100335"/>
    <x v="310"/>
    <d v="1899-12-30T21:05:00"/>
    <x v="3"/>
    <x v="2"/>
    <x v="0"/>
    <n v="4"/>
    <n v="53043.22"/>
    <n v="6368.27"/>
    <x v="18"/>
    <n v="47"/>
    <x v="2"/>
    <s v="Reembolsada"/>
    <n v="4"/>
  </r>
  <r>
    <s v="RES-100336"/>
    <x v="311"/>
    <d v="1899-12-30T10:12:00"/>
    <x v="0"/>
    <x v="0"/>
    <x v="1"/>
    <n v="3"/>
    <n v="31175.39"/>
    <n v="2155.66"/>
    <x v="9"/>
    <n v="28"/>
    <x v="0"/>
    <s v="Entregada"/>
    <n v="3"/>
  </r>
  <r>
    <s v="RES-100337"/>
    <x v="312"/>
    <d v="1899-12-30T11:19:00"/>
    <x v="1"/>
    <x v="1"/>
    <x v="2"/>
    <n v="3"/>
    <n v="28263.45"/>
    <n v="7919.39"/>
    <x v="10"/>
    <n v="23"/>
    <x v="1"/>
    <s v="Cancelada"/>
    <n v="3"/>
  </r>
  <r>
    <s v="RES-100338"/>
    <x v="313"/>
    <d v="1899-12-30T12:26:00"/>
    <x v="2"/>
    <x v="2"/>
    <x v="3"/>
    <n v="4"/>
    <n v="66034.38"/>
    <n v="4717.24"/>
    <x v="4"/>
    <n v="53"/>
    <x v="2"/>
    <s v="Reembolsada"/>
    <n v="4"/>
  </r>
  <r>
    <s v="RES-100339"/>
    <x v="314"/>
    <d v="1899-12-30T13:33:00"/>
    <x v="3"/>
    <x v="0"/>
    <x v="4"/>
    <n v="2"/>
    <n v="51388.67"/>
    <n v="5839.18"/>
    <x v="0"/>
    <n v="49"/>
    <x v="0"/>
    <s v="Entregada"/>
    <n v="5"/>
  </r>
  <r>
    <s v="RES-100340"/>
    <x v="315"/>
    <d v="1899-12-30T14:40:00"/>
    <x v="0"/>
    <x v="1"/>
    <x v="0"/>
    <n v="3"/>
    <n v="38194.43"/>
    <n v="3841.94"/>
    <x v="17"/>
    <n v="23"/>
    <x v="1"/>
    <s v="Cancelada"/>
    <n v="4"/>
  </r>
  <r>
    <s v="RES-100341"/>
    <x v="316"/>
    <d v="1899-12-30T15:47:00"/>
    <x v="1"/>
    <x v="2"/>
    <x v="1"/>
    <n v="6"/>
    <n v="66280.289999999994"/>
    <n v="4279.83"/>
    <x v="4"/>
    <n v="35"/>
    <x v="2"/>
    <s v="Reembolsada"/>
    <n v="4"/>
  </r>
  <r>
    <s v="RES-100342"/>
    <x v="317"/>
    <d v="1899-12-30T16:54:00"/>
    <x v="2"/>
    <x v="0"/>
    <x v="2"/>
    <n v="6"/>
    <n v="33689.25"/>
    <n v="6449.44"/>
    <x v="17"/>
    <n v="51"/>
    <x v="0"/>
    <s v="Entregada"/>
    <n v="5"/>
  </r>
  <r>
    <s v="RES-100343"/>
    <x v="318"/>
    <d v="1899-12-30T17:01:00"/>
    <x v="3"/>
    <x v="1"/>
    <x v="3"/>
    <n v="6"/>
    <n v="67794.710000000006"/>
    <n v="4687.37"/>
    <x v="18"/>
    <n v="23"/>
    <x v="1"/>
    <s v="Cancelada"/>
    <n v="4"/>
  </r>
  <r>
    <s v="RES-100344"/>
    <x v="319"/>
    <d v="1899-12-30T18:08:00"/>
    <x v="0"/>
    <x v="2"/>
    <x v="4"/>
    <n v="3"/>
    <n v="50195.06"/>
    <n v="649.26"/>
    <x v="5"/>
    <n v="26"/>
    <x v="2"/>
    <s v="Reembolsada"/>
    <n v="3"/>
  </r>
  <r>
    <s v="RES-100345"/>
    <x v="320"/>
    <d v="1899-12-30T19:15:00"/>
    <x v="1"/>
    <x v="0"/>
    <x v="0"/>
    <n v="6"/>
    <n v="29311.52"/>
    <n v="1823.47"/>
    <x v="11"/>
    <n v="24"/>
    <x v="0"/>
    <s v="Entregada"/>
    <n v="4"/>
  </r>
  <r>
    <s v="RES-100346"/>
    <x v="321"/>
    <d v="1899-12-30T20:22:00"/>
    <x v="2"/>
    <x v="1"/>
    <x v="1"/>
    <n v="2"/>
    <n v="39842.14"/>
    <n v="8181.64"/>
    <x v="8"/>
    <n v="23"/>
    <x v="1"/>
    <s v="Cancelada"/>
    <n v="4"/>
  </r>
  <r>
    <s v="RES-100347"/>
    <x v="322"/>
    <d v="1899-12-30T21:29:00"/>
    <x v="3"/>
    <x v="2"/>
    <x v="2"/>
    <n v="6"/>
    <n v="34982.11"/>
    <n v="2690.87"/>
    <x v="5"/>
    <n v="27"/>
    <x v="2"/>
    <s v="Reembolsada"/>
    <n v="3"/>
  </r>
  <r>
    <s v="RES-100348"/>
    <x v="323"/>
    <d v="1899-12-30T10:36:00"/>
    <x v="0"/>
    <x v="0"/>
    <x v="3"/>
    <n v="6"/>
    <n v="27852.01"/>
    <n v="5485.43"/>
    <x v="13"/>
    <n v="43"/>
    <x v="0"/>
    <s v="Entregada"/>
    <n v="4"/>
  </r>
  <r>
    <s v="RES-100349"/>
    <x v="324"/>
    <d v="1899-12-30T11:43:00"/>
    <x v="1"/>
    <x v="1"/>
    <x v="4"/>
    <n v="4"/>
    <n v="51594.51"/>
    <n v="6023.83"/>
    <x v="12"/>
    <n v="37"/>
    <x v="1"/>
    <s v="Cancelada"/>
    <n v="5"/>
  </r>
  <r>
    <s v="RES-100350"/>
    <x v="325"/>
    <d v="1899-12-30T12:50:00"/>
    <x v="2"/>
    <x v="2"/>
    <x v="0"/>
    <n v="4"/>
    <n v="32407.39"/>
    <n v="3836.3"/>
    <x v="2"/>
    <n v="51"/>
    <x v="2"/>
    <s v="Reembolsada"/>
    <n v="5"/>
  </r>
  <r>
    <s v="RES-100351"/>
    <x v="326"/>
    <d v="1899-12-30T13:57:00"/>
    <x v="3"/>
    <x v="0"/>
    <x v="1"/>
    <n v="2"/>
    <n v="65189.13"/>
    <n v="3392.03"/>
    <x v="8"/>
    <n v="52"/>
    <x v="0"/>
    <s v="Entregada"/>
    <n v="4"/>
  </r>
  <r>
    <s v="RES-100352"/>
    <x v="327"/>
    <d v="1899-12-30T14:04:00"/>
    <x v="0"/>
    <x v="1"/>
    <x v="2"/>
    <n v="6"/>
    <n v="37765.26"/>
    <n v="801.82"/>
    <x v="18"/>
    <n v="40"/>
    <x v="1"/>
    <s v="Cancelada"/>
    <n v="5"/>
  </r>
  <r>
    <s v="RES-100353"/>
    <x v="328"/>
    <d v="1899-12-30T15:11:00"/>
    <x v="1"/>
    <x v="2"/>
    <x v="3"/>
    <n v="4"/>
    <n v="60066.15"/>
    <n v="3845.93"/>
    <x v="4"/>
    <n v="41"/>
    <x v="2"/>
    <s v="Reembolsada"/>
    <n v="5"/>
  </r>
  <r>
    <s v="RES-100354"/>
    <x v="329"/>
    <d v="1899-12-30T16:18:00"/>
    <x v="2"/>
    <x v="0"/>
    <x v="4"/>
    <n v="2"/>
    <n v="61602.92"/>
    <n v="6596.59"/>
    <x v="5"/>
    <n v="25"/>
    <x v="0"/>
    <s v="Entregada"/>
    <n v="5"/>
  </r>
  <r>
    <s v="RES-100355"/>
    <x v="330"/>
    <d v="1899-12-30T17:25:00"/>
    <x v="3"/>
    <x v="1"/>
    <x v="0"/>
    <n v="2"/>
    <n v="52664.14"/>
    <n v="809.08"/>
    <x v="11"/>
    <n v="39"/>
    <x v="1"/>
    <s v="Cancelada"/>
    <n v="4"/>
  </r>
  <r>
    <s v="RES-100356"/>
    <x v="331"/>
    <d v="1899-12-30T18:32:00"/>
    <x v="0"/>
    <x v="2"/>
    <x v="1"/>
    <n v="2"/>
    <n v="43848.18"/>
    <n v="4844.5"/>
    <x v="0"/>
    <n v="32"/>
    <x v="2"/>
    <s v="Reembolsada"/>
    <n v="5"/>
  </r>
  <r>
    <s v="RES-100357"/>
    <x v="332"/>
    <d v="1899-12-30T19:39:00"/>
    <x v="1"/>
    <x v="0"/>
    <x v="2"/>
    <n v="4"/>
    <n v="68565.350000000006"/>
    <n v="1205.6500000000001"/>
    <x v="0"/>
    <n v="48"/>
    <x v="0"/>
    <s v="Entregada"/>
    <n v="5"/>
  </r>
  <r>
    <s v="RES-100358"/>
    <x v="333"/>
    <d v="1899-12-30T20:46:00"/>
    <x v="2"/>
    <x v="1"/>
    <x v="3"/>
    <n v="4"/>
    <n v="67835.899999999994"/>
    <n v="6365.73"/>
    <x v="1"/>
    <n v="34"/>
    <x v="1"/>
    <s v="Cancelada"/>
    <n v="4"/>
  </r>
  <r>
    <s v="RES-100359"/>
    <x v="334"/>
    <d v="1899-12-30T21:53:00"/>
    <x v="3"/>
    <x v="2"/>
    <x v="4"/>
    <n v="3"/>
    <n v="34539.019999999997"/>
    <n v="7371.06"/>
    <x v="17"/>
    <n v="28"/>
    <x v="2"/>
    <s v="Reembolsada"/>
    <n v="4"/>
  </r>
  <r>
    <s v="RES-100360"/>
    <x v="335"/>
    <d v="1899-12-30T10:00:00"/>
    <x v="0"/>
    <x v="0"/>
    <x v="0"/>
    <n v="5"/>
    <n v="60650.8"/>
    <n v="4273.38"/>
    <x v="2"/>
    <n v="40"/>
    <x v="0"/>
    <s v="Entregada"/>
    <n v="5"/>
  </r>
  <r>
    <s v="RES-100361"/>
    <x v="336"/>
    <d v="1899-12-30T11:07:00"/>
    <x v="1"/>
    <x v="1"/>
    <x v="1"/>
    <n v="5"/>
    <n v="39801.760000000002"/>
    <n v="1726.09"/>
    <x v="14"/>
    <n v="45"/>
    <x v="1"/>
    <s v="Cancelada"/>
    <n v="3"/>
  </r>
  <r>
    <s v="RES-100362"/>
    <x v="337"/>
    <d v="1899-12-30T12:14:00"/>
    <x v="2"/>
    <x v="2"/>
    <x v="2"/>
    <n v="5"/>
    <n v="46599.1"/>
    <n v="8204.27"/>
    <x v="12"/>
    <n v="31"/>
    <x v="2"/>
    <s v="Reembolsada"/>
    <n v="3"/>
  </r>
  <r>
    <s v="RES-100363"/>
    <x v="338"/>
    <d v="1899-12-30T13:21:00"/>
    <x v="3"/>
    <x v="0"/>
    <x v="3"/>
    <n v="4"/>
    <n v="33312.629999999997"/>
    <n v="5236.87"/>
    <x v="4"/>
    <n v="49"/>
    <x v="0"/>
    <s v="Entregada"/>
    <n v="3"/>
  </r>
  <r>
    <s v="RES-100364"/>
    <x v="339"/>
    <d v="1899-12-30T14:28:00"/>
    <x v="0"/>
    <x v="1"/>
    <x v="4"/>
    <n v="4"/>
    <n v="47179.87"/>
    <n v="5353.33"/>
    <x v="4"/>
    <n v="33"/>
    <x v="1"/>
    <s v="Cancelada"/>
    <n v="3"/>
  </r>
  <r>
    <s v="RES-100365"/>
    <x v="340"/>
    <d v="1899-12-30T15:35:00"/>
    <x v="1"/>
    <x v="2"/>
    <x v="0"/>
    <n v="2"/>
    <n v="67317.48"/>
    <n v="4251.9005882352949"/>
    <x v="0"/>
    <n v="46"/>
    <x v="2"/>
    <s v="Reembolsada"/>
    <n v="4"/>
  </r>
  <r>
    <s v="RES-100366"/>
    <x v="1"/>
    <d v="1899-12-30T16:42:00"/>
    <x v="2"/>
    <x v="0"/>
    <x v="1"/>
    <n v="5"/>
    <n v="38746.769999999997"/>
    <n v="6162.89"/>
    <x v="5"/>
    <n v="27"/>
    <x v="0"/>
    <s v="Entregada"/>
    <n v="4"/>
  </r>
  <r>
    <s v="RES-100367"/>
    <x v="29"/>
    <d v="1899-12-30T17:49:00"/>
    <x v="3"/>
    <x v="1"/>
    <x v="2"/>
    <n v="3"/>
    <n v="42935.5"/>
    <n v="6655.89"/>
    <x v="8"/>
    <n v="33"/>
    <x v="1"/>
    <s v="Cancelada"/>
    <n v="3"/>
  </r>
  <r>
    <s v="RES-100368"/>
    <x v="60"/>
    <d v="1899-12-30T18:56:00"/>
    <x v="0"/>
    <x v="2"/>
    <x v="3"/>
    <n v="5"/>
    <n v="45794.01"/>
    <n v="6293.47"/>
    <x v="17"/>
    <n v="37"/>
    <x v="2"/>
    <s v="Reembolsada"/>
    <n v="5"/>
  </r>
  <r>
    <s v="RES-100369"/>
    <x v="4"/>
    <d v="1899-12-30T19:03:00"/>
    <x v="1"/>
    <x v="0"/>
    <x v="4"/>
    <n v="6"/>
    <n v="54006.86"/>
    <n v="2218.59"/>
    <x v="16"/>
    <n v="27"/>
    <x v="0"/>
    <s v="Entregada"/>
    <n v="3"/>
  </r>
  <r>
    <s v="RES-100370"/>
    <x v="341"/>
    <d v="1899-12-30T20:10:00"/>
    <x v="2"/>
    <x v="1"/>
    <x v="0"/>
    <n v="3"/>
    <n v="66000.92"/>
    <n v="5622.77"/>
    <x v="15"/>
    <n v="34"/>
    <x v="1"/>
    <s v="Cancelada"/>
    <n v="5"/>
  </r>
  <r>
    <s v="RES-100371"/>
    <x v="147"/>
    <d v="1899-12-30T21:17:00"/>
    <x v="3"/>
    <x v="2"/>
    <x v="1"/>
    <n v="2"/>
    <n v="32640.09"/>
    <n v="5456.78"/>
    <x v="16"/>
    <n v="53"/>
    <x v="2"/>
    <s v="Reembolsada"/>
    <n v="4"/>
  </r>
  <r>
    <s v="RES-100372"/>
    <x v="7"/>
    <d v="1899-12-30T10:24:00"/>
    <x v="0"/>
    <x v="0"/>
    <x v="2"/>
    <n v="5"/>
    <n v="52148.42"/>
    <n v="2218.3000000000002"/>
    <x v="9"/>
    <n v="41"/>
    <x v="0"/>
    <s v="Entregada"/>
    <n v="5"/>
  </r>
  <r>
    <s v="RES-100373"/>
    <x v="342"/>
    <d v="1899-12-30T11:31:00"/>
    <x v="1"/>
    <x v="1"/>
    <x v="3"/>
    <n v="4"/>
    <n v="55185.59"/>
    <n v="4718.16"/>
    <x v="14"/>
    <n v="29"/>
    <x v="1"/>
    <s v="Cancelada"/>
    <n v="4"/>
  </r>
  <r>
    <s v="RES-100374"/>
    <x v="229"/>
    <d v="1899-12-30T12:38:00"/>
    <x v="2"/>
    <x v="2"/>
    <x v="4"/>
    <n v="3"/>
    <n v="35536.99"/>
    <n v="8108.85"/>
    <x v="0"/>
    <n v="26"/>
    <x v="2"/>
    <s v="Reembolsada"/>
    <n v="4"/>
  </r>
  <r>
    <s v="RES-100375"/>
    <x v="10"/>
    <d v="1899-12-30T13:45:00"/>
    <x v="3"/>
    <x v="0"/>
    <x v="0"/>
    <n v="4"/>
    <n v="58746.29"/>
    <n v="6535.38"/>
    <x v="4"/>
    <n v="37"/>
    <x v="0"/>
    <s v="Entregada"/>
    <n v="5"/>
  </r>
  <r>
    <s v="RES-100376"/>
    <x v="343"/>
    <d v="1899-12-30T14:52:00"/>
    <x v="0"/>
    <x v="1"/>
    <x v="1"/>
    <n v="2"/>
    <n v="58595.96"/>
    <n v="2877.82"/>
    <x v="16"/>
    <n v="43"/>
    <x v="1"/>
    <s v="Cancelada"/>
    <n v="5"/>
  </r>
  <r>
    <s v="RES-100377"/>
    <x v="12"/>
    <d v="1899-12-30T15:59:00"/>
    <x v="1"/>
    <x v="2"/>
    <x v="2"/>
    <n v="2"/>
    <n v="67888.81"/>
    <n v="3094.54"/>
    <x v="11"/>
    <n v="51"/>
    <x v="2"/>
    <s v="Reembolsada"/>
    <n v="5"/>
  </r>
  <r>
    <s v="RES-100378"/>
    <x v="13"/>
    <d v="1899-12-30T16:06:00"/>
    <x v="2"/>
    <x v="0"/>
    <x v="3"/>
    <n v="2"/>
    <n v="27206.17"/>
    <n v="2329.08"/>
    <x v="14"/>
    <n v="24"/>
    <x v="0"/>
    <s v="Entregada"/>
    <n v="4"/>
  </r>
  <r>
    <s v="RES-100379"/>
    <x v="14"/>
    <d v="1899-12-30T17:13:00"/>
    <x v="3"/>
    <x v="1"/>
    <x v="4"/>
    <n v="3"/>
    <n v="29142.39"/>
    <n v="1264.71"/>
    <x v="2"/>
    <n v="42"/>
    <x v="1"/>
    <s v="Cancelada"/>
    <n v="3"/>
  </r>
  <r>
    <s v="RES-100380"/>
    <x v="15"/>
    <d v="1899-12-30T18:20:00"/>
    <x v="0"/>
    <x v="2"/>
    <x v="0"/>
    <n v="6"/>
    <n v="57518.19"/>
    <n v="6852.24"/>
    <x v="8"/>
    <n v="42"/>
    <x v="2"/>
    <s v="Reembolsada"/>
    <n v="3"/>
  </r>
  <r>
    <s v="RES-100381"/>
    <x v="16"/>
    <d v="1899-12-30T19:27:00"/>
    <x v="1"/>
    <x v="0"/>
    <x v="1"/>
    <n v="2"/>
    <n v="58240.56"/>
    <n v="3045.01"/>
    <x v="13"/>
    <n v="40"/>
    <x v="0"/>
    <s v="Entregada"/>
    <n v="3"/>
  </r>
  <r>
    <s v="RES-100382"/>
    <x v="17"/>
    <d v="1899-12-30T20:34:00"/>
    <x v="2"/>
    <x v="1"/>
    <x v="2"/>
    <n v="2"/>
    <n v="59651.42"/>
    <n v="2986.85"/>
    <x v="6"/>
    <n v="27"/>
    <x v="1"/>
    <s v="Cancelada"/>
    <n v="4"/>
  </r>
  <r>
    <s v="RES-100383"/>
    <x v="18"/>
    <d v="1899-12-30T21:41:00"/>
    <x v="3"/>
    <x v="2"/>
    <x v="3"/>
    <n v="3"/>
    <n v="63576.14"/>
    <n v="4949.1899999999996"/>
    <x v="4"/>
    <n v="46"/>
    <x v="2"/>
    <s v="Reembolsada"/>
    <n v="3"/>
  </r>
  <r>
    <s v="RES-100384"/>
    <x v="19"/>
    <d v="1899-12-30T10:48:00"/>
    <x v="0"/>
    <x v="0"/>
    <x v="4"/>
    <n v="5"/>
    <n v="46933.51"/>
    <n v="4125"/>
    <x v="1"/>
    <n v="23"/>
    <x v="0"/>
    <s v="Entregada"/>
    <n v="5"/>
  </r>
  <r>
    <s v="RES-100385"/>
    <x v="20"/>
    <d v="1899-12-30T11:55:00"/>
    <x v="1"/>
    <x v="1"/>
    <x v="0"/>
    <n v="6"/>
    <n v="35842.449999999997"/>
    <n v="7431.55"/>
    <x v="1"/>
    <n v="39"/>
    <x v="1"/>
    <s v="Cancelada"/>
    <n v="3"/>
  </r>
  <r>
    <s v="RES-100386"/>
    <x v="21"/>
    <d v="1899-12-30T12:02:00"/>
    <x v="2"/>
    <x v="2"/>
    <x v="1"/>
    <n v="4"/>
    <n v="69775.13"/>
    <n v="4727.76"/>
    <x v="18"/>
    <n v="28"/>
    <x v="2"/>
    <s v="Reembolsada"/>
    <n v="5"/>
  </r>
  <r>
    <s v="RES-100387"/>
    <x v="22"/>
    <d v="1899-12-30T13:09:00"/>
    <x v="3"/>
    <x v="0"/>
    <x v="2"/>
    <n v="4"/>
    <n v="50377.45"/>
    <n v="4451.59"/>
    <x v="13"/>
    <n v="26"/>
    <x v="0"/>
    <s v="Entregada"/>
    <n v="4"/>
  </r>
  <r>
    <s v="RES-100388"/>
    <x v="23"/>
    <d v="1899-12-30T14:16:00"/>
    <x v="0"/>
    <x v="1"/>
    <x v="3"/>
    <n v="4"/>
    <n v="61106.41"/>
    <n v="2126.83"/>
    <x v="1"/>
    <n v="43"/>
    <x v="1"/>
    <s v="Cancelada"/>
    <n v="5"/>
  </r>
  <r>
    <s v="RES-100389"/>
    <x v="24"/>
    <d v="1899-12-30T15:23:00"/>
    <x v="1"/>
    <x v="2"/>
    <x v="4"/>
    <n v="2"/>
    <n v="48794.01"/>
    <n v="6766.14"/>
    <x v="13"/>
    <n v="41"/>
    <x v="2"/>
    <s v="Reembolsada"/>
    <n v="5"/>
  </r>
  <r>
    <s v="RES-100390"/>
    <x v="25"/>
    <d v="1899-12-30T16:30:00"/>
    <x v="2"/>
    <x v="0"/>
    <x v="0"/>
    <n v="2"/>
    <n v="29615.52"/>
    <n v="1720.86"/>
    <x v="18"/>
    <n v="35"/>
    <x v="0"/>
    <s v="Entregada"/>
    <n v="3"/>
  </r>
  <r>
    <s v="RES-100391"/>
    <x v="26"/>
    <d v="1899-12-30T17:37:00"/>
    <x v="3"/>
    <x v="1"/>
    <x v="1"/>
    <n v="2"/>
    <n v="67650.52"/>
    <n v="7443.36"/>
    <x v="6"/>
    <n v="34"/>
    <x v="1"/>
    <s v="Cancelada"/>
    <n v="3"/>
  </r>
  <r>
    <s v="RES-100392"/>
    <x v="27"/>
    <d v="1899-12-30T18:44:00"/>
    <x v="0"/>
    <x v="2"/>
    <x v="2"/>
    <n v="4"/>
    <n v="61742.98"/>
    <n v="2975.62"/>
    <x v="13"/>
    <n v="25"/>
    <x v="2"/>
    <s v="Reembolsada"/>
    <n v="5"/>
  </r>
  <r>
    <s v="RES-100393"/>
    <x v="28"/>
    <d v="1899-12-30T19:51:00"/>
    <x v="1"/>
    <x v="0"/>
    <x v="3"/>
    <n v="6"/>
    <n v="52464.67"/>
    <n v="5705.1"/>
    <x v="4"/>
    <n v="38"/>
    <x v="0"/>
    <s v="Entregada"/>
    <n v="5"/>
  </r>
  <r>
    <s v="RES-100394"/>
    <x v="2"/>
    <d v="1899-12-30T20:58:00"/>
    <x v="2"/>
    <x v="1"/>
    <x v="4"/>
    <n v="6"/>
    <n v="62496.63"/>
    <n v="7080.8"/>
    <x v="4"/>
    <n v="45"/>
    <x v="1"/>
    <s v="Cancelada"/>
    <n v="4"/>
  </r>
  <r>
    <s v="RES-100395"/>
    <x v="30"/>
    <d v="1899-12-30T21:05:00"/>
    <x v="3"/>
    <x v="2"/>
    <x v="0"/>
    <n v="6"/>
    <n v="64428.58"/>
    <n v="6021.94"/>
    <x v="4"/>
    <n v="49"/>
    <x v="2"/>
    <s v="Reembolsada"/>
    <n v="4"/>
  </r>
  <r>
    <s v="RES-100396"/>
    <x v="31"/>
    <d v="1899-12-30T10:12:00"/>
    <x v="0"/>
    <x v="0"/>
    <x v="1"/>
    <n v="5"/>
    <n v="62958.559999999998"/>
    <n v="1523.62"/>
    <x v="7"/>
    <n v="26"/>
    <x v="0"/>
    <s v="Entregada"/>
    <n v="4"/>
  </r>
  <r>
    <s v="RES-100397"/>
    <x v="344"/>
    <d v="1899-12-30T11:19:00"/>
    <x v="1"/>
    <x v="1"/>
    <x v="2"/>
    <n v="3"/>
    <n v="48858.080000000002"/>
    <n v="6550.01"/>
    <x v="12"/>
    <n v="38"/>
    <x v="1"/>
    <s v="Cancelada"/>
    <n v="4"/>
  </r>
  <r>
    <s v="RES-100398"/>
    <x v="345"/>
    <d v="1899-12-30T12:26:00"/>
    <x v="2"/>
    <x v="2"/>
    <x v="3"/>
    <n v="5"/>
    <n v="51598.97"/>
    <n v="5346.22"/>
    <x v="9"/>
    <n v="36"/>
    <x v="2"/>
    <s v="Reembolsada"/>
    <n v="4"/>
  </r>
  <r>
    <s v="RES-100399"/>
    <x v="34"/>
    <d v="1899-12-30T13:33:00"/>
    <x v="3"/>
    <x v="0"/>
    <x v="4"/>
    <n v="5"/>
    <n v="50479.42"/>
    <n v="7063.61"/>
    <x v="17"/>
    <n v="51"/>
    <x v="0"/>
    <s v="Entregada"/>
    <n v="5"/>
  </r>
  <r>
    <s v="RES-100400"/>
    <x v="346"/>
    <d v="1899-12-30T14:40:00"/>
    <x v="0"/>
    <x v="1"/>
    <x v="0"/>
    <n v="3"/>
    <n v="48859.53"/>
    <n v="4199.82"/>
    <x v="10"/>
    <n v="36"/>
    <x v="1"/>
    <s v="Cancelada"/>
    <n v="3"/>
  </r>
  <r>
    <s v="RES-100401"/>
    <x v="202"/>
    <d v="1899-12-30T15:47:00"/>
    <x v="1"/>
    <x v="2"/>
    <x v="1"/>
    <n v="6"/>
    <n v="42604.94"/>
    <n v="2298.35"/>
    <x v="11"/>
    <n v="44"/>
    <x v="2"/>
    <s v="Reembolsada"/>
    <n v="4"/>
  </r>
  <r>
    <s v="RES-100402"/>
    <x v="37"/>
    <d v="1899-12-30T16:54:00"/>
    <x v="2"/>
    <x v="0"/>
    <x v="2"/>
    <n v="6"/>
    <n v="66541.440000000002"/>
    <n v="7686.93"/>
    <x v="14"/>
    <n v="48"/>
    <x v="0"/>
    <s v="Entregada"/>
    <n v="4"/>
  </r>
  <r>
    <s v="RES-100403"/>
    <x v="258"/>
    <d v="1899-12-30T17:01:00"/>
    <x v="3"/>
    <x v="1"/>
    <x v="3"/>
    <n v="6"/>
    <n v="69734.720000000001"/>
    <n v="5740.05"/>
    <x v="0"/>
    <n v="45"/>
    <x v="1"/>
    <s v="Cancelada"/>
    <n v="5"/>
  </r>
  <r>
    <s v="RES-100404"/>
    <x v="347"/>
    <d v="1899-12-30T18:08:00"/>
    <x v="0"/>
    <x v="2"/>
    <x v="4"/>
    <n v="5"/>
    <n v="49610.239999999998"/>
    <n v="4799.74"/>
    <x v="2"/>
    <n v="48"/>
    <x v="2"/>
    <s v="Reembolsada"/>
    <n v="3"/>
  </r>
  <r>
    <s v="RES-100405"/>
    <x v="40"/>
    <d v="1899-12-30T19:15:00"/>
    <x v="1"/>
    <x v="0"/>
    <x v="0"/>
    <n v="6"/>
    <n v="46185.05"/>
    <n v="8039.84"/>
    <x v="14"/>
    <n v="34"/>
    <x v="0"/>
    <s v="Entregada"/>
    <n v="5"/>
  </r>
  <r>
    <s v="RES-100406"/>
    <x v="41"/>
    <d v="1899-12-30T20:22:00"/>
    <x v="2"/>
    <x v="1"/>
    <x v="1"/>
    <n v="3"/>
    <n v="45188.22"/>
    <n v="8491.74"/>
    <x v="9"/>
    <n v="48"/>
    <x v="1"/>
    <s v="Cancelada"/>
    <n v="4"/>
  </r>
  <r>
    <s v="RES-100407"/>
    <x v="42"/>
    <d v="1899-12-30T21:29:00"/>
    <x v="3"/>
    <x v="2"/>
    <x v="2"/>
    <n v="5"/>
    <n v="48023.17"/>
    <n v="5355.07"/>
    <x v="1"/>
    <n v="28"/>
    <x v="2"/>
    <s v="Reembolsada"/>
    <n v="4"/>
  </r>
  <r>
    <s v="RES-100408"/>
    <x v="43"/>
    <d v="1899-12-30T10:36:00"/>
    <x v="0"/>
    <x v="0"/>
    <x v="3"/>
    <n v="6"/>
    <n v="5356.85"/>
    <n v="5248.05"/>
    <x v="2"/>
    <n v="43"/>
    <x v="0"/>
    <s v="Entregada"/>
    <n v="5"/>
  </r>
  <r>
    <s v="RES-100409"/>
    <x v="44"/>
    <d v="1899-12-30T11:43:00"/>
    <x v="1"/>
    <x v="1"/>
    <x v="4"/>
    <n v="6"/>
    <n v="39408.39"/>
    <n v="2486.9699999999998"/>
    <x v="1"/>
    <n v="50"/>
    <x v="1"/>
    <s v="Cancelada"/>
    <n v="3"/>
  </r>
  <r>
    <s v="RES-100410"/>
    <x v="45"/>
    <d v="1899-12-30T12:50:00"/>
    <x v="2"/>
    <x v="2"/>
    <x v="0"/>
    <n v="5"/>
    <n v="36674"/>
    <n v="1751.75"/>
    <x v="14"/>
    <n v="261"/>
    <x v="2"/>
    <s v="Reembolsada"/>
    <n v="4"/>
  </r>
  <r>
    <s v="RES-100411"/>
    <x v="46"/>
    <d v="1899-12-30T13:57:00"/>
    <x v="3"/>
    <x v="0"/>
    <x v="1"/>
    <n v="5"/>
    <n v="37730.53"/>
    <n v="6399.32"/>
    <x v="12"/>
    <n v="53"/>
    <x v="0"/>
    <s v="Entregada"/>
    <n v="4"/>
  </r>
  <r>
    <s v="RES-100412"/>
    <x v="47"/>
    <d v="1899-12-30T14:04:00"/>
    <x v="0"/>
    <x v="1"/>
    <x v="2"/>
    <n v="3"/>
    <n v="55562.66"/>
    <n v="6456.46"/>
    <x v="15"/>
    <n v="48"/>
    <x v="1"/>
    <s v="Cancelada"/>
    <n v="4"/>
  </r>
  <r>
    <s v="RES-100413"/>
    <x v="48"/>
    <d v="1899-12-30T15:11:00"/>
    <x v="1"/>
    <x v="2"/>
    <x v="3"/>
    <n v="2"/>
    <n v="32181.61"/>
    <n v="6904.44"/>
    <x v="12"/>
    <n v="45"/>
    <x v="2"/>
    <s v="Reembolsada"/>
    <n v="3"/>
  </r>
  <r>
    <s v="RES-100414"/>
    <x v="49"/>
    <d v="1899-12-30T16:18:00"/>
    <x v="2"/>
    <x v="0"/>
    <x v="4"/>
    <n v="6"/>
    <n v="30179.26"/>
    <n v="6822.94"/>
    <x v="5"/>
    <n v="46"/>
    <x v="0"/>
    <s v="Entregada"/>
    <n v="3"/>
  </r>
  <r>
    <s v="RES-100415"/>
    <x v="50"/>
    <d v="1899-12-30T17:25:00"/>
    <x v="3"/>
    <x v="1"/>
    <x v="0"/>
    <n v="4"/>
    <n v="31288.66"/>
    <n v="4071.24"/>
    <x v="7"/>
    <n v="29"/>
    <x v="1"/>
    <s v="Cancelada"/>
    <n v="4"/>
  </r>
  <r>
    <s v="RES-100416"/>
    <x v="51"/>
    <d v="1899-12-30T18:32:00"/>
    <x v="0"/>
    <x v="2"/>
    <x v="1"/>
    <n v="5"/>
    <n v="60337.82"/>
    <n v="4473.5200000000004"/>
    <x v="10"/>
    <n v="41"/>
    <x v="2"/>
    <s v="Reembolsada"/>
    <n v="3"/>
  </r>
  <r>
    <s v="RES-100417"/>
    <x v="52"/>
    <d v="1899-12-30T19:39:00"/>
    <x v="1"/>
    <x v="0"/>
    <x v="2"/>
    <n v="6"/>
    <n v="51547.78"/>
    <n v="3981.9822222222228"/>
    <x v="11"/>
    <n v="49"/>
    <x v="0"/>
    <s v="Entregada"/>
    <n v="5"/>
  </r>
  <r>
    <s v="RES-100418"/>
    <x v="53"/>
    <d v="1899-12-30T20:46:00"/>
    <x v="2"/>
    <x v="1"/>
    <x v="3"/>
    <n v="4"/>
    <n v="55005.85"/>
    <n v="2519.8200000000002"/>
    <x v="13"/>
    <n v="41"/>
    <x v="1"/>
    <s v="Cancelada"/>
    <n v="5"/>
  </r>
  <r>
    <s v="RES-100419"/>
    <x v="54"/>
    <d v="1899-12-30T21:53:00"/>
    <x v="3"/>
    <x v="2"/>
    <x v="4"/>
    <n v="2"/>
    <n v="27977.97"/>
    <n v="7193.4"/>
    <x v="14"/>
    <n v="48"/>
    <x v="2"/>
    <s v="Reembolsada"/>
    <n v="4"/>
  </r>
  <r>
    <s v="RES-100420"/>
    <x v="55"/>
    <d v="1899-12-30T10:00:00"/>
    <x v="0"/>
    <x v="0"/>
    <x v="0"/>
    <n v="4"/>
    <n v="28187.57"/>
    <n v="4976.04"/>
    <x v="13"/>
    <n v="40"/>
    <x v="0"/>
    <s v="Entregada"/>
    <n v="3"/>
  </r>
  <r>
    <s v="RES-100421"/>
    <x v="56"/>
    <d v="1899-12-30T11:07:00"/>
    <x v="1"/>
    <x v="1"/>
    <x v="1"/>
    <n v="6"/>
    <n v="29351.56"/>
    <n v="2599.0500000000002"/>
    <x v="11"/>
    <n v="47"/>
    <x v="1"/>
    <s v="Cancelada"/>
    <n v="3"/>
  </r>
  <r>
    <s v="RES-100422"/>
    <x v="57"/>
    <d v="1899-12-30T12:14:00"/>
    <x v="2"/>
    <x v="2"/>
    <x v="2"/>
    <n v="6"/>
    <n v="35884.94"/>
    <n v="6408.15"/>
    <x v="0"/>
    <n v="24"/>
    <x v="2"/>
    <s v="Reembolsada"/>
    <n v="5"/>
  </r>
  <r>
    <s v="RES-100423"/>
    <x v="58"/>
    <d v="1899-12-30T13:21:00"/>
    <x v="3"/>
    <x v="0"/>
    <x v="3"/>
    <n v="4"/>
    <n v="39525.35"/>
    <n v="3079.37"/>
    <x v="15"/>
    <n v="35"/>
    <x v="0"/>
    <s v="Entregada"/>
    <n v="3"/>
  </r>
  <r>
    <s v="RES-100424"/>
    <x v="348"/>
    <d v="1899-12-30T14:28:00"/>
    <x v="0"/>
    <x v="1"/>
    <x v="4"/>
    <n v="3"/>
    <n v="61877.52"/>
    <n v="2898.34"/>
    <x v="10"/>
    <n v="42"/>
    <x v="1"/>
    <s v="Cancelada"/>
    <n v="5"/>
  </r>
  <r>
    <s v="RES-100425"/>
    <x v="3"/>
    <d v="1899-12-30T15:35:00"/>
    <x v="1"/>
    <x v="2"/>
    <x v="0"/>
    <n v="5"/>
    <n v="62479.5"/>
    <n v="3567.98"/>
    <x v="13"/>
    <n v="34"/>
    <x v="2"/>
    <s v="Reembolsada"/>
    <n v="5"/>
  </r>
  <r>
    <s v="RES-100426"/>
    <x v="61"/>
    <d v="1899-12-30T16:42:00"/>
    <x v="2"/>
    <x v="0"/>
    <x v="1"/>
    <n v="4"/>
    <n v="48736.15"/>
    <n v="4450.516111111112"/>
    <x v="18"/>
    <n v="43"/>
    <x v="0"/>
    <s v="Entregada"/>
    <n v="5"/>
  </r>
  <r>
    <s v="RES-100427"/>
    <x v="62"/>
    <d v="1899-12-30T17:49:00"/>
    <x v="3"/>
    <x v="1"/>
    <x v="2"/>
    <n v="2"/>
    <n v="45010.59"/>
    <n v="6304.81"/>
    <x v="4"/>
    <n v="23"/>
    <x v="1"/>
    <s v="Cancelada"/>
    <n v="4"/>
  </r>
  <r>
    <s v="RES-100428"/>
    <x v="349"/>
    <d v="1899-12-30T18:56:00"/>
    <x v="0"/>
    <x v="2"/>
    <x v="3"/>
    <n v="2"/>
    <n v="33387"/>
    <n v="8403.6299999999992"/>
    <x v="15"/>
    <n v="36"/>
    <x v="2"/>
    <s v="Reembolsada"/>
    <n v="3"/>
  </r>
  <r>
    <s v="RES-100429"/>
    <x v="64"/>
    <d v="1899-12-30T19:03:00"/>
    <x v="1"/>
    <x v="0"/>
    <x v="4"/>
    <n v="5"/>
    <n v="61731.62"/>
    <n v="5410.15"/>
    <x v="17"/>
    <n v="28"/>
    <x v="0"/>
    <s v="Entregada"/>
    <n v="5"/>
  </r>
  <r>
    <s v="RES-100430"/>
    <x v="350"/>
    <d v="1899-12-30T20:10:00"/>
    <x v="2"/>
    <x v="1"/>
    <x v="0"/>
    <n v="3"/>
    <n v="50123.29"/>
    <n v="3625.24"/>
    <x v="6"/>
    <n v="31"/>
    <x v="1"/>
    <s v="Cancelada"/>
    <n v="4"/>
  </r>
  <r>
    <s v="RES-100431"/>
    <x v="174"/>
    <d v="1899-12-30T21:17:00"/>
    <x v="3"/>
    <x v="2"/>
    <x v="1"/>
    <n v="3"/>
    <n v="60950.77"/>
    <n v="5651.79"/>
    <x v="7"/>
    <n v="49"/>
    <x v="2"/>
    <s v="Reembolsada"/>
    <n v="4"/>
  </r>
  <r>
    <s v="RES-100432"/>
    <x v="67"/>
    <d v="1899-12-30T10:24:00"/>
    <x v="0"/>
    <x v="0"/>
    <x v="2"/>
    <n v="5"/>
    <n v="66047.490000000005"/>
    <n v="6272.85"/>
    <x v="3"/>
    <s v="284.2"/>
    <x v="0"/>
    <s v="Entregada"/>
    <n v="5"/>
  </r>
  <r>
    <s v="RES-100433"/>
    <x v="231"/>
    <d v="1899-12-30T11:31:00"/>
    <x v="1"/>
    <x v="1"/>
    <x v="3"/>
    <n v="5"/>
    <n v="36430.36"/>
    <n v="6559.96"/>
    <x v="14"/>
    <n v="52"/>
    <x v="1"/>
    <s v="Cancelada"/>
    <n v="3"/>
  </r>
  <r>
    <s v="RES-100434"/>
    <x v="259"/>
    <d v="1899-12-30T12:38:00"/>
    <x v="2"/>
    <x v="2"/>
    <x v="4"/>
    <n v="5"/>
    <n v="35742.699999999997"/>
    <n v="1145.8800000000001"/>
    <x v="6"/>
    <n v="44"/>
    <x v="2"/>
    <s v="Reembolsada"/>
    <n v="4"/>
  </r>
  <r>
    <s v="RES-100435"/>
    <x v="70"/>
    <d v="1899-12-30T13:45:00"/>
    <x v="3"/>
    <x v="0"/>
    <x v="0"/>
    <n v="2"/>
    <n v="63685.99"/>
    <n v="4804.12"/>
    <x v="1"/>
    <n v="26"/>
    <x v="0"/>
    <s v="Entregada"/>
    <n v="5"/>
  </r>
  <r>
    <s v="RES-100436"/>
    <x v="71"/>
    <d v="1899-12-30T14:52:00"/>
    <x v="0"/>
    <x v="1"/>
    <x v="1"/>
    <n v="5"/>
    <n v="69987.62"/>
    <n v="7189.55"/>
    <x v="10"/>
    <n v="46"/>
    <x v="1"/>
    <s v="Cancelada"/>
    <n v="4"/>
  </r>
  <r>
    <s v="RES-100437"/>
    <x v="72"/>
    <d v="1899-12-30T15:59:00"/>
    <x v="1"/>
    <x v="2"/>
    <x v="2"/>
    <n v="4"/>
    <n v="33421.81"/>
    <n v="4032.2194736842098"/>
    <x v="10"/>
    <n v="49"/>
    <x v="2"/>
    <s v="Reembolsada"/>
    <n v="3"/>
  </r>
  <r>
    <s v="RES-100438"/>
    <x v="73"/>
    <d v="1899-12-30T16:06:00"/>
    <x v="2"/>
    <x v="0"/>
    <x v="3"/>
    <n v="6"/>
    <n v="57458.87"/>
    <n v="871.7"/>
    <x v="14"/>
    <n v="38"/>
    <x v="0"/>
    <s v="Entregada"/>
    <n v="5"/>
  </r>
  <r>
    <s v="RES-100439"/>
    <x v="74"/>
    <d v="1899-12-30T17:13:00"/>
    <x v="3"/>
    <x v="1"/>
    <x v="4"/>
    <n v="3"/>
    <n v="55949.21"/>
    <n v="1462.48"/>
    <x v="4"/>
    <n v="50"/>
    <x v="1"/>
    <s v="Cancelada"/>
    <n v="3"/>
  </r>
  <r>
    <s v="RES-100440"/>
    <x v="75"/>
    <d v="1899-12-30T18:20:00"/>
    <x v="0"/>
    <x v="2"/>
    <x v="0"/>
    <n v="3"/>
    <n v="53103.32"/>
    <n v="8251.36"/>
    <x v="17"/>
    <n v="31"/>
    <x v="2"/>
    <s v="Reembolsada"/>
    <n v="3"/>
  </r>
  <r>
    <s v="RES-100441"/>
    <x v="76"/>
    <d v="1899-12-30T19:27:00"/>
    <x v="1"/>
    <x v="0"/>
    <x v="1"/>
    <n v="5"/>
    <n v="28206.76"/>
    <n v="6054.03"/>
    <x v="17"/>
    <n v="39"/>
    <x v="0"/>
    <s v="Entregada"/>
    <n v="4"/>
  </r>
  <r>
    <s v="RES-100442"/>
    <x v="77"/>
    <d v="1899-12-30T20:34:00"/>
    <x v="2"/>
    <x v="1"/>
    <x v="2"/>
    <n v="6"/>
    <n v="33581.440000000002"/>
    <n v="2629.85"/>
    <x v="18"/>
    <n v="27"/>
    <x v="1"/>
    <s v="Cancelada"/>
    <n v="5"/>
  </r>
  <r>
    <s v="RES-100443"/>
    <x v="78"/>
    <d v="1899-12-30T21:41:00"/>
    <x v="3"/>
    <x v="2"/>
    <x v="3"/>
    <n v="4"/>
    <n v="32284"/>
    <n v="5106.83"/>
    <x v="7"/>
    <n v="47"/>
    <x v="2"/>
    <s v="Reembolsada"/>
    <n v="5"/>
  </r>
  <r>
    <s v="RES-100444"/>
    <x v="79"/>
    <d v="1899-12-30T10:48:00"/>
    <x v="0"/>
    <x v="0"/>
    <x v="4"/>
    <n v="2"/>
    <n v="43607.06"/>
    <n v="3795.09"/>
    <x v="2"/>
    <n v="45"/>
    <x v="0"/>
    <s v="Entregada"/>
    <n v="3"/>
  </r>
  <r>
    <s v="RES-100445"/>
    <x v="80"/>
    <d v="1899-12-30T11:55:00"/>
    <x v="1"/>
    <x v="1"/>
    <x v="0"/>
    <n v="2"/>
    <n v="66505.399999999994"/>
    <n v="5747.24"/>
    <x v="8"/>
    <n v="30"/>
    <x v="1"/>
    <s v="Cancelada"/>
    <n v="5"/>
  </r>
  <r>
    <s v="RES-100446"/>
    <x v="81"/>
    <d v="1899-12-30T12:02:00"/>
    <x v="2"/>
    <x v="2"/>
    <x v="1"/>
    <n v="4"/>
    <n v="61030.12"/>
    <n v="1566.41"/>
    <x v="9"/>
    <n v="45"/>
    <x v="2"/>
    <s v="Reembolsada"/>
    <n v="5"/>
  </r>
  <r>
    <s v="RES-100447"/>
    <x v="82"/>
    <d v="1899-12-30T13:09:00"/>
    <x v="3"/>
    <x v="0"/>
    <x v="2"/>
    <n v="6"/>
    <n v="28186.21"/>
    <n v="3746.09"/>
    <x v="17"/>
    <n v="44"/>
    <x v="0"/>
    <s v="Entregada"/>
    <n v="3"/>
  </r>
  <r>
    <s v="RES-100448"/>
    <x v="83"/>
    <d v="1899-12-30T14:16:00"/>
    <x v="0"/>
    <x v="1"/>
    <x v="3"/>
    <n v="4"/>
    <n v="43727.45"/>
    <n v="3539"/>
    <x v="0"/>
    <n v="39"/>
    <x v="1"/>
    <s v="Cancelada"/>
    <n v="4"/>
  </r>
  <r>
    <s v="RES-100449"/>
    <x v="84"/>
    <d v="1899-12-30T15:23:00"/>
    <x v="1"/>
    <x v="2"/>
    <x v="4"/>
    <n v="5"/>
    <n v="46488.639999999999"/>
    <n v="5838.25"/>
    <x v="14"/>
    <n v="44"/>
    <x v="2"/>
    <s v="Reembolsada"/>
    <n v="4"/>
  </r>
  <r>
    <s v="RES-100450"/>
    <x v="85"/>
    <d v="1899-12-30T16:30:00"/>
    <x v="2"/>
    <x v="0"/>
    <x v="0"/>
    <n v="3"/>
    <n v="33290.449999999997"/>
    <n v="8476.14"/>
    <x v="0"/>
    <n v="46"/>
    <x v="0"/>
    <s v="Entregada"/>
    <n v="4"/>
  </r>
  <r>
    <s v="RES-100451"/>
    <x v="86"/>
    <d v="1899-12-30T17:37:00"/>
    <x v="3"/>
    <x v="1"/>
    <x v="1"/>
    <n v="5"/>
    <n v="41048.019999999997"/>
    <n v="4929.45"/>
    <x v="1"/>
    <n v="44"/>
    <x v="1"/>
    <s v="Cancelada"/>
    <n v="3"/>
  </r>
  <r>
    <s v="RES-100452"/>
    <x v="87"/>
    <d v="1899-12-30T18:44:00"/>
    <x v="0"/>
    <x v="2"/>
    <x v="2"/>
    <n v="4"/>
    <n v="53676.13"/>
    <n v="5919.57"/>
    <x v="14"/>
    <n v="50"/>
    <x v="2"/>
    <s v="Reembolsada"/>
    <n v="5"/>
  </r>
  <r>
    <s v="RES-100453"/>
    <x v="88"/>
    <d v="1899-12-30T19:51:00"/>
    <x v="1"/>
    <x v="0"/>
    <x v="3"/>
    <n v="3"/>
    <n v="48477.5"/>
    <n v="7040.96"/>
    <x v="13"/>
    <n v="43"/>
    <x v="0"/>
    <s v="Entregada"/>
    <n v="3"/>
  </r>
  <r>
    <s v="RES-100454"/>
    <x v="351"/>
    <d v="1899-12-30T20:58:00"/>
    <x v="2"/>
    <x v="1"/>
    <x v="4"/>
    <n v="6"/>
    <n v="47935.45"/>
    <n v="3243.76"/>
    <x v="13"/>
    <n v="47"/>
    <x v="1"/>
    <s v="Cancelada"/>
    <n v="4"/>
  </r>
  <r>
    <s v="RES-100455"/>
    <x v="4"/>
    <d v="1899-12-30T21:05:00"/>
    <x v="3"/>
    <x v="2"/>
    <x v="0"/>
    <n v="5"/>
    <n v="30155.61"/>
    <n v="2464.73"/>
    <x v="14"/>
    <n v="48"/>
    <x v="2"/>
    <s v="Reembolsada"/>
    <n v="3"/>
  </r>
  <r>
    <s v="RES-100456"/>
    <x v="32"/>
    <d v="1899-12-30T10:12:00"/>
    <x v="0"/>
    <x v="0"/>
    <x v="1"/>
    <n v="3"/>
    <n v="31410.32"/>
    <n v="2490.7800000000002"/>
    <x v="5"/>
    <n v="40"/>
    <x v="0"/>
    <s v="Entregada"/>
    <n v="4"/>
  </r>
  <r>
    <s v="RES-100457"/>
    <x v="349"/>
    <d v="1899-12-30T11:19:00"/>
    <x v="1"/>
    <x v="1"/>
    <x v="2"/>
    <n v="4"/>
    <n v="67889.649999999994"/>
    <n v="2387.77"/>
    <x v="8"/>
    <n v="46"/>
    <x v="1"/>
    <s v="Cancelada"/>
    <n v="3"/>
  </r>
  <r>
    <s v="RES-100458"/>
    <x v="91"/>
    <d v="1899-12-30T12:26:00"/>
    <x v="2"/>
    <x v="2"/>
    <x v="3"/>
    <n v="5"/>
    <n v="28591.34"/>
    <n v="2280.88"/>
    <x v="14"/>
    <n v="38"/>
    <x v="2"/>
    <s v="Reembolsada"/>
    <n v="4"/>
  </r>
  <r>
    <s v="RES-100459"/>
    <x v="92"/>
    <d v="1899-12-30T13:33:00"/>
    <x v="3"/>
    <x v="0"/>
    <x v="4"/>
    <n v="2"/>
    <n v="54004.19"/>
    <n v="3652.36"/>
    <x v="0"/>
    <n v="28"/>
    <x v="0"/>
    <s v="Entregada"/>
    <n v="4"/>
  </r>
  <r>
    <s v="RES-100460"/>
    <x v="352"/>
    <d v="1899-12-30T14:40:00"/>
    <x v="0"/>
    <x v="1"/>
    <x v="0"/>
    <n v="5"/>
    <n v="34282.199999999997"/>
    <n v="3322.21"/>
    <x v="0"/>
    <n v="25"/>
    <x v="1"/>
    <s v="Cancelada"/>
    <n v="4"/>
  </r>
  <r>
    <s v="RES-100461"/>
    <x v="353"/>
    <d v="1899-12-30T15:47:00"/>
    <x v="1"/>
    <x v="2"/>
    <x v="1"/>
    <n v="5"/>
    <n v="49178.3"/>
    <n v="3735.73"/>
    <x v="15"/>
    <n v="52"/>
    <x v="2"/>
    <s v="Reembolsada"/>
    <n v="3"/>
  </r>
  <r>
    <s v="RES-100462"/>
    <x v="95"/>
    <d v="1899-12-30T16:54:00"/>
    <x v="2"/>
    <x v="0"/>
    <x v="2"/>
    <n v="2"/>
    <n v="45041.57"/>
    <n v="2218.2199999999998"/>
    <x v="3"/>
    <n v="46"/>
    <x v="0"/>
    <s v="Entregada"/>
    <n v="5"/>
  </r>
  <r>
    <s v="RES-100463"/>
    <x v="354"/>
    <d v="1899-12-30T17:01:00"/>
    <x v="3"/>
    <x v="1"/>
    <x v="3"/>
    <n v="6"/>
    <n v="37146.79"/>
    <n v="1197.49"/>
    <x v="8"/>
    <n v="26"/>
    <x v="1"/>
    <s v="Cancelada"/>
    <n v="5"/>
  </r>
  <r>
    <s v="RES-100464"/>
    <x v="260"/>
    <d v="1899-12-30T18:08:00"/>
    <x v="0"/>
    <x v="2"/>
    <x v="4"/>
    <n v="2"/>
    <n v="67881.98"/>
    <n v="5543.42"/>
    <x v="14"/>
    <n v="38"/>
    <x v="2"/>
    <s v="Reembolsada"/>
    <n v="5"/>
  </r>
  <r>
    <s v="RES-100465"/>
    <x v="98"/>
    <d v="1899-12-30T19:15:00"/>
    <x v="1"/>
    <x v="0"/>
    <x v="0"/>
    <n v="4"/>
    <n v="32835.79"/>
    <n v="1386.97"/>
    <x v="5"/>
    <n v="31"/>
    <x v="0"/>
    <s v="Entregada"/>
    <n v="3"/>
  </r>
  <r>
    <s v="RES-100466"/>
    <x v="99"/>
    <d v="1899-12-30T20:22:00"/>
    <x v="2"/>
    <x v="1"/>
    <x v="1"/>
    <n v="4"/>
    <n v="57538.01"/>
    <n v="5785.73"/>
    <x v="5"/>
    <n v="43"/>
    <x v="1"/>
    <s v="Cancelada"/>
    <n v="5"/>
  </r>
  <r>
    <s v="RES-100467"/>
    <x v="100"/>
    <d v="1899-12-30T21:29:00"/>
    <x v="3"/>
    <x v="2"/>
    <x v="2"/>
    <n v="4"/>
    <n v="51988.97"/>
    <n v="2951.78"/>
    <x v="13"/>
    <n v="26"/>
    <x v="2"/>
    <s v="Reembolsada"/>
    <n v="5"/>
  </r>
  <r>
    <s v="RES-100468"/>
    <x v="101"/>
    <d v="1899-12-30T10:36:00"/>
    <x v="0"/>
    <x v="0"/>
    <x v="3"/>
    <n v="4"/>
    <n v="68028.63"/>
    <n v="7062.71"/>
    <x v="18"/>
    <n v="51"/>
    <x v="0"/>
    <s v="Entregada"/>
    <n v="4"/>
  </r>
  <r>
    <s v="RES-100469"/>
    <x v="102"/>
    <d v="1899-12-30T11:43:00"/>
    <x v="1"/>
    <x v="1"/>
    <x v="4"/>
    <n v="2"/>
    <n v="32427.9"/>
    <n v="5430.67"/>
    <x v="5"/>
    <n v="38"/>
    <x v="1"/>
    <s v="Cancelada"/>
    <n v="3"/>
  </r>
  <r>
    <s v="RES-100470"/>
    <x v="103"/>
    <d v="1899-12-30T12:50:00"/>
    <x v="2"/>
    <x v="2"/>
    <x v="0"/>
    <n v="2"/>
    <n v="32062.59"/>
    <n v="3918.18"/>
    <x v="2"/>
    <n v="35"/>
    <x v="2"/>
    <s v="Reembolsada"/>
    <n v="4"/>
  </r>
  <r>
    <s v="RES-100471"/>
    <x v="104"/>
    <d v="1899-12-30T13:57:00"/>
    <x v="3"/>
    <x v="0"/>
    <x v="1"/>
    <n v="2"/>
    <n v="49367.99"/>
    <n v="3950.85"/>
    <x v="16"/>
    <n v="24"/>
    <x v="0"/>
    <s v="Entregada"/>
    <n v="4"/>
  </r>
  <r>
    <s v="RES-100472"/>
    <x v="105"/>
    <d v="1899-12-30T14:04:00"/>
    <x v="0"/>
    <x v="1"/>
    <x v="2"/>
    <n v="4"/>
    <n v="54747.19"/>
    <n v="6793.67"/>
    <x v="15"/>
    <n v="46"/>
    <x v="1"/>
    <s v="Cancelada"/>
    <n v="5"/>
  </r>
  <r>
    <s v="RES-100473"/>
    <x v="106"/>
    <d v="1899-12-30T15:11:00"/>
    <x v="1"/>
    <x v="2"/>
    <x v="3"/>
    <n v="2"/>
    <n v="51685.49"/>
    <n v="2850.84"/>
    <x v="18"/>
    <n v="39"/>
    <x v="2"/>
    <s v="Reembolsada"/>
    <n v="5"/>
  </r>
  <r>
    <s v="RES-100474"/>
    <x v="107"/>
    <d v="1899-12-30T16:18:00"/>
    <x v="2"/>
    <x v="0"/>
    <x v="4"/>
    <n v="6"/>
    <n v="27633.77"/>
    <n v="6210.1"/>
    <x v="0"/>
    <n v="34"/>
    <x v="0"/>
    <s v="Entregada"/>
    <n v="5"/>
  </r>
  <r>
    <s v="RES-100475"/>
    <x v="108"/>
    <d v="1899-12-30T17:25:00"/>
    <x v="3"/>
    <x v="1"/>
    <x v="0"/>
    <n v="4"/>
    <n v="40092.06"/>
    <n v="1338.51"/>
    <x v="13"/>
    <n v="43"/>
    <x v="1"/>
    <s v="Cancelada"/>
    <n v="5"/>
  </r>
  <r>
    <s v="RES-100476"/>
    <x v="109"/>
    <d v="1899-12-30T18:32:00"/>
    <x v="0"/>
    <x v="2"/>
    <x v="1"/>
    <n v="2"/>
    <n v="35803.18"/>
    <n v="1004.58"/>
    <x v="6"/>
    <n v="42"/>
    <x v="2"/>
    <s v="Reembolsada"/>
    <n v="5"/>
  </r>
  <r>
    <s v="RES-100477"/>
    <x v="110"/>
    <d v="1899-12-30T19:39:00"/>
    <x v="1"/>
    <x v="0"/>
    <x v="2"/>
    <n v="5"/>
    <n v="59512.5"/>
    <n v="8334.44"/>
    <x v="10"/>
    <n v="45"/>
    <x v="0"/>
    <s v="Entregada"/>
    <n v="5"/>
  </r>
  <r>
    <s v="RES-100478"/>
    <x v="111"/>
    <d v="1899-12-30T20:46:00"/>
    <x v="2"/>
    <x v="1"/>
    <x v="3"/>
    <n v="4"/>
    <n v="32494.49"/>
    <n v="5523.77"/>
    <x v="6"/>
    <n v="41"/>
    <x v="1"/>
    <s v="Cancelada"/>
    <n v="5"/>
  </r>
  <r>
    <s v="RES-100479"/>
    <x v="112"/>
    <d v="1899-12-30T21:53:00"/>
    <x v="3"/>
    <x v="2"/>
    <x v="4"/>
    <n v="5"/>
    <n v="31793.8"/>
    <n v="1602.59"/>
    <x v="13"/>
    <n v="36"/>
    <x v="2"/>
    <s v="Reembolsada"/>
    <n v="4"/>
  </r>
  <r>
    <s v="RES-100480"/>
    <x v="113"/>
    <d v="1899-12-30T10:00:00"/>
    <x v="0"/>
    <x v="0"/>
    <x v="0"/>
    <n v="5"/>
    <n v="48896.82"/>
    <n v="6934.94"/>
    <x v="13"/>
    <n v="49"/>
    <x v="0"/>
    <s v="Entregada"/>
    <n v="5"/>
  </r>
  <r>
    <s v="RES-100481"/>
    <x v="114"/>
    <d v="1899-12-30T11:07:00"/>
    <x v="1"/>
    <x v="1"/>
    <x v="1"/>
    <n v="6"/>
    <n v="59009.45"/>
    <n v="3288.7"/>
    <x v="3"/>
    <n v="47"/>
    <x v="1"/>
    <s v="Cancelada"/>
    <n v="3"/>
  </r>
  <r>
    <s v="RES-100482"/>
    <x v="115"/>
    <d v="1899-12-30T12:14:00"/>
    <x v="2"/>
    <x v="2"/>
    <x v="2"/>
    <n v="2"/>
    <n v="61341.16"/>
    <n v="4621.3900000000003"/>
    <x v="11"/>
    <n v="35"/>
    <x v="2"/>
    <s v="Reembolsada"/>
    <n v="4"/>
  </r>
  <r>
    <s v="RES-100483"/>
    <x v="116"/>
    <d v="1899-12-30T13:21:00"/>
    <x v="3"/>
    <x v="0"/>
    <x v="3"/>
    <n v="3"/>
    <n v="64545.08"/>
    <n v="4390.932777777778"/>
    <x v="8"/>
    <n v="49"/>
    <x v="0"/>
    <s v="Entregada"/>
    <n v="3"/>
  </r>
  <r>
    <s v="RES-100484"/>
    <x v="117"/>
    <d v="1899-12-30T14:28:00"/>
    <x v="0"/>
    <x v="1"/>
    <x v="4"/>
    <n v="5"/>
    <n v="49074.45"/>
    <n v="3840.93"/>
    <x v="3"/>
    <n v="48"/>
    <x v="1"/>
    <s v="Cancelada"/>
    <n v="5"/>
  </r>
  <r>
    <s v="RES-100485"/>
    <x v="355"/>
    <d v="1899-12-30T15:35:00"/>
    <x v="1"/>
    <x v="2"/>
    <x v="0"/>
    <n v="3"/>
    <n v="38878.42"/>
    <n v="4067.55"/>
    <x v="6"/>
    <n v="25"/>
    <x v="2"/>
    <s v="Reembolsada"/>
    <n v="4"/>
  </r>
  <r>
    <s v="RES-100486"/>
    <x v="5"/>
    <d v="1899-12-30T16:42:00"/>
    <x v="2"/>
    <x v="0"/>
    <x v="1"/>
    <n v="6"/>
    <n v="52957.47"/>
    <n v="3056.02"/>
    <x v="2"/>
    <n v="39"/>
    <x v="0"/>
    <s v="Entregada"/>
    <n v="5"/>
  </r>
  <r>
    <s v="RES-100487"/>
    <x v="345"/>
    <d v="1899-12-30T17:49:00"/>
    <x v="3"/>
    <x v="1"/>
    <x v="2"/>
    <n v="6"/>
    <n v="63691.45"/>
    <n v="5085.2069999999994"/>
    <x v="7"/>
    <n v="47"/>
    <x v="1"/>
    <s v="Cancelada"/>
    <n v="4"/>
  </r>
  <r>
    <s v="RES-100488"/>
    <x v="64"/>
    <d v="1899-12-30T18:56:00"/>
    <x v="0"/>
    <x v="2"/>
    <x v="3"/>
    <n v="6"/>
    <n v="29707.25"/>
    <n v="8450.84"/>
    <x v="12"/>
    <n v="30"/>
    <x v="2"/>
    <s v="Reembolsada"/>
    <n v="5"/>
  </r>
  <r>
    <s v="RES-100489"/>
    <x v="120"/>
    <d v="1899-12-30T19:03:00"/>
    <x v="1"/>
    <x v="0"/>
    <x v="4"/>
    <n v="3"/>
    <n v="60284.7"/>
    <n v="3698.07"/>
    <x v="15"/>
    <n v="36"/>
    <x v="0"/>
    <s v="Entregada"/>
    <n v="3"/>
  </r>
  <r>
    <s v="RES-100490"/>
    <x v="121"/>
    <d v="1899-12-30T20:10:00"/>
    <x v="2"/>
    <x v="1"/>
    <x v="0"/>
    <n v="4"/>
    <n v="31717.4"/>
    <n v="8309.7199999999993"/>
    <x v="10"/>
    <n v="45"/>
    <x v="1"/>
    <s v="Cancelada"/>
    <n v="3"/>
  </r>
  <r>
    <s v="RES-100491"/>
    <x v="356"/>
    <d v="1899-12-30T21:17:00"/>
    <x v="3"/>
    <x v="2"/>
    <x v="1"/>
    <n v="5"/>
    <n v="65864.789999999994"/>
    <n v="6337.71"/>
    <x v="11"/>
    <n v="26"/>
    <x v="2"/>
    <s v="Reembolsada"/>
    <n v="3"/>
  </r>
  <r>
    <s v="RES-100492"/>
    <x v="123"/>
    <d v="1899-12-30T10:24:00"/>
    <x v="0"/>
    <x v="0"/>
    <x v="2"/>
    <n v="6"/>
    <n v="33976.21"/>
    <n v="4686.9799999999996"/>
    <x v="11"/>
    <n v="27"/>
    <x v="0"/>
    <s v="Entregada"/>
    <n v="5"/>
  </r>
  <r>
    <s v="RES-100493"/>
    <x v="357"/>
    <d v="1899-12-30T11:31:00"/>
    <x v="1"/>
    <x v="1"/>
    <x v="3"/>
    <n v="4"/>
    <n v="46917.97"/>
    <n v="5138.37"/>
    <x v="9"/>
    <n v="29"/>
    <x v="1"/>
    <s v="Cancelada"/>
    <n v="3"/>
  </r>
  <r>
    <s v="RES-100494"/>
    <x v="232"/>
    <d v="1899-12-30T12:38:00"/>
    <x v="2"/>
    <x v="2"/>
    <x v="4"/>
    <n v="3"/>
    <n v="27680.33"/>
    <n v="2377.4299999999998"/>
    <x v="4"/>
    <n v="37"/>
    <x v="2"/>
    <s v="Reembolsada"/>
    <n v="5"/>
  </r>
  <r>
    <s v="RES-100495"/>
    <x v="126"/>
    <d v="1899-12-30T13:45:00"/>
    <x v="3"/>
    <x v="0"/>
    <x v="0"/>
    <n v="6"/>
    <n v="35333.99"/>
    <n v="7140.6"/>
    <x v="0"/>
    <n v="40"/>
    <x v="0"/>
    <s v="Entregada"/>
    <n v="4"/>
  </r>
  <r>
    <s v="RES-100496"/>
    <x v="286"/>
    <d v="1899-12-30T14:52:00"/>
    <x v="0"/>
    <x v="1"/>
    <x v="1"/>
    <n v="4"/>
    <n v="52799.6"/>
    <n v="4127.78"/>
    <x v="18"/>
    <n v="50"/>
    <x v="1"/>
    <s v="Cancelada"/>
    <n v="3"/>
  </r>
  <r>
    <s v="RES-100497"/>
    <x v="128"/>
    <d v="1899-12-30T15:59:00"/>
    <x v="1"/>
    <x v="2"/>
    <x v="2"/>
    <n v="5"/>
    <n v="62593.279999999999"/>
    <n v="3272.29"/>
    <x v="5"/>
    <n v="53"/>
    <x v="2"/>
    <s v="Reembolsada"/>
    <n v="4"/>
  </r>
  <r>
    <s v="RES-100498"/>
    <x v="129"/>
    <d v="1899-12-30T16:06:00"/>
    <x v="2"/>
    <x v="0"/>
    <x v="3"/>
    <n v="4"/>
    <n v="37166.36"/>
    <n v="2857.65"/>
    <x v="11"/>
    <n v="40"/>
    <x v="0"/>
    <s v="Entregada"/>
    <n v="5"/>
  </r>
  <r>
    <s v="RES-100499"/>
    <x v="130"/>
    <d v="1899-12-30T17:13:00"/>
    <x v="3"/>
    <x v="1"/>
    <x v="4"/>
    <n v="6"/>
    <n v="31283.03"/>
    <n v="1915.11"/>
    <x v="18"/>
    <n v="41"/>
    <x v="1"/>
    <s v="Cancelada"/>
    <n v="5"/>
  </r>
  <r>
    <s v="RES-100500"/>
    <x v="131"/>
    <d v="1899-12-30T18:20:00"/>
    <x v="0"/>
    <x v="2"/>
    <x v="0"/>
    <n v="4"/>
    <n v="59050.44"/>
    <n v="4004.74"/>
    <x v="5"/>
    <n v="49"/>
    <x v="2"/>
    <s v="Reembolsada"/>
    <n v="3"/>
  </r>
  <r>
    <s v="RES-100501"/>
    <x v="132"/>
    <d v="1899-12-30T19:27:00"/>
    <x v="1"/>
    <x v="0"/>
    <x v="1"/>
    <n v="2"/>
    <n v="29756.01"/>
    <n v="2011.59"/>
    <x v="16"/>
    <n v="32"/>
    <x v="0"/>
    <s v="Entregada"/>
    <n v="4"/>
  </r>
  <r>
    <s v="RES-100502"/>
    <x v="133"/>
    <d v="1899-12-30T20:34:00"/>
    <x v="2"/>
    <x v="1"/>
    <x v="2"/>
    <n v="2"/>
    <n v="38586.31"/>
    <n v="4704.79"/>
    <x v="5"/>
    <n v="32"/>
    <x v="1"/>
    <s v="Cancelada"/>
    <n v="5"/>
  </r>
  <r>
    <s v="RES-100503"/>
    <x v="134"/>
    <d v="1899-12-30T21:41:00"/>
    <x v="3"/>
    <x v="2"/>
    <x v="3"/>
    <n v="6"/>
    <n v="60234.02"/>
    <n v="6281.47"/>
    <x v="8"/>
    <n v="44"/>
    <x v="2"/>
    <s v="Reembolsada"/>
    <n v="5"/>
  </r>
  <r>
    <s v="RES-100504"/>
    <x v="135"/>
    <d v="1899-12-30T10:48:00"/>
    <x v="0"/>
    <x v="0"/>
    <x v="4"/>
    <n v="6"/>
    <n v="59673.85"/>
    <n v="5374.94"/>
    <x v="15"/>
    <n v="30"/>
    <x v="0"/>
    <s v="Entregada"/>
    <n v="5"/>
  </r>
  <r>
    <s v="RES-100505"/>
    <x v="136"/>
    <d v="1899-12-30T11:55:00"/>
    <x v="1"/>
    <x v="1"/>
    <x v="0"/>
    <n v="2"/>
    <n v="54992.67"/>
    <n v="8313.7199999999993"/>
    <x v="4"/>
    <n v="32"/>
    <x v="1"/>
    <s v="Cancelada"/>
    <n v="5"/>
  </r>
  <r>
    <s v="RES-100506"/>
    <x v="137"/>
    <d v="1899-12-30T12:02:00"/>
    <x v="2"/>
    <x v="2"/>
    <x v="1"/>
    <n v="4"/>
    <n v="36995.410000000003"/>
    <n v="8138.32"/>
    <x v="10"/>
    <n v="49"/>
    <x v="2"/>
    <s v="Reembolsada"/>
    <n v="4"/>
  </r>
  <r>
    <s v="RES-100507"/>
    <x v="138"/>
    <d v="1899-12-30T13:09:00"/>
    <x v="3"/>
    <x v="0"/>
    <x v="2"/>
    <n v="2"/>
    <n v="55436.27"/>
    <n v="4435.54"/>
    <x v="1"/>
    <n v="49"/>
    <x v="0"/>
    <s v="Entregada"/>
    <n v="3"/>
  </r>
  <r>
    <s v="RES-100508"/>
    <x v="139"/>
    <d v="1899-12-30T14:16:00"/>
    <x v="0"/>
    <x v="1"/>
    <x v="3"/>
    <n v="6"/>
    <n v="40553.370000000003"/>
    <n v="6780.54"/>
    <x v="9"/>
    <n v="24"/>
    <x v="1"/>
    <s v="Cancelada"/>
    <n v="4"/>
  </r>
  <r>
    <s v="RES-100509"/>
    <x v="140"/>
    <d v="1899-12-30T15:23:00"/>
    <x v="1"/>
    <x v="2"/>
    <x v="4"/>
    <n v="5"/>
    <n v="29452.84"/>
    <n v="647.65"/>
    <x v="3"/>
    <n v="46"/>
    <x v="2"/>
    <s v="Reembolsada"/>
    <n v="4"/>
  </r>
  <r>
    <s v="RES-100510"/>
    <x v="141"/>
    <d v="1899-12-30T16:30:00"/>
    <x v="2"/>
    <x v="0"/>
    <x v="0"/>
    <n v="6"/>
    <n v="57830.92"/>
    <n v="2470.73"/>
    <x v="0"/>
    <n v="48"/>
    <x v="0"/>
    <s v="Entregada"/>
    <n v="3"/>
  </r>
  <r>
    <s v="RES-100511"/>
    <x v="142"/>
    <d v="1899-12-30T17:37:00"/>
    <x v="3"/>
    <x v="1"/>
    <x v="1"/>
    <n v="3"/>
    <n v="32284.91"/>
    <n v="3132.07"/>
    <x v="11"/>
    <n v="48"/>
    <x v="1"/>
    <s v="Cancelada"/>
    <n v="3"/>
  </r>
  <r>
    <s v="RES-100512"/>
    <x v="143"/>
    <d v="1899-12-30T18:44:00"/>
    <x v="0"/>
    <x v="2"/>
    <x v="2"/>
    <n v="6"/>
    <n v="39016.870000000003"/>
    <n v="6117.51"/>
    <x v="6"/>
    <n v="44"/>
    <x v="2"/>
    <s v="Reembolsada"/>
    <n v="4"/>
  </r>
  <r>
    <s v="RES-100513"/>
    <x v="144"/>
    <d v="1899-12-30T19:51:00"/>
    <x v="1"/>
    <x v="0"/>
    <x v="3"/>
    <n v="5"/>
    <n v="40474.18"/>
    <n v="5569.7"/>
    <x v="18"/>
    <n v="38"/>
    <x v="0"/>
    <s v="Entregada"/>
    <n v="5"/>
  </r>
  <r>
    <s v="RES-100514"/>
    <x v="145"/>
    <d v="1899-12-30T20:58:00"/>
    <x v="2"/>
    <x v="1"/>
    <x v="4"/>
    <n v="3"/>
    <n v="31968.86"/>
    <n v="6171.67"/>
    <x v="13"/>
    <n v="43"/>
    <x v="1"/>
    <s v="Cancelada"/>
    <n v="3"/>
  </r>
  <r>
    <s v="RES-100515"/>
    <x v="358"/>
    <d v="1899-12-30T21:05:00"/>
    <x v="3"/>
    <x v="2"/>
    <x v="0"/>
    <n v="3"/>
    <n v="67037.649999999994"/>
    <n v="5162.5600000000004"/>
    <x v="10"/>
    <n v="39"/>
    <x v="2"/>
    <s v="Reembolsada"/>
    <n v="5"/>
  </r>
  <r>
    <s v="RES-100516"/>
    <x v="147"/>
    <d v="1899-12-30T10:12:00"/>
    <x v="0"/>
    <x v="0"/>
    <x v="1"/>
    <n v="2"/>
    <n v="63070.43"/>
    <n v="3331.31"/>
    <x v="12"/>
    <n v="41"/>
    <x v="0"/>
    <s v="Entregada"/>
    <n v="3"/>
  </r>
  <r>
    <s v="RES-100517"/>
    <x v="359"/>
    <d v="1899-12-30T11:19:00"/>
    <x v="1"/>
    <x v="1"/>
    <x v="2"/>
    <n v="3"/>
    <n v="64672.49"/>
    <n v="1968.12"/>
    <x v="7"/>
    <n v="36"/>
    <x v="1"/>
    <s v="Cancelada"/>
    <n v="4"/>
  </r>
  <r>
    <s v="RES-100518"/>
    <x v="350"/>
    <d v="1899-12-30T12:26:00"/>
    <x v="2"/>
    <x v="2"/>
    <x v="3"/>
    <n v="4"/>
    <n v="38061.39"/>
    <n v="6582.62"/>
    <x v="0"/>
    <n v="38"/>
    <x v="2"/>
    <s v="Reembolsada"/>
    <n v="4"/>
  </r>
  <r>
    <s v="RES-100519"/>
    <x v="93"/>
    <d v="1899-12-30T13:33:00"/>
    <x v="3"/>
    <x v="0"/>
    <x v="4"/>
    <n v="6"/>
    <n v="49744.59"/>
    <n v="6155.75"/>
    <x v="13"/>
    <n v="29"/>
    <x v="0"/>
    <s v="Entregada"/>
    <n v="5"/>
  </r>
  <r>
    <s v="RES-100520"/>
    <x v="356"/>
    <d v="1899-12-30T14:40:00"/>
    <x v="0"/>
    <x v="1"/>
    <x v="0"/>
    <n v="6"/>
    <n v="55310.73"/>
    <n v="8194.39"/>
    <x v="10"/>
    <n v="35"/>
    <x v="1"/>
    <s v="Cancelada"/>
    <n v="3"/>
  </r>
  <r>
    <s v="RES-100521"/>
    <x v="148"/>
    <d v="1899-12-30T15:47:00"/>
    <x v="1"/>
    <x v="2"/>
    <x v="1"/>
    <n v="5"/>
    <n v="28898.53"/>
    <n v="2580.29"/>
    <x v="4"/>
    <n v="25"/>
    <x v="2"/>
    <s v="Reembolsada"/>
    <n v="5"/>
  </r>
  <r>
    <s v="RES-100522"/>
    <x v="149"/>
    <d v="1899-12-30T16:54:00"/>
    <x v="2"/>
    <x v="0"/>
    <x v="2"/>
    <n v="4"/>
    <n v="29233.66"/>
    <n v="1679.79"/>
    <x v="3"/>
    <n v="48"/>
    <x v="0"/>
    <s v="Entregada"/>
    <n v="3"/>
  </r>
  <r>
    <s v="RES-100523"/>
    <x v="204"/>
    <d v="1899-12-30T17:01:00"/>
    <x v="3"/>
    <x v="1"/>
    <x v="3"/>
    <n v="2"/>
    <n v="42118.65"/>
    <n v="6316.71"/>
    <x v="9"/>
    <n v="38"/>
    <x v="1"/>
    <s v="Cancelada"/>
    <n v="4"/>
  </r>
  <r>
    <s v="RES-100524"/>
    <x v="360"/>
    <d v="1899-12-30T18:08:00"/>
    <x v="0"/>
    <x v="2"/>
    <x v="4"/>
    <n v="4"/>
    <n v="36513.519999999997"/>
    <n v="8185.51"/>
    <x v="9"/>
    <n v="39"/>
    <x v="2"/>
    <s v="Reembolsada"/>
    <n v="3"/>
  </r>
  <r>
    <s v="RES-100525"/>
    <x v="152"/>
    <d v="1899-12-30T19:15:00"/>
    <x v="1"/>
    <x v="0"/>
    <x v="0"/>
    <n v="2"/>
    <n v="52130.09"/>
    <n v="7347.91"/>
    <x v="2"/>
    <n v="31"/>
    <x v="0"/>
    <s v="Entregada"/>
    <n v="5"/>
  </r>
  <r>
    <s v="RES-100526"/>
    <x v="361"/>
    <d v="1899-12-30T20:22:00"/>
    <x v="2"/>
    <x v="1"/>
    <x v="1"/>
    <n v="6"/>
    <n v="50481.21"/>
    <n v="2400.81"/>
    <x v="15"/>
    <n v="40"/>
    <x v="1"/>
    <s v="Cancelada"/>
    <n v="4"/>
  </r>
  <r>
    <s v="RES-100527"/>
    <x v="154"/>
    <d v="1899-12-30T21:29:00"/>
    <x v="3"/>
    <x v="2"/>
    <x v="2"/>
    <n v="5"/>
    <n v="46021.75"/>
    <n v="7809.41"/>
    <x v="8"/>
    <n v="46"/>
    <x v="2"/>
    <s v="Reembolsada"/>
    <n v="4"/>
  </r>
  <r>
    <s v="RES-100528"/>
    <x v="155"/>
    <d v="1899-12-30T10:36:00"/>
    <x v="0"/>
    <x v="0"/>
    <x v="3"/>
    <n v="6"/>
    <n v="35402.199999999997"/>
    <n v="713.04"/>
    <x v="8"/>
    <n v="53"/>
    <x v="0"/>
    <s v="Entregada"/>
    <n v="3"/>
  </r>
  <r>
    <s v="RES-100529"/>
    <x v="156"/>
    <d v="1899-12-30T11:43:00"/>
    <x v="1"/>
    <x v="1"/>
    <x v="4"/>
    <n v="3"/>
    <n v="60456.85"/>
    <n v="5324.35"/>
    <x v="6"/>
    <n v="44"/>
    <x v="1"/>
    <s v="Cancelada"/>
    <n v="3"/>
  </r>
  <r>
    <s v="RES-100530"/>
    <x v="157"/>
    <d v="1899-12-30T12:50:00"/>
    <x v="2"/>
    <x v="2"/>
    <x v="0"/>
    <n v="2"/>
    <n v="67255.62"/>
    <n v="6129.41"/>
    <x v="14"/>
    <n v="35"/>
    <x v="2"/>
    <s v="Reembolsada"/>
    <n v="5"/>
  </r>
  <r>
    <s v="RES-100531"/>
    <x v="158"/>
    <d v="1899-12-30T13:57:00"/>
    <x v="3"/>
    <x v="0"/>
    <x v="1"/>
    <n v="4"/>
    <n v="59693.25"/>
    <n v="4269.3999999999996"/>
    <x v="2"/>
    <n v="52"/>
    <x v="0"/>
    <s v="Entregada"/>
    <n v="3"/>
  </r>
  <r>
    <s v="RES-100532"/>
    <x v="159"/>
    <d v="1899-12-30T14:04:00"/>
    <x v="0"/>
    <x v="1"/>
    <x v="2"/>
    <n v="5"/>
    <n v="41286.32"/>
    <n v="2589.44"/>
    <x v="11"/>
    <n v="43"/>
    <x v="1"/>
    <s v="Cancelada"/>
    <n v="4"/>
  </r>
  <r>
    <s v="RES-100533"/>
    <x v="160"/>
    <d v="1899-12-30T15:11:00"/>
    <x v="1"/>
    <x v="2"/>
    <x v="3"/>
    <n v="5"/>
    <n v="69489.850000000006"/>
    <n v="2710.28"/>
    <x v="1"/>
    <n v="35"/>
    <x v="2"/>
    <s v="Reembolsada"/>
    <n v="3"/>
  </r>
  <r>
    <s v="RES-100534"/>
    <x v="161"/>
    <d v="1899-12-30T16:18:00"/>
    <x v="2"/>
    <x v="0"/>
    <x v="4"/>
    <n v="5"/>
    <n v="39573.69"/>
    <n v="8069.21"/>
    <x v="7"/>
    <n v="45"/>
    <x v="0"/>
    <s v="Entregada"/>
    <n v="3"/>
  </r>
  <r>
    <s v="RES-100535"/>
    <x v="162"/>
    <d v="1899-12-30T17:25:00"/>
    <x v="3"/>
    <x v="1"/>
    <x v="0"/>
    <n v="3"/>
    <n v="69922.899999999994"/>
    <n v="3315.51"/>
    <x v="11"/>
    <n v="30"/>
    <x v="1"/>
    <s v="Cancelada"/>
    <n v="5"/>
  </r>
  <r>
    <s v="RES-100536"/>
    <x v="163"/>
    <d v="1899-12-30T18:32:00"/>
    <x v="0"/>
    <x v="2"/>
    <x v="1"/>
    <n v="3"/>
    <n v="41183.129999999997"/>
    <n v="6087.18"/>
    <x v="11"/>
    <n v="43"/>
    <x v="2"/>
    <s v="Reembolsada"/>
    <n v="4"/>
  </r>
  <r>
    <s v="RES-100537"/>
    <x v="164"/>
    <d v="1899-12-30T19:39:00"/>
    <x v="1"/>
    <x v="0"/>
    <x v="2"/>
    <n v="2"/>
    <n v="65018.7"/>
    <n v="1032.74"/>
    <x v="3"/>
    <n v="34"/>
    <x v="0"/>
    <s v="Entregada"/>
    <n v="5"/>
  </r>
  <r>
    <s v="RES-100538"/>
    <x v="165"/>
    <d v="1899-12-30T20:46:00"/>
    <x v="2"/>
    <x v="1"/>
    <x v="3"/>
    <n v="6"/>
    <n v="26856.080000000002"/>
    <n v="5792.66"/>
    <x v="18"/>
    <n v="53"/>
    <x v="1"/>
    <s v="Cancelada"/>
    <n v="5"/>
  </r>
  <r>
    <s v="RES-100539"/>
    <x v="166"/>
    <d v="1899-12-30T21:53:00"/>
    <x v="3"/>
    <x v="2"/>
    <x v="4"/>
    <n v="5"/>
    <n v="35414.57"/>
    <n v="5035.68"/>
    <x v="2"/>
    <n v="47"/>
    <x v="2"/>
    <s v="Reembolsada"/>
    <n v="4"/>
  </r>
  <r>
    <s v="RES-100540"/>
    <x v="167"/>
    <d v="1899-12-30T10:00:00"/>
    <x v="0"/>
    <x v="0"/>
    <x v="0"/>
    <n v="2"/>
    <n v="50984.57"/>
    <n v="5730.29"/>
    <x v="18"/>
    <n v="48"/>
    <x v="0"/>
    <s v="Entregada"/>
    <n v="3"/>
  </r>
  <r>
    <s v="RES-100541"/>
    <x v="168"/>
    <d v="1899-12-30T11:07:00"/>
    <x v="1"/>
    <x v="1"/>
    <x v="1"/>
    <n v="4"/>
    <n v="49754.720000000001"/>
    <n v="1158.4000000000001"/>
    <x v="0"/>
    <n v="26"/>
    <x v="1"/>
    <s v="Cancelada"/>
    <n v="3"/>
  </r>
  <r>
    <s v="RES-100542"/>
    <x v="169"/>
    <d v="1899-12-30T12:14:00"/>
    <x v="2"/>
    <x v="2"/>
    <x v="2"/>
    <n v="6"/>
    <n v="37431.199999999997"/>
    <n v="5053.6499999999996"/>
    <x v="4"/>
    <n v="48"/>
    <x v="2"/>
    <s v="Reembolsada"/>
    <n v="5"/>
  </r>
  <r>
    <s v="RES-100543"/>
    <x v="170"/>
    <d v="1899-12-30T13:21:00"/>
    <x v="3"/>
    <x v="0"/>
    <x v="3"/>
    <n v="5"/>
    <n v="55176.75"/>
    <n v="6165.46"/>
    <x v="4"/>
    <n v="28"/>
    <x v="0"/>
    <s v="Entregada"/>
    <n v="4"/>
  </r>
  <r>
    <s v="RES-100544"/>
    <x v="171"/>
    <d v="1899-12-30T14:28:00"/>
    <x v="0"/>
    <x v="1"/>
    <x v="4"/>
    <n v="2"/>
    <n v="63533.48"/>
    <n v="2266.19"/>
    <x v="6"/>
    <n v="44"/>
    <x v="1"/>
    <s v="Cancelada"/>
    <n v="4"/>
  </r>
  <r>
    <s v="RES-100545"/>
    <x v="172"/>
    <d v="1899-12-30T15:35:00"/>
    <x v="1"/>
    <x v="2"/>
    <x v="0"/>
    <n v="3"/>
    <n v="68471.41"/>
    <n v="6755.33"/>
    <x v="16"/>
    <n v="48"/>
    <x v="2"/>
    <s v="Reembolsada"/>
    <n v="4"/>
  </r>
  <r>
    <s v="RES-100546"/>
    <x v="173"/>
    <d v="1899-12-30T16:42:00"/>
    <x v="2"/>
    <x v="0"/>
    <x v="1"/>
    <n v="2"/>
    <n v="28057.4"/>
    <n v="535.37"/>
    <x v="9"/>
    <n v="33"/>
    <x v="0"/>
    <s v="Entregada"/>
    <n v="4"/>
  </r>
  <r>
    <s v="RES-100547"/>
    <x v="362"/>
    <d v="1899-12-30T17:49:00"/>
    <x v="3"/>
    <x v="1"/>
    <x v="2"/>
    <n v="6"/>
    <n v="35957.129999999997"/>
    <n v="8162.44"/>
    <x v="7"/>
    <n v="27"/>
    <x v="1"/>
    <s v="Cancelada"/>
    <n v="3"/>
  </r>
  <r>
    <s v="RES-100548"/>
    <x v="346"/>
    <d v="1899-12-30T18:56:00"/>
    <x v="0"/>
    <x v="2"/>
    <x v="3"/>
    <n v="5"/>
    <n v="37159.67"/>
    <n v="3443.47"/>
    <x v="8"/>
    <n v="46"/>
    <x v="2"/>
    <s v="Reembolsada"/>
    <n v="4"/>
  </r>
  <r>
    <s v="RES-100549"/>
    <x v="174"/>
    <d v="1899-12-30T19:03:00"/>
    <x v="1"/>
    <x v="0"/>
    <x v="4"/>
    <n v="6"/>
    <n v="31799.19"/>
    <n v="7682.72"/>
    <x v="7"/>
    <n v="42"/>
    <x v="0"/>
    <s v="Entregada"/>
    <n v="5"/>
  </r>
  <r>
    <s v="RES-100550"/>
    <x v="353"/>
    <d v="1899-12-30T20:10:00"/>
    <x v="2"/>
    <x v="1"/>
    <x v="0"/>
    <n v="6"/>
    <n v="28761.77"/>
    <n v="7342.45"/>
    <x v="14"/>
    <n v="27"/>
    <x v="1"/>
    <s v="Cancelada"/>
    <n v="4"/>
  </r>
  <r>
    <s v="RES-100551"/>
    <x v="123"/>
    <d v="1899-12-30T21:17:00"/>
    <x v="3"/>
    <x v="2"/>
    <x v="1"/>
    <n v="3"/>
    <n v="61416.88"/>
    <n v="8303.7999999999993"/>
    <x v="5"/>
    <n v="38"/>
    <x v="2"/>
    <s v="Reembolsada"/>
    <n v="4"/>
  </r>
  <r>
    <s v="RES-100552"/>
    <x v="176"/>
    <d v="1899-12-30T10:24:00"/>
    <x v="0"/>
    <x v="0"/>
    <x v="2"/>
    <n v="4"/>
    <n v="48563.34"/>
    <n v="2242.7600000000002"/>
    <x v="13"/>
    <n v="29"/>
    <x v="0"/>
    <s v="Entregada"/>
    <n v="5"/>
  </r>
  <r>
    <s v="RES-100553"/>
    <x v="177"/>
    <d v="1899-12-30T11:31:00"/>
    <x v="1"/>
    <x v="1"/>
    <x v="3"/>
    <n v="6"/>
    <n v="53973.45"/>
    <n v="5137.6899999999996"/>
    <x v="9"/>
    <n v="48"/>
    <x v="1"/>
    <s v="Cancelada"/>
    <n v="3"/>
  </r>
  <r>
    <s v="RES-100554"/>
    <x v="205"/>
    <d v="1899-12-30T12:38:00"/>
    <x v="2"/>
    <x v="2"/>
    <x v="4"/>
    <n v="5"/>
    <n v="45486.98"/>
    <n v="653.09"/>
    <x v="8"/>
    <n v="36"/>
    <x v="2"/>
    <s v="Reembolsada"/>
    <n v="3"/>
  </r>
  <r>
    <s v="RES-100555"/>
    <x v="179"/>
    <d v="1899-12-30T13:45:00"/>
    <x v="3"/>
    <x v="0"/>
    <x v="0"/>
    <n v="6"/>
    <n v="67784.149999999994"/>
    <n v="6485.54"/>
    <x v="17"/>
    <n v="43"/>
    <x v="0"/>
    <s v="Entregada"/>
    <n v="4"/>
  </r>
  <r>
    <s v="RES-100556"/>
    <x v="363"/>
    <d v="1899-12-30T14:52:00"/>
    <x v="0"/>
    <x v="1"/>
    <x v="1"/>
    <n v="6"/>
    <n v="32938.43"/>
    <n v="7392.07"/>
    <x v="5"/>
    <n v="53"/>
    <x v="1"/>
    <s v="Cancelada"/>
    <n v="4"/>
  </r>
  <r>
    <s v="RES-100557"/>
    <x v="287"/>
    <d v="1899-12-30T15:59:00"/>
    <x v="1"/>
    <x v="2"/>
    <x v="2"/>
    <n v="5"/>
    <n v="35429.370000000003"/>
    <n v="8356.02"/>
    <x v="5"/>
    <n v="23"/>
    <x v="2"/>
    <s v="Reembolsada"/>
    <n v="4"/>
  </r>
  <r>
    <s v="RES-100558"/>
    <x v="182"/>
    <d v="1899-12-30T16:06:00"/>
    <x v="2"/>
    <x v="0"/>
    <x v="3"/>
    <n v="6"/>
    <n v="52925.13"/>
    <n v="3323.57"/>
    <x v="17"/>
    <n v="25"/>
    <x v="0"/>
    <s v="Entregada"/>
    <n v="4"/>
  </r>
  <r>
    <s v="RES-100559"/>
    <x v="183"/>
    <d v="1899-12-30T17:13:00"/>
    <x v="3"/>
    <x v="1"/>
    <x v="4"/>
    <n v="5"/>
    <n v="55164.83"/>
    <n v="6195.42"/>
    <x v="18"/>
    <n v="23"/>
    <x v="1"/>
    <s v="Cancelada"/>
    <n v="5"/>
  </r>
  <r>
    <s v="RES-100560"/>
    <x v="184"/>
    <d v="1899-12-30T18:20:00"/>
    <x v="0"/>
    <x v="2"/>
    <x v="0"/>
    <n v="2"/>
    <n v="60039.94"/>
    <n v="2764.4"/>
    <x v="13"/>
    <n v="38"/>
    <x v="2"/>
    <s v="Reembolsada"/>
    <n v="4"/>
  </r>
  <r>
    <s v="RES-100561"/>
    <x v="185"/>
    <d v="1899-12-30T19:27:00"/>
    <x v="1"/>
    <x v="0"/>
    <x v="1"/>
    <n v="5"/>
    <n v="38149.120000000003"/>
    <n v="5594.17"/>
    <x v="12"/>
    <s v="4.2"/>
    <x v="0"/>
    <s v="Entregada"/>
    <n v="3"/>
  </r>
  <r>
    <s v="RES-100562"/>
    <x v="186"/>
    <d v="1899-12-30T20:34:00"/>
    <x v="2"/>
    <x v="1"/>
    <x v="2"/>
    <n v="5"/>
    <n v="28427.24"/>
    <n v="587.89"/>
    <x v="1"/>
    <n v="42"/>
    <x v="1"/>
    <s v="Cancelada"/>
    <n v="3"/>
  </r>
  <r>
    <s v="RES-100563"/>
    <x v="187"/>
    <d v="1899-12-30T21:41:00"/>
    <x v="3"/>
    <x v="2"/>
    <x v="3"/>
    <n v="4"/>
    <n v="56187.18"/>
    <n v="2040.83"/>
    <x v="15"/>
    <n v="35"/>
    <x v="2"/>
    <s v="Reembolsada"/>
    <n v="3"/>
  </r>
  <r>
    <s v="RES-100564"/>
    <x v="188"/>
    <d v="1899-12-30T10:48:00"/>
    <x v="0"/>
    <x v="0"/>
    <x v="4"/>
    <n v="5"/>
    <n v="47743.72"/>
    <n v="5386.22"/>
    <x v="3"/>
    <n v="49"/>
    <x v="0"/>
    <s v="Entregada"/>
    <n v="4"/>
  </r>
  <r>
    <s v="RES-100565"/>
    <x v="189"/>
    <d v="1899-12-30T11:55:00"/>
    <x v="1"/>
    <x v="1"/>
    <x v="0"/>
    <n v="6"/>
    <n v="62470.91"/>
    <n v="4749.58"/>
    <x v="16"/>
    <n v="23"/>
    <x v="1"/>
    <s v="Cancelada"/>
    <n v="3"/>
  </r>
  <r>
    <s v="RES-100566"/>
    <x v="190"/>
    <d v="1899-12-30T12:02:00"/>
    <x v="2"/>
    <x v="2"/>
    <x v="1"/>
    <n v="5"/>
    <n v="456058.93"/>
    <n v="7988.48"/>
    <x v="1"/>
    <s v="5.55"/>
    <x v="2"/>
    <s v="Reembolsada"/>
    <n v="3"/>
  </r>
  <r>
    <s v="RES-100567"/>
    <x v="191"/>
    <d v="1899-12-30T13:09:00"/>
    <x v="3"/>
    <x v="0"/>
    <x v="2"/>
    <n v="2"/>
    <n v="33709.050000000003"/>
    <n v="1837.67"/>
    <x v="16"/>
    <n v="48"/>
    <x v="0"/>
    <s v="Entregada"/>
    <n v="4"/>
  </r>
  <r>
    <s v="RES-100568"/>
    <x v="192"/>
    <d v="1899-12-30T14:16:00"/>
    <x v="0"/>
    <x v="1"/>
    <x v="3"/>
    <n v="5"/>
    <n v="26329.35"/>
    <n v="3562.55"/>
    <x v="15"/>
    <n v="36"/>
    <x v="1"/>
    <s v="Cancelada"/>
    <n v="5"/>
  </r>
  <r>
    <s v="RES-100569"/>
    <x v="193"/>
    <d v="1899-12-30T15:23:00"/>
    <x v="1"/>
    <x v="2"/>
    <x v="4"/>
    <n v="2"/>
    <n v="58044.03"/>
    <n v="755.76"/>
    <x v="5"/>
    <n v="24"/>
    <x v="2"/>
    <s v="Reembolsada"/>
    <n v="3"/>
  </r>
  <r>
    <s v="RES-100570"/>
    <x v="194"/>
    <d v="1899-12-30T16:30:00"/>
    <x v="2"/>
    <x v="0"/>
    <x v="0"/>
    <n v="3"/>
    <n v="38120.230000000003"/>
    <n v="2783.93"/>
    <x v="0"/>
    <n v="32"/>
    <x v="0"/>
    <s v="Entregada"/>
    <n v="4"/>
  </r>
  <r>
    <s v="RES-100571"/>
    <x v="195"/>
    <d v="1899-12-30T17:37:00"/>
    <x v="3"/>
    <x v="1"/>
    <x v="1"/>
    <n v="2"/>
    <n v="64650.09"/>
    <n v="2801.41"/>
    <x v="2"/>
    <n v="48"/>
    <x v="1"/>
    <s v="Cancelada"/>
    <n v="3"/>
  </r>
  <r>
    <s v="RES-100572"/>
    <x v="196"/>
    <d v="1899-12-30T18:44:00"/>
    <x v="0"/>
    <x v="2"/>
    <x v="2"/>
    <n v="5"/>
    <n v="48238.3"/>
    <n v="7648.53"/>
    <x v="13"/>
    <n v="35"/>
    <x v="2"/>
    <s v="Reembolsada"/>
    <n v="5"/>
  </r>
  <r>
    <s v="RES-100573"/>
    <x v="197"/>
    <d v="1899-12-30T19:51:00"/>
    <x v="1"/>
    <x v="0"/>
    <x v="3"/>
    <n v="4"/>
    <n v="43505.06"/>
    <n v="1824.14"/>
    <x v="17"/>
    <n v="26"/>
    <x v="0"/>
    <s v="Entregada"/>
    <n v="3"/>
  </r>
  <r>
    <s v="RES-100574"/>
    <x v="198"/>
    <d v="1899-12-30T20:58:00"/>
    <x v="2"/>
    <x v="1"/>
    <x v="4"/>
    <n v="3"/>
    <n v="28177.11"/>
    <n v="3042.8"/>
    <x v="11"/>
    <n v="37"/>
    <x v="1"/>
    <s v="Cancelada"/>
    <n v="5"/>
  </r>
  <r>
    <s v="RES-100575"/>
    <x v="199"/>
    <d v="1899-12-30T21:05:00"/>
    <x v="3"/>
    <x v="2"/>
    <x v="0"/>
    <n v="4"/>
    <n v="64514.25"/>
    <n v="6168.58"/>
    <x v="8"/>
    <n v="42"/>
    <x v="2"/>
    <s v="Reembolsada"/>
    <n v="5"/>
  </r>
  <r>
    <s v="RES-100576"/>
    <x v="200"/>
    <d v="1899-12-30T10:12:00"/>
    <x v="0"/>
    <x v="0"/>
    <x v="1"/>
    <n v="3"/>
    <n v="58928.37"/>
    <n v="6512.68"/>
    <x v="3"/>
    <n v="31"/>
    <x v="0"/>
    <s v="Entregada"/>
    <n v="3"/>
  </r>
  <r>
    <s v="RES-100577"/>
    <x v="364"/>
    <d v="1899-12-30T11:19:00"/>
    <x v="1"/>
    <x v="1"/>
    <x v="2"/>
    <n v="3"/>
    <n v="68696.39"/>
    <n v="5626.54"/>
    <x v="9"/>
    <n v="44"/>
    <x v="1"/>
    <s v="Cancelada"/>
    <n v="5"/>
  </r>
  <r>
    <s v="RES-100578"/>
    <x v="342"/>
    <d v="1899-12-30T12:26:00"/>
    <x v="2"/>
    <x v="2"/>
    <x v="3"/>
    <n v="3"/>
    <n v="69329.710000000006"/>
    <n v="3773.08"/>
    <x v="10"/>
    <n v="52"/>
    <x v="2"/>
    <s v="Reembolsada"/>
    <n v="3"/>
  </r>
  <r>
    <s v="RES-100579"/>
    <x v="202"/>
    <d v="1899-12-30T13:33:00"/>
    <x v="3"/>
    <x v="0"/>
    <x v="4"/>
    <n v="6"/>
    <n v="27136.959999999999"/>
    <n v="7336.07"/>
    <x v="2"/>
    <n v="45"/>
    <x v="0"/>
    <s v="Entregada"/>
    <n v="3"/>
  </r>
  <r>
    <s v="RES-100580"/>
    <x v="365"/>
    <d v="1899-12-30T14:40:00"/>
    <x v="0"/>
    <x v="1"/>
    <x v="0"/>
    <n v="5"/>
    <n v="66845"/>
    <n v="6387.09"/>
    <x v="15"/>
    <n v="46"/>
    <x v="1"/>
    <s v="Cancelada"/>
    <n v="3"/>
  </r>
  <r>
    <s v="RES-100581"/>
    <x v="95"/>
    <d v="1899-12-30T15:47:00"/>
    <x v="1"/>
    <x v="2"/>
    <x v="1"/>
    <n v="4"/>
    <n v="46951.35"/>
    <n v="6921.85"/>
    <x v="12"/>
    <n v="33"/>
    <x v="2"/>
    <s v="Reembolsada"/>
    <n v="4"/>
  </r>
  <r>
    <s v="RES-100582"/>
    <x v="124"/>
    <d v="1899-12-30T16:54:00"/>
    <x v="2"/>
    <x v="0"/>
    <x v="2"/>
    <n v="5"/>
    <n v="69260.789999999994"/>
    <n v="5972.13"/>
    <x v="7"/>
    <n v="48"/>
    <x v="0"/>
    <s v="Entregada"/>
    <n v="4"/>
  </r>
  <r>
    <s v="RES-100583"/>
    <x v="150"/>
    <d v="1899-12-30T17:01:00"/>
    <x v="3"/>
    <x v="1"/>
    <x v="3"/>
    <n v="5"/>
    <n v="38293.769999999997"/>
    <n v="1398.14"/>
    <x v="7"/>
    <n v="29"/>
    <x v="1"/>
    <s v="Cancelada"/>
    <n v="3"/>
  </r>
  <r>
    <s v="RES-100584"/>
    <x v="178"/>
    <d v="1899-12-30T18:08:00"/>
    <x v="0"/>
    <x v="2"/>
    <x v="4"/>
    <n v="2"/>
    <n v="52384.639999999999"/>
    <n v="4626.45"/>
    <x v="15"/>
    <n v="29"/>
    <x v="2"/>
    <s v="Reembolsada"/>
    <n v="3"/>
  </r>
  <r>
    <s v="RES-100585"/>
    <x v="206"/>
    <d v="1899-12-30T19:15:00"/>
    <x v="1"/>
    <x v="0"/>
    <x v="0"/>
    <n v="3"/>
    <n v="51459.45"/>
    <n v="8114.99"/>
    <x v="18"/>
    <n v="44"/>
    <x v="0"/>
    <s v="Entregada"/>
    <n v="5"/>
  </r>
  <r>
    <s v="RES-100586"/>
    <x v="366"/>
    <d v="1899-12-30T20:22:00"/>
    <x v="2"/>
    <x v="1"/>
    <x v="1"/>
    <n v="3"/>
    <n v="33193.58"/>
    <n v="5004.6099999999997"/>
    <x v="10"/>
    <n v="52"/>
    <x v="1"/>
    <s v="Cancelada"/>
    <n v="3"/>
  </r>
  <r>
    <s v="RES-100587"/>
    <x v="367"/>
    <d v="1899-12-30T21:29:00"/>
    <x v="3"/>
    <x v="2"/>
    <x v="2"/>
    <n v="6"/>
    <n v="59959.43"/>
    <n v="5412.12"/>
    <x v="1"/>
    <n v="48"/>
    <x v="2"/>
    <s v="Reembolsada"/>
    <n v="5"/>
  </r>
  <r>
    <s v="RES-100588"/>
    <x v="209"/>
    <d v="1899-12-30T10:36:00"/>
    <x v="0"/>
    <x v="0"/>
    <x v="3"/>
    <n v="3"/>
    <n v="30605.07"/>
    <n v="6118.18"/>
    <x v="3"/>
    <n v="51"/>
    <x v="0"/>
    <s v="Entregada"/>
    <n v="3"/>
  </r>
  <r>
    <s v="RES-100589"/>
    <x v="210"/>
    <d v="1899-12-30T11:43:00"/>
    <x v="1"/>
    <x v="1"/>
    <x v="4"/>
    <n v="3"/>
    <n v="39339.61"/>
    <n v="8196.16"/>
    <x v="2"/>
    <n v="27"/>
    <x v="1"/>
    <s v="Cancelada"/>
    <n v="4"/>
  </r>
  <r>
    <s v="RES-100590"/>
    <x v="211"/>
    <d v="1899-12-30T12:50:00"/>
    <x v="2"/>
    <x v="2"/>
    <x v="0"/>
    <n v="3"/>
    <n v="34349.919999999998"/>
    <n v="1048.3"/>
    <x v="8"/>
    <n v="28"/>
    <x v="2"/>
    <s v="Reembolsada"/>
    <n v="5"/>
  </r>
  <r>
    <s v="RES-100591"/>
    <x v="212"/>
    <d v="1899-12-30T13:57:00"/>
    <x v="3"/>
    <x v="0"/>
    <x v="1"/>
    <n v="3"/>
    <n v="42731.96"/>
    <n v="2167.14"/>
    <x v="16"/>
    <n v="46"/>
    <x v="0"/>
    <s v="Entregada"/>
    <n v="4"/>
  </r>
  <r>
    <s v="RES-100592"/>
    <x v="213"/>
    <d v="1899-12-30T14:04:00"/>
    <x v="0"/>
    <x v="1"/>
    <x v="2"/>
    <n v="5"/>
    <n v="57252.55"/>
    <n v="776.53"/>
    <x v="4"/>
    <n v="35"/>
    <x v="1"/>
    <s v="Cancelada"/>
    <n v="5"/>
  </r>
  <r>
    <s v="RES-100593"/>
    <x v="214"/>
    <d v="1899-12-30T15:11:00"/>
    <x v="1"/>
    <x v="2"/>
    <x v="3"/>
    <n v="2"/>
    <n v="46033.45"/>
    <n v="1267.78"/>
    <x v="11"/>
    <n v="52"/>
    <x v="2"/>
    <s v="Reembolsada"/>
    <n v="5"/>
  </r>
  <r>
    <s v="RES-100594"/>
    <x v="215"/>
    <d v="1899-12-30T16:18:00"/>
    <x v="2"/>
    <x v="0"/>
    <x v="4"/>
    <n v="6"/>
    <n v="64521.61"/>
    <n v="4094.06"/>
    <x v="12"/>
    <n v="43"/>
    <x v="0"/>
    <s v="Entregada"/>
    <n v="3"/>
  </r>
  <r>
    <s v="RES-100595"/>
    <x v="216"/>
    <d v="1899-12-30T17:25:00"/>
    <x v="3"/>
    <x v="1"/>
    <x v="0"/>
    <n v="4"/>
    <n v="48433.36"/>
    <n v="8383.73"/>
    <x v="15"/>
    <n v="27"/>
    <x v="1"/>
    <s v="Cancelada"/>
    <n v="4"/>
  </r>
  <r>
    <s v="RES-100596"/>
    <x v="217"/>
    <d v="1899-12-30T18:32:00"/>
    <x v="0"/>
    <x v="2"/>
    <x v="1"/>
    <n v="4"/>
    <n v="64104.72"/>
    <n v="6431.52"/>
    <x v="14"/>
    <n v="31"/>
    <x v="2"/>
    <s v="Reembolsada"/>
    <n v="3"/>
  </r>
  <r>
    <s v="RES-100597"/>
    <x v="218"/>
    <d v="1899-12-30T19:39:00"/>
    <x v="1"/>
    <x v="0"/>
    <x v="2"/>
    <n v="6"/>
    <n v="42247.27"/>
    <n v="1389.4"/>
    <x v="15"/>
    <n v="36"/>
    <x v="0"/>
    <s v="Entregada"/>
    <n v="5"/>
  </r>
  <r>
    <s v="RES-100598"/>
    <x v="219"/>
    <d v="1899-12-30T20:46:00"/>
    <x v="2"/>
    <x v="1"/>
    <x v="3"/>
    <n v="3"/>
    <n v="49175.05"/>
    <n v="6739.1"/>
    <x v="7"/>
    <n v="38"/>
    <x v="1"/>
    <s v="Cancelada"/>
    <n v="5"/>
  </r>
  <r>
    <s v="RES-100599"/>
    <x v="220"/>
    <d v="1899-12-30T21:53:00"/>
    <x v="3"/>
    <x v="2"/>
    <x v="4"/>
    <n v="6"/>
    <n v="47574.080000000002"/>
    <n v="1622.2"/>
    <x v="11"/>
    <n v="28"/>
    <x v="2"/>
    <s v="Reembolsada"/>
    <n v="5"/>
  </r>
  <r>
    <s v="RES-100600"/>
    <x v="221"/>
    <d v="1899-12-30T10:00:00"/>
    <x v="0"/>
    <x v="0"/>
    <x v="0"/>
    <n v="2"/>
    <n v="48715.76"/>
    <n v="1712.46"/>
    <x v="10"/>
    <n v="26"/>
    <x v="0"/>
    <s v="Entregada"/>
    <n v="3"/>
  </r>
  <r>
    <s v="RES-100601"/>
    <x v="222"/>
    <d v="1899-12-30T11:07:00"/>
    <x v="1"/>
    <x v="1"/>
    <x v="1"/>
    <n v="3"/>
    <n v="40395.440000000002"/>
    <n v="8090.96"/>
    <x v="18"/>
    <n v="31"/>
    <x v="1"/>
    <s v="Cancelada"/>
    <n v="3"/>
  </r>
  <r>
    <s v="RES-100602"/>
    <x v="223"/>
    <d v="1899-12-30T12:14:00"/>
    <x v="2"/>
    <x v="2"/>
    <x v="2"/>
    <n v="3"/>
    <n v="68641.320000000007"/>
    <n v="6785.22"/>
    <x v="17"/>
    <n v="46"/>
    <x v="2"/>
    <s v="Reembolsada"/>
    <n v="3"/>
  </r>
  <r>
    <s v="RES-100603"/>
    <x v="224"/>
    <d v="1899-12-30T13:21:00"/>
    <x v="3"/>
    <x v="0"/>
    <x v="3"/>
    <n v="2"/>
    <n v="60117.66"/>
    <n v="4176.66"/>
    <x v="12"/>
    <n v="37"/>
    <x v="0"/>
    <s v="Entregada"/>
    <n v="3"/>
  </r>
  <r>
    <s v="RES-100604"/>
    <x v="225"/>
    <d v="1899-12-30T14:28:00"/>
    <x v="0"/>
    <x v="1"/>
    <x v="4"/>
    <n v="4"/>
    <n v="42321.55"/>
    <n v="4894.79"/>
    <x v="16"/>
    <n v="38"/>
    <x v="1"/>
    <s v="Cancelada"/>
    <n v="5"/>
  </r>
  <r>
    <s v="RES-100605"/>
    <x v="226"/>
    <d v="1899-12-30T15:35:00"/>
    <x v="1"/>
    <x v="2"/>
    <x v="0"/>
    <n v="5"/>
    <n v="38056.980000000003"/>
    <n v="7379.89"/>
    <x v="14"/>
    <n v="40"/>
    <x v="2"/>
    <s v="Reembolsada"/>
    <n v="3"/>
  </r>
  <r>
    <s v="RES-100606"/>
    <x v="227"/>
    <d v="1899-12-30T16:42:00"/>
    <x v="2"/>
    <x v="0"/>
    <x v="1"/>
    <n v="3"/>
    <n v="33571.51"/>
    <n v="1393.53"/>
    <x v="2"/>
    <n v="44"/>
    <x v="0"/>
    <s v="Entregada"/>
    <n v="5"/>
  </r>
  <r>
    <s v="RES-100607"/>
    <x v="368"/>
    <d v="1899-12-30T17:49:00"/>
    <x v="3"/>
    <x v="1"/>
    <x v="2"/>
    <n v="4"/>
    <n v="43200.12"/>
    <n v="3017.14"/>
    <x v="10"/>
    <n v="29"/>
    <x v="1"/>
    <s v="Cancelada"/>
    <n v="3"/>
  </r>
  <r>
    <s v="RES-100608"/>
    <x v="9"/>
    <d v="1899-12-30T18:56:00"/>
    <x v="0"/>
    <x v="2"/>
    <x v="3"/>
    <n v="4"/>
    <n v="26708.26"/>
    <n v="538.49"/>
    <x v="10"/>
    <n v="36"/>
    <x v="2"/>
    <s v="Reembolsada"/>
    <n v="3"/>
  </r>
  <r>
    <s v="RES-100609"/>
    <x v="230"/>
    <d v="1899-12-30T19:03:00"/>
    <x v="1"/>
    <x v="0"/>
    <x v="4"/>
    <n v="6"/>
    <n v="27182.18"/>
    <n v="7829.17"/>
    <x v="3"/>
    <n v="27"/>
    <x v="0"/>
    <s v="Entregada"/>
    <n v="4"/>
  </r>
  <r>
    <s v="RES-100610"/>
    <x v="68"/>
    <d v="1899-12-30T20:10:00"/>
    <x v="2"/>
    <x v="1"/>
    <x v="0"/>
    <n v="5"/>
    <n v="34726.86"/>
    <n v="2056.37"/>
    <x v="5"/>
    <n v="51"/>
    <x v="1"/>
    <s v="Cancelada"/>
    <n v="5"/>
  </r>
  <r>
    <s v="RES-100611"/>
    <x v="354"/>
    <d v="1899-12-30T21:17:00"/>
    <x v="3"/>
    <x v="2"/>
    <x v="1"/>
    <n v="4"/>
    <n v="47803.67"/>
    <n v="4272.37"/>
    <x v="3"/>
    <n v="47"/>
    <x v="2"/>
    <s v="Reembolsada"/>
    <n v="4"/>
  </r>
  <r>
    <s v="RES-100612"/>
    <x v="232"/>
    <d v="1899-12-30T10:24:00"/>
    <x v="0"/>
    <x v="0"/>
    <x v="2"/>
    <n v="2"/>
    <n v="39119.550000000003"/>
    <n v="6282.36"/>
    <x v="11"/>
    <n v="30"/>
    <x v="0"/>
    <s v="Entregada"/>
    <n v="4"/>
  </r>
  <r>
    <s v="RES-100613"/>
    <x v="360"/>
    <d v="1899-12-30T11:31:00"/>
    <x v="1"/>
    <x v="1"/>
    <x v="3"/>
    <n v="6"/>
    <n v="43510.99"/>
    <n v="7982.56"/>
    <x v="4"/>
    <n v="42"/>
    <x v="1"/>
    <s v="Cancelada"/>
    <n v="3"/>
  </r>
  <r>
    <s v="RES-100614"/>
    <x v="179"/>
    <d v="1899-12-30T12:38:00"/>
    <x v="2"/>
    <x v="2"/>
    <x v="4"/>
    <n v="5"/>
    <n v="62856.31"/>
    <n v="4096.07"/>
    <x v="0"/>
    <n v="30"/>
    <x v="2"/>
    <s v="Reembolsada"/>
    <n v="4"/>
  </r>
  <r>
    <s v="RES-100615"/>
    <x v="207"/>
    <d v="1899-12-30T13:45:00"/>
    <x v="3"/>
    <x v="0"/>
    <x v="0"/>
    <n v="2"/>
    <n v="67590.31"/>
    <n v="6047.2"/>
    <x v="15"/>
    <n v="36"/>
    <x v="0"/>
    <s v="Entregada"/>
    <n v="5"/>
  </r>
  <r>
    <s v="RES-100616"/>
    <x v="234"/>
    <d v="1899-12-30T14:52:00"/>
    <x v="0"/>
    <x v="1"/>
    <x v="1"/>
    <n v="4"/>
    <n v="44828.63"/>
    <n v="5051.5600000000004"/>
    <x v="8"/>
    <n v="48"/>
    <x v="1"/>
    <s v="Cancelada"/>
    <n v="4"/>
  </r>
  <r>
    <s v="RES-100617"/>
    <x v="262"/>
    <d v="1899-12-30T15:59:00"/>
    <x v="1"/>
    <x v="2"/>
    <x v="2"/>
    <n v="3"/>
    <n v="60848.38"/>
    <n v="5445.61"/>
    <x v="6"/>
    <n v="46"/>
    <x v="2"/>
    <s v="Reembolsada"/>
    <n v="4"/>
  </r>
  <r>
    <s v="RES-100618"/>
    <x v="236"/>
    <d v="1899-12-30T16:06:00"/>
    <x v="2"/>
    <x v="0"/>
    <x v="3"/>
    <n v="4"/>
    <n v="59782.59"/>
    <n v="4659.99"/>
    <x v="18"/>
    <n v="27"/>
    <x v="0"/>
    <s v="Entregada"/>
    <n v="4"/>
  </r>
  <r>
    <s v="RES-100619"/>
    <x v="237"/>
    <d v="1899-12-30T17:13:00"/>
    <x v="3"/>
    <x v="1"/>
    <x v="4"/>
    <n v="3"/>
    <n v="26305.13"/>
    <n v="677.54"/>
    <x v="10"/>
    <n v="36"/>
    <x v="1"/>
    <s v="Cancelada"/>
    <n v="5"/>
  </r>
  <r>
    <s v="RES-100620"/>
    <x v="238"/>
    <d v="1899-12-30T18:20:00"/>
    <x v="0"/>
    <x v="2"/>
    <x v="0"/>
    <n v="6"/>
    <n v="30738.53"/>
    <n v="2422.92"/>
    <x v="8"/>
    <n v="36"/>
    <x v="2"/>
    <s v="Reembolsada"/>
    <n v="4"/>
  </r>
  <r>
    <s v="RES-100621"/>
    <x v="239"/>
    <d v="1899-12-30T19:27:00"/>
    <x v="1"/>
    <x v="0"/>
    <x v="1"/>
    <n v="5"/>
    <n v="54811.61"/>
    <n v="4714.3"/>
    <x v="1"/>
    <n v="25"/>
    <x v="0"/>
    <s v="Entregada"/>
    <n v="4"/>
  </r>
  <r>
    <s v="RES-100622"/>
    <x v="240"/>
    <d v="1899-12-30T20:34:00"/>
    <x v="2"/>
    <x v="1"/>
    <x v="2"/>
    <n v="2"/>
    <n v="28610.54"/>
    <n v="1295.6199999999999"/>
    <x v="3"/>
    <n v="30"/>
    <x v="1"/>
    <s v="Cancelada"/>
    <n v="4"/>
  </r>
  <r>
    <s v="RES-100623"/>
    <x v="241"/>
    <d v="1899-12-30T21:41:00"/>
    <x v="3"/>
    <x v="2"/>
    <x v="3"/>
    <n v="5"/>
    <n v="59227.59"/>
    <n v="3462.67"/>
    <x v="15"/>
    <n v="51"/>
    <x v="2"/>
    <s v="Reembolsada"/>
    <n v="4"/>
  </r>
  <r>
    <s v="RES-100624"/>
    <x v="242"/>
    <d v="1899-12-30T10:48:00"/>
    <x v="0"/>
    <x v="0"/>
    <x v="4"/>
    <n v="2"/>
    <n v="27576.89"/>
    <n v="2290.23"/>
    <x v="0"/>
    <n v="52"/>
    <x v="0"/>
    <s v="Entregada"/>
    <n v="3"/>
  </r>
  <r>
    <s v="RES-100625"/>
    <x v="243"/>
    <d v="1899-12-30T11:55:00"/>
    <x v="1"/>
    <x v="1"/>
    <x v="0"/>
    <n v="4"/>
    <n v="28577.15"/>
    <n v="2060.9699999999998"/>
    <x v="14"/>
    <n v="33"/>
    <x v="1"/>
    <s v="Cancelada"/>
    <n v="3"/>
  </r>
  <r>
    <s v="RES-100626"/>
    <x v="244"/>
    <d v="1899-12-30T12:02:00"/>
    <x v="2"/>
    <x v="2"/>
    <x v="1"/>
    <n v="6"/>
    <n v="57570.13"/>
    <n v="7821.17"/>
    <x v="16"/>
    <n v="24"/>
    <x v="2"/>
    <s v="Reembolsada"/>
    <n v="3"/>
  </r>
  <r>
    <s v="RES-100627"/>
    <x v="245"/>
    <d v="1899-12-30T13:09:00"/>
    <x v="3"/>
    <x v="0"/>
    <x v="2"/>
    <n v="6"/>
    <n v="65890"/>
    <n v="7225.92"/>
    <x v="10"/>
    <n v="25"/>
    <x v="0"/>
    <s v="Entregada"/>
    <n v="4"/>
  </r>
  <r>
    <s v="RES-100628"/>
    <x v="246"/>
    <d v="1899-12-30T14:16:00"/>
    <x v="0"/>
    <x v="1"/>
    <x v="3"/>
    <n v="2"/>
    <n v="29819.599999999999"/>
    <n v="6154.45"/>
    <x v="16"/>
    <n v="52"/>
    <x v="1"/>
    <s v="Cancelada"/>
    <n v="3"/>
  </r>
  <r>
    <s v="RES-100629"/>
    <x v="247"/>
    <d v="1899-12-30T15:23:00"/>
    <x v="1"/>
    <x v="2"/>
    <x v="4"/>
    <n v="6"/>
    <n v="57232.28"/>
    <n v="1906.28"/>
    <x v="13"/>
    <n v="25"/>
    <x v="2"/>
    <s v="Reembolsada"/>
    <n v="4"/>
  </r>
  <r>
    <s v="RES-100630"/>
    <x v="248"/>
    <d v="1899-12-30T16:30:00"/>
    <x v="2"/>
    <x v="0"/>
    <x v="0"/>
    <n v="5"/>
    <n v="38737.620000000003"/>
    <n v="3637.1289999999995"/>
    <x v="11"/>
    <n v="42"/>
    <x v="0"/>
    <s v="Entregada"/>
    <n v="4"/>
  </r>
  <r>
    <s v="RES-100631"/>
    <x v="249"/>
    <d v="1899-12-30T17:37:00"/>
    <x v="3"/>
    <x v="1"/>
    <x v="1"/>
    <n v="2"/>
    <n v="27126.5"/>
    <n v="4753.9799999999996"/>
    <x v="2"/>
    <n v="26"/>
    <x v="1"/>
    <s v="Cancelada"/>
    <n v="4"/>
  </r>
  <r>
    <s v="RES-100632"/>
    <x v="250"/>
    <d v="1899-12-30T18:44:00"/>
    <x v="0"/>
    <x v="2"/>
    <x v="2"/>
    <n v="4"/>
    <n v="36145.65"/>
    <n v="4554.99"/>
    <x v="9"/>
    <n v="41"/>
    <x v="2"/>
    <s v="Reembolsada"/>
    <n v="3"/>
  </r>
  <r>
    <s v="RES-100633"/>
    <x v="251"/>
    <d v="1899-12-30T19:51:00"/>
    <x v="1"/>
    <x v="0"/>
    <x v="3"/>
    <n v="3"/>
    <n v="65338.13"/>
    <n v="6977.23"/>
    <x v="11"/>
    <n v="45"/>
    <x v="0"/>
    <s v="Entregada"/>
    <n v="4"/>
  </r>
  <r>
    <s v="RES-100634"/>
    <x v="252"/>
    <d v="1899-12-30T20:58:00"/>
    <x v="2"/>
    <x v="1"/>
    <x v="4"/>
    <n v="3"/>
    <n v="58136.44"/>
    <n v="6323.03"/>
    <x v="18"/>
    <n v="49"/>
    <x v="1"/>
    <s v="Cancelada"/>
    <n v="4"/>
  </r>
  <r>
    <s v="RES-100635"/>
    <x v="253"/>
    <d v="1899-12-30T21:05:00"/>
    <x v="3"/>
    <x v="2"/>
    <x v="0"/>
    <n v="2"/>
    <n v="48945.75"/>
    <n v="6758.08"/>
    <x v="12"/>
    <n v="34"/>
    <x v="2"/>
    <s v="Reembolsada"/>
    <n v="5"/>
  </r>
  <r>
    <s v="RES-100636"/>
    <x v="254"/>
    <d v="1899-12-30T10:12:00"/>
    <x v="0"/>
    <x v="0"/>
    <x v="1"/>
    <n v="3"/>
    <n v="44869.62"/>
    <n v="6679.97"/>
    <x v="18"/>
    <n v="33"/>
    <x v="0"/>
    <s v="Entregada"/>
    <n v="3"/>
  </r>
  <r>
    <s v="RES-100637"/>
    <x v="255"/>
    <d v="1899-12-30T11:19:00"/>
    <x v="1"/>
    <x v="1"/>
    <x v="2"/>
    <n v="5"/>
    <n v="52943.91"/>
    <n v="3724.32"/>
    <x v="10"/>
    <n v="48"/>
    <x v="1"/>
    <s v="Cancelada"/>
    <n v="5"/>
  </r>
  <r>
    <s v="RES-100638"/>
    <x v="369"/>
    <d v="1899-12-30T12:26:00"/>
    <x v="2"/>
    <x v="2"/>
    <x v="3"/>
    <n v="3"/>
    <n v="65222.41"/>
    <n v="7619.75"/>
    <x v="8"/>
    <n v="51"/>
    <x v="2"/>
    <s v="Reembolsada"/>
    <n v="5"/>
  </r>
  <r>
    <s v="RES-100639"/>
    <x v="257"/>
    <d v="1899-12-30T13:33:00"/>
    <x v="3"/>
    <x v="0"/>
    <x v="4"/>
    <n v="2"/>
    <n v="28416.9"/>
    <n v="3694.06"/>
    <x v="18"/>
    <n v="33"/>
    <x v="0"/>
    <s v="Entregada"/>
    <n v="4"/>
  </r>
  <r>
    <s v="RES-100640"/>
    <x v="38"/>
    <d v="1899-12-30T14:40:00"/>
    <x v="0"/>
    <x v="1"/>
    <x v="0"/>
    <n v="3"/>
    <n v="42868.41"/>
    <n v="7893.2"/>
    <x v="9"/>
    <n v="27"/>
    <x v="1"/>
    <s v="Cancelada"/>
    <n v="3"/>
  </r>
  <r>
    <s v="RES-100641"/>
    <x v="69"/>
    <d v="1899-12-30T15:47:00"/>
    <x v="1"/>
    <x v="2"/>
    <x v="1"/>
    <n v="6"/>
    <n v="29555.05"/>
    <n v="4034.3"/>
    <x v="10"/>
    <n v="41"/>
    <x v="2"/>
    <s v="Reembolsada"/>
    <n v="3"/>
  </r>
  <r>
    <s v="RES-100642"/>
    <x v="260"/>
    <d v="1899-12-30T16:54:00"/>
    <x v="2"/>
    <x v="0"/>
    <x v="2"/>
    <n v="5"/>
    <n v="65337.55"/>
    <n v="1086.1600000000001"/>
    <x v="7"/>
    <n v="36"/>
    <x v="0"/>
    <s v="Entregada"/>
    <n v="3"/>
  </r>
  <r>
    <s v="RES-100643"/>
    <x v="370"/>
    <d v="1899-12-30T17:01:00"/>
    <x v="3"/>
    <x v="1"/>
    <x v="3"/>
    <n v="3"/>
    <n v="35794.39"/>
    <n v="1725.11"/>
    <x v="12"/>
    <s v="7.95"/>
    <x v="1"/>
    <s v="Cancelada"/>
    <n v="4"/>
  </r>
  <r>
    <s v="RES-100644"/>
    <x v="152"/>
    <d v="1899-12-30T18:08:00"/>
    <x v="0"/>
    <x v="2"/>
    <x v="4"/>
    <n v="4"/>
    <n v="61696.2"/>
    <n v="4343.1899999999996"/>
    <x v="1"/>
    <n v="47"/>
    <x v="2"/>
    <s v="Reembolsada"/>
    <n v="3"/>
  </r>
  <r>
    <s v="RES-100645"/>
    <x v="180"/>
    <d v="1899-12-30T19:15:00"/>
    <x v="1"/>
    <x v="0"/>
    <x v="0"/>
    <n v="5"/>
    <n v="62947.14"/>
    <n v="4052.26"/>
    <x v="17"/>
    <n v="43"/>
    <x v="0"/>
    <s v="Entregada"/>
    <n v="3"/>
  </r>
  <r>
    <s v="RES-100646"/>
    <x v="367"/>
    <d v="1899-12-30T20:22:00"/>
    <x v="2"/>
    <x v="1"/>
    <x v="1"/>
    <n v="4"/>
    <n v="57576.34"/>
    <n v="5110.68"/>
    <x v="6"/>
    <n v="49"/>
    <x v="1"/>
    <s v="Cancelada"/>
    <n v="4"/>
  </r>
  <r>
    <s v="RES-100647"/>
    <x v="235"/>
    <d v="1899-12-30T21:29:00"/>
    <x v="3"/>
    <x v="2"/>
    <x v="2"/>
    <n v="4"/>
    <n v="36159.56"/>
    <n v="6613.27"/>
    <x v="8"/>
    <n v="42"/>
    <x v="2"/>
    <s v="Reembolsada"/>
    <n v="5"/>
  </r>
  <r>
    <s v="RES-100648"/>
    <x v="263"/>
    <d v="1899-12-30T10:36:00"/>
    <x v="0"/>
    <x v="0"/>
    <x v="3"/>
    <n v="4"/>
    <n v="53045.39"/>
    <n v="4370.24"/>
    <x v="5"/>
    <n v="26"/>
    <x v="0"/>
    <s v="Entregada"/>
    <n v="3"/>
  </r>
  <r>
    <s v="RES-100649"/>
    <x v="371"/>
    <d v="1899-12-30T11:43:00"/>
    <x v="1"/>
    <x v="1"/>
    <x v="4"/>
    <n v="3"/>
    <n v="44241.41"/>
    <n v="1455.15"/>
    <x v="12"/>
    <n v="29"/>
    <x v="1"/>
    <s v="Cancelada"/>
    <n v="3"/>
  </r>
  <r>
    <s v="RES-100650"/>
    <x v="265"/>
    <d v="1899-12-30T12:50:00"/>
    <x v="2"/>
    <x v="2"/>
    <x v="0"/>
    <n v="5"/>
    <n v="41411.199999999997"/>
    <n v="956.98"/>
    <x v="3"/>
    <n v="48"/>
    <x v="2"/>
    <s v="Reembolsada"/>
    <n v="5"/>
  </r>
  <r>
    <s v="RES-100651"/>
    <x v="266"/>
    <d v="1899-12-30T13:57:00"/>
    <x v="3"/>
    <x v="0"/>
    <x v="1"/>
    <n v="4"/>
    <n v="48264"/>
    <n v="4586.1000000000004"/>
    <x v="13"/>
    <n v="49"/>
    <x v="0"/>
    <s v="Entregada"/>
    <n v="5"/>
  </r>
  <r>
    <s v="RES-100652"/>
    <x v="267"/>
    <d v="1899-12-30T14:04:00"/>
    <x v="0"/>
    <x v="1"/>
    <x v="2"/>
    <n v="3"/>
    <n v="61031.66"/>
    <n v="8165.59"/>
    <x v="11"/>
    <n v="32"/>
    <x v="1"/>
    <s v="Cancelada"/>
    <n v="4"/>
  </r>
  <r>
    <s v="RES-100653"/>
    <x v="268"/>
    <d v="1899-12-30T15:11:00"/>
    <x v="1"/>
    <x v="2"/>
    <x v="3"/>
    <n v="5"/>
    <n v="42349.38"/>
    <n v="4621.1499999999996"/>
    <x v="13"/>
    <n v="43"/>
    <x v="2"/>
    <s v="Reembolsada"/>
    <n v="3"/>
  </r>
  <r>
    <s v="RES-100654"/>
    <x v="269"/>
    <d v="1899-12-30T16:18:00"/>
    <x v="2"/>
    <x v="0"/>
    <x v="4"/>
    <n v="3"/>
    <n v="52486.89"/>
    <n v="2331.27"/>
    <x v="0"/>
    <n v="38"/>
    <x v="0"/>
    <s v="Entregada"/>
    <n v="5"/>
  </r>
  <r>
    <s v="RES-100655"/>
    <x v="270"/>
    <d v="1899-12-30T17:25:00"/>
    <x v="3"/>
    <x v="1"/>
    <x v="0"/>
    <n v="6"/>
    <n v="59531.33"/>
    <n v="2959.58"/>
    <x v="15"/>
    <n v="51"/>
    <x v="1"/>
    <s v="Cancelada"/>
    <n v="4"/>
  </r>
  <r>
    <s v="RES-100656"/>
    <x v="271"/>
    <d v="1899-12-30T18:32:00"/>
    <x v="0"/>
    <x v="2"/>
    <x v="1"/>
    <n v="2"/>
    <n v="36182.410000000003"/>
    <n v="5611.66"/>
    <x v="8"/>
    <n v="31"/>
    <x v="2"/>
    <s v="Reembolsada"/>
    <n v="3"/>
  </r>
  <r>
    <s v="RES-100657"/>
    <x v="272"/>
    <d v="1899-12-30T19:39:00"/>
    <x v="1"/>
    <x v="0"/>
    <x v="2"/>
    <n v="5"/>
    <n v="34547.96"/>
    <n v="2830.53"/>
    <x v="15"/>
    <n v="35"/>
    <x v="0"/>
    <s v="Entregada"/>
    <n v="5"/>
  </r>
  <r>
    <s v="RES-100658"/>
    <x v="273"/>
    <d v="1899-12-30T20:46:00"/>
    <x v="2"/>
    <x v="1"/>
    <x v="3"/>
    <n v="5"/>
    <n v="55820.11"/>
    <n v="4272.08"/>
    <x v="11"/>
    <n v="24"/>
    <x v="1"/>
    <s v="Cancelada"/>
    <n v="5"/>
  </r>
  <r>
    <s v="RES-100659"/>
    <x v="274"/>
    <d v="1899-12-30T21:53:00"/>
    <x v="3"/>
    <x v="2"/>
    <x v="4"/>
    <n v="6"/>
    <n v="48101.2"/>
    <n v="605.32000000000005"/>
    <x v="12"/>
    <n v="23"/>
    <x v="2"/>
    <s v="Reembolsada"/>
    <n v="5"/>
  </r>
  <r>
    <s v="RES-100660"/>
    <x v="275"/>
    <d v="1899-12-30T10:00:00"/>
    <x v="0"/>
    <x v="0"/>
    <x v="0"/>
    <n v="6"/>
    <n v="69453.48"/>
    <n v="1534.74"/>
    <x v="8"/>
    <n v="34"/>
    <x v="0"/>
    <s v="Entregada"/>
    <n v="5"/>
  </r>
  <r>
    <s v="RES-100661"/>
    <x v="276"/>
    <d v="1899-12-30T11:07:00"/>
    <x v="1"/>
    <x v="1"/>
    <x v="1"/>
    <n v="4"/>
    <n v="42956.98"/>
    <n v="8269.64"/>
    <x v="16"/>
    <n v="37"/>
    <x v="1"/>
    <s v="Cancelada"/>
    <n v="4"/>
  </r>
  <r>
    <s v="RES-100662"/>
    <x v="277"/>
    <d v="1899-12-30T12:14:00"/>
    <x v="2"/>
    <x v="2"/>
    <x v="2"/>
    <n v="5"/>
    <n v="41508.01"/>
    <n v="3479.73"/>
    <x v="8"/>
    <n v="44"/>
    <x v="2"/>
    <s v="Reembolsada"/>
    <n v="4"/>
  </r>
  <r>
    <s v="RES-100663"/>
    <x v="278"/>
    <d v="1899-12-30T13:21:00"/>
    <x v="3"/>
    <x v="0"/>
    <x v="3"/>
    <n v="4"/>
    <n v="39471.660000000003"/>
    <n v="6485.3"/>
    <x v="3"/>
    <n v="47"/>
    <x v="0"/>
    <s v="Entregada"/>
    <n v="5"/>
  </r>
  <r>
    <s v="RES-100664"/>
    <x v="279"/>
    <d v="1899-12-30T14:28:00"/>
    <x v="0"/>
    <x v="1"/>
    <x v="4"/>
    <n v="2"/>
    <n v="34230.15"/>
    <n v="6734.71"/>
    <x v="17"/>
    <n v="42"/>
    <x v="1"/>
    <s v="Cancelada"/>
    <n v="5"/>
  </r>
  <r>
    <s v="RES-100665"/>
    <x v="280"/>
    <d v="1899-12-30T15:35:00"/>
    <x v="1"/>
    <x v="2"/>
    <x v="0"/>
    <n v="3"/>
    <n v="60298.06"/>
    <n v="2541.67"/>
    <x v="0"/>
    <n v="23"/>
    <x v="2"/>
    <s v="Reembolsada"/>
    <n v="3"/>
  </r>
  <r>
    <s v="RES-100666"/>
    <x v="281"/>
    <d v="1899-12-30T16:42:00"/>
    <x v="2"/>
    <x v="0"/>
    <x v="1"/>
    <n v="5"/>
    <n v="29535.29"/>
    <n v="6932.96"/>
    <x v="8"/>
    <n v="37"/>
    <x v="0"/>
    <s v="Entregada"/>
    <n v="3"/>
  </r>
  <r>
    <s v="RES-100667"/>
    <x v="282"/>
    <d v="1899-12-30T17:49:00"/>
    <x v="3"/>
    <x v="1"/>
    <x v="2"/>
    <n v="6"/>
    <n v="49919.78"/>
    <n v="5452.43"/>
    <x v="0"/>
    <n v="40"/>
    <x v="1"/>
    <s v="Cancelada"/>
    <n v="5"/>
  </r>
  <r>
    <s v="RES-100668"/>
    <x v="372"/>
    <d v="1899-12-30T18:56:00"/>
    <x v="0"/>
    <x v="2"/>
    <x v="3"/>
    <n v="6"/>
    <n v="37096.18"/>
    <n v="6762.73"/>
    <x v="13"/>
    <n v="50"/>
    <x v="2"/>
    <s v="Reembolsada"/>
    <n v="4"/>
  </r>
  <r>
    <s v="RES-100669"/>
    <x v="11"/>
    <d v="1899-12-30T19:03:00"/>
    <x v="1"/>
    <x v="0"/>
    <x v="4"/>
    <n v="3"/>
    <n v="42526.79"/>
    <n v="2099.3000000000002"/>
    <x v="4"/>
    <n v="41"/>
    <x v="0"/>
    <s v="Entregada"/>
    <n v="4"/>
  </r>
  <r>
    <s v="RES-100670"/>
    <x v="347"/>
    <d v="1899-12-30T20:10:00"/>
    <x v="2"/>
    <x v="1"/>
    <x v="0"/>
    <n v="4"/>
    <n v="37658.11"/>
    <n v="5479.81"/>
    <x v="3"/>
    <n v="53"/>
    <x v="1"/>
    <s v="Cancelada"/>
    <n v="3"/>
  </r>
  <r>
    <s v="RES-100671"/>
    <x v="70"/>
    <d v="1899-12-30T21:17:00"/>
    <x v="3"/>
    <x v="2"/>
    <x v="1"/>
    <n v="2"/>
    <n v="48121.11"/>
    <n v="7767.12"/>
    <x v="13"/>
    <n v="46"/>
    <x v="2"/>
    <s v="Reembolsada"/>
    <n v="4"/>
  </r>
  <r>
    <s v="RES-100672"/>
    <x v="285"/>
    <d v="1899-12-30T10:24:00"/>
    <x v="0"/>
    <x v="0"/>
    <x v="2"/>
    <n v="5"/>
    <n v="39287.300000000003"/>
    <n v="2055.13"/>
    <x v="8"/>
    <n v="52"/>
    <x v="0"/>
    <s v="Entregada"/>
    <n v="3"/>
  </r>
  <r>
    <s v="RES-100673"/>
    <x v="127"/>
    <d v="1899-12-30T11:31:00"/>
    <x v="1"/>
    <x v="1"/>
    <x v="3"/>
    <n v="2"/>
    <n v="51708.13"/>
    <n v="4824.88"/>
    <x v="15"/>
    <n v="43"/>
    <x v="1"/>
    <s v="Cancelada"/>
    <n v="3"/>
  </r>
  <r>
    <s v="RES-100674"/>
    <x v="361"/>
    <d v="1899-12-30T12:38:00"/>
    <x v="2"/>
    <x v="2"/>
    <x v="4"/>
    <n v="6"/>
    <n v="49827.21"/>
    <n v="6382.02"/>
    <x v="18"/>
    <n v="41"/>
    <x v="2"/>
    <s v="Reembolsada"/>
    <n v="5"/>
  </r>
  <r>
    <s v="RES-100675"/>
    <x v="287"/>
    <d v="1899-12-30T13:45:00"/>
    <x v="3"/>
    <x v="0"/>
    <x v="0"/>
    <n v="6"/>
    <n v="62774.04"/>
    <n v="2118.44"/>
    <x v="1"/>
    <n v="30"/>
    <x v="0"/>
    <s v="Entregada"/>
    <n v="3"/>
  </r>
  <r>
    <s v="RES-100676"/>
    <x v="373"/>
    <d v="1899-12-30T14:52:00"/>
    <x v="0"/>
    <x v="1"/>
    <x v="1"/>
    <n v="3"/>
    <n v="60286.81"/>
    <n v="1386.12"/>
    <x v="10"/>
    <n v="24"/>
    <x v="1"/>
    <s v="Cancelada"/>
    <n v="3"/>
  </r>
  <r>
    <s v="RES-100677"/>
    <x v="236"/>
    <d v="1899-12-30T15:59:00"/>
    <x v="1"/>
    <x v="2"/>
    <x v="2"/>
    <n v="6"/>
    <n v="35764.379999999997"/>
    <n v="7940.34"/>
    <x v="10"/>
    <n v="36"/>
    <x v="2"/>
    <s v="Reembolsada"/>
    <n v="4"/>
  </r>
  <r>
    <s v="RES-100678"/>
    <x v="264"/>
    <d v="1899-12-30T16:06:00"/>
    <x v="2"/>
    <x v="0"/>
    <x v="3"/>
    <n v="2"/>
    <n v="67957.52"/>
    <n v="1126.98"/>
    <x v="10"/>
    <n v="25"/>
    <x v="0"/>
    <s v="Entregada"/>
    <n v="5"/>
  </r>
  <r>
    <s v="RES-100679"/>
    <x v="289"/>
    <d v="1899-12-30T17:13:00"/>
    <x v="3"/>
    <x v="1"/>
    <x v="4"/>
    <n v="6"/>
    <n v="58659.27"/>
    <n v="3137.4"/>
    <x v="12"/>
    <n v="48"/>
    <x v="1"/>
    <s v="Cancelada"/>
    <n v="5"/>
  </r>
  <r>
    <s v="RES-100680"/>
    <x v="290"/>
    <d v="1899-12-30T18:20:00"/>
    <x v="0"/>
    <x v="2"/>
    <x v="0"/>
    <n v="6"/>
    <n v="39659.83"/>
    <n v="4135.63"/>
    <x v="9"/>
    <n v="51"/>
    <x v="2"/>
    <s v="Reembolsada"/>
    <n v="3"/>
  </r>
  <r>
    <s v="RES-100681"/>
    <x v="291"/>
    <d v="1899-12-30T19:27:00"/>
    <x v="1"/>
    <x v="0"/>
    <x v="1"/>
    <n v="5"/>
    <n v="56839.67"/>
    <n v="1753.31"/>
    <x v="3"/>
    <n v="43"/>
    <x v="0"/>
    <s v="Entregada"/>
    <n v="4"/>
  </r>
  <r>
    <s v="RES-100682"/>
    <x v="292"/>
    <d v="1899-12-30T20:34:00"/>
    <x v="2"/>
    <x v="1"/>
    <x v="2"/>
    <n v="6"/>
    <n v="69021.77"/>
    <n v="1941.32"/>
    <x v="3"/>
    <n v="53"/>
    <x v="1"/>
    <s v="Cancelada"/>
    <n v="5"/>
  </r>
  <r>
    <s v="RES-100683"/>
    <x v="293"/>
    <d v="1899-12-30T21:41:00"/>
    <x v="3"/>
    <x v="2"/>
    <x v="3"/>
    <n v="6"/>
    <n v="56872.93"/>
    <n v="4190.88"/>
    <x v="3"/>
    <n v="31"/>
    <x v="2"/>
    <s v="Reembolsada"/>
    <n v="4"/>
  </r>
  <r>
    <s v="RES-100684"/>
    <x v="294"/>
    <d v="1899-12-30T10:48:00"/>
    <x v="0"/>
    <x v="0"/>
    <x v="4"/>
    <n v="2"/>
    <n v="38078.58"/>
    <n v="2964"/>
    <x v="17"/>
    <n v="48"/>
    <x v="0"/>
    <s v="Entregada"/>
    <n v="3"/>
  </r>
  <r>
    <s v="RES-100685"/>
    <x v="295"/>
    <d v="1899-12-30T11:55:00"/>
    <x v="1"/>
    <x v="1"/>
    <x v="0"/>
    <n v="5"/>
    <n v="69771.05"/>
    <n v="3057.7"/>
    <x v="9"/>
    <n v="29"/>
    <x v="1"/>
    <s v="Cancelada"/>
    <n v="5"/>
  </r>
  <r>
    <s v="RES-100686"/>
    <x v="296"/>
    <d v="1899-12-30T12:02:00"/>
    <x v="2"/>
    <x v="2"/>
    <x v="1"/>
    <n v="4"/>
    <n v="29830.560000000001"/>
    <n v="8456.5300000000007"/>
    <x v="15"/>
    <n v="38"/>
    <x v="2"/>
    <s v="Reembolsada"/>
    <n v="4"/>
  </r>
  <r>
    <s v="RES-100687"/>
    <x v="297"/>
    <d v="1899-12-30T13:09:00"/>
    <x v="3"/>
    <x v="0"/>
    <x v="2"/>
    <n v="4"/>
    <n v="31441.07"/>
    <n v="5262.71"/>
    <x v="12"/>
    <n v="46"/>
    <x v="0"/>
    <s v="Entregada"/>
    <n v="4"/>
  </r>
  <r>
    <s v="RES-100688"/>
    <x v="298"/>
    <d v="1899-12-30T14:16:00"/>
    <x v="0"/>
    <x v="1"/>
    <x v="3"/>
    <n v="2"/>
    <n v="45570.15"/>
    <n v="4526.26"/>
    <x v="10"/>
    <n v="53"/>
    <x v="1"/>
    <s v="Cancelada"/>
    <n v="4"/>
  </r>
  <r>
    <s v="RES-100689"/>
    <x v="299"/>
    <d v="1899-12-30T15:23:00"/>
    <x v="1"/>
    <x v="2"/>
    <x v="4"/>
    <n v="4"/>
    <n v="45384.06"/>
    <n v="5294.7"/>
    <x v="6"/>
    <n v="51"/>
    <x v="2"/>
    <s v="Reembolsada"/>
    <n v="3"/>
  </r>
  <r>
    <s v="RES-100690"/>
    <x v="300"/>
    <d v="1899-12-30T16:30:00"/>
    <x v="2"/>
    <x v="0"/>
    <x v="0"/>
    <n v="2"/>
    <n v="45223.22"/>
    <n v="2464.8200000000002"/>
    <x v="8"/>
    <n v="27"/>
    <x v="0"/>
    <s v="Entregada"/>
    <n v="3"/>
  </r>
  <r>
    <s v="RES-100691"/>
    <x v="301"/>
    <d v="1899-12-30T17:37:00"/>
    <x v="3"/>
    <x v="1"/>
    <x v="1"/>
    <n v="4"/>
    <n v="44123.57"/>
    <n v="4315.8999999999996"/>
    <x v="16"/>
    <n v="32"/>
    <x v="1"/>
    <s v="Cancelada"/>
    <n v="3"/>
  </r>
  <r>
    <s v="RES-100692"/>
    <x v="302"/>
    <d v="1899-12-30T18:44:00"/>
    <x v="0"/>
    <x v="2"/>
    <x v="2"/>
    <n v="3"/>
    <n v="68839.3"/>
    <n v="4452.7"/>
    <x v="17"/>
    <n v="53"/>
    <x v="2"/>
    <s v="Reembolsada"/>
    <n v="5"/>
  </r>
  <r>
    <s v="RES-100693"/>
    <x v="303"/>
    <d v="1899-12-30T19:51:00"/>
    <x v="1"/>
    <x v="0"/>
    <x v="3"/>
    <n v="4"/>
    <n v="40799.17"/>
    <n v="6580.04"/>
    <x v="1"/>
    <n v="49"/>
    <x v="0"/>
    <s v="Entregada"/>
    <n v="3"/>
  </r>
  <r>
    <s v="RES-100694"/>
    <x v="304"/>
    <d v="1899-12-30T20:58:00"/>
    <x v="2"/>
    <x v="1"/>
    <x v="4"/>
    <n v="5"/>
    <n v="44890.34"/>
    <n v="7077"/>
    <x v="9"/>
    <n v="28"/>
    <x v="1"/>
    <s v="Cancelada"/>
    <n v="5"/>
  </r>
  <r>
    <s v="RES-100695"/>
    <x v="305"/>
    <d v="1899-12-30T21:05:00"/>
    <x v="3"/>
    <x v="2"/>
    <x v="0"/>
    <n v="6"/>
    <n v="46053.96"/>
    <n v="8098.99"/>
    <x v="9"/>
    <n v="47"/>
    <x v="2"/>
    <s v="Reembolsada"/>
    <n v="4"/>
  </r>
  <r>
    <s v="RES-100696"/>
    <x v="306"/>
    <d v="1899-12-30T10:12:00"/>
    <x v="0"/>
    <x v="0"/>
    <x v="1"/>
    <n v="2"/>
    <n v="34877.17"/>
    <n v="5319.95"/>
    <x v="9"/>
    <n v="48"/>
    <x v="0"/>
    <s v="Entregada"/>
    <n v="5"/>
  </r>
  <r>
    <s v="RES-100697"/>
    <x v="307"/>
    <d v="1899-12-30T11:19:00"/>
    <x v="1"/>
    <x v="1"/>
    <x v="2"/>
    <n v="3"/>
    <n v="44367.31"/>
    <n v="7964.34"/>
    <x v="15"/>
    <n v="35"/>
    <x v="1"/>
    <s v="Cancelada"/>
    <n v="3"/>
  </r>
  <r>
    <s v="RES-100698"/>
    <x v="308"/>
    <d v="1899-12-30T12:26:00"/>
    <x v="2"/>
    <x v="2"/>
    <x v="3"/>
    <n v="3"/>
    <n v="69285.86"/>
    <n v="2312.5500000000002"/>
    <x v="12"/>
    <n v="35"/>
    <x v="2"/>
    <s v="Reembolsada"/>
    <n v="5"/>
  </r>
  <r>
    <s v="RES-100699"/>
    <x v="309"/>
    <d v="1899-12-30T13:33:00"/>
    <x v="3"/>
    <x v="0"/>
    <x v="4"/>
    <n v="2"/>
    <n v="64590.7"/>
    <n v="1848.11"/>
    <x v="13"/>
    <n v="47"/>
    <x v="0"/>
    <s v="Entregada"/>
    <n v="3"/>
  </r>
  <r>
    <s v="RES-100700"/>
    <x v="374"/>
    <d v="1899-12-30T14:40:00"/>
    <x v="0"/>
    <x v="1"/>
    <x v="0"/>
    <n v="5"/>
    <n v="51640.26"/>
    <n v="954.03"/>
    <x v="0"/>
    <n v="47"/>
    <x v="1"/>
    <s v="Cancelada"/>
    <n v="4"/>
  </r>
  <r>
    <s v="RES-100701"/>
    <x v="375"/>
    <d v="1899-12-30T15:47:00"/>
    <x v="1"/>
    <x v="2"/>
    <x v="1"/>
    <n v="3"/>
    <n v="40139.230000000003"/>
    <n v="4920.57"/>
    <x v="10"/>
    <n v="40"/>
    <x v="2"/>
    <s v="Reembolsada"/>
    <n v="3"/>
  </r>
  <r>
    <s v="RES-100702"/>
    <x v="312"/>
    <d v="1899-12-30T16:54:00"/>
    <x v="2"/>
    <x v="0"/>
    <x v="2"/>
    <n v="4"/>
    <n v="43719.79"/>
    <n v="1871.51"/>
    <x v="1"/>
    <n v="49"/>
    <x v="0"/>
    <s v="Entregada"/>
    <n v="4"/>
  </r>
  <r>
    <s v="RES-100703"/>
    <x v="376"/>
    <d v="1899-12-30T17:01:00"/>
    <x v="3"/>
    <x v="1"/>
    <x v="3"/>
    <n v="4"/>
    <n v="56406.54"/>
    <n v="7305.96"/>
    <x v="10"/>
    <n v="52"/>
    <x v="1"/>
    <s v="Cancelada"/>
    <n v="5"/>
  </r>
  <r>
    <s v="RES-100704"/>
    <x v="377"/>
    <d v="1899-12-30T18:08:00"/>
    <x v="0"/>
    <x v="2"/>
    <x v="4"/>
    <n v="6"/>
    <n v="45403.4"/>
    <n v="6084.9"/>
    <x v="15"/>
    <n v="51"/>
    <x v="2"/>
    <s v="Reembolsada"/>
    <n v="5"/>
  </r>
  <r>
    <s v="RES-100705"/>
    <x v="315"/>
    <d v="1899-12-30T19:15:00"/>
    <x v="1"/>
    <x v="0"/>
    <x v="0"/>
    <n v="3"/>
    <n v="69313.91"/>
    <n v="1061.95"/>
    <x v="14"/>
    <n v="27"/>
    <x v="0"/>
    <s v="Entregada"/>
    <n v="4"/>
  </r>
  <r>
    <s v="RES-100706"/>
    <x v="378"/>
    <d v="1899-12-30T20:22:00"/>
    <x v="2"/>
    <x v="1"/>
    <x v="1"/>
    <n v="3"/>
    <n v="34399.14"/>
    <n v="6491.05"/>
    <x v="2"/>
    <n v="43"/>
    <x v="1"/>
    <s v="Cancelada"/>
    <n v="5"/>
  </r>
  <r>
    <s v="RES-100707"/>
    <x v="379"/>
    <d v="1899-12-30T21:29:00"/>
    <x v="3"/>
    <x v="2"/>
    <x v="2"/>
    <n v="2"/>
    <n v="69271.429999999993"/>
    <n v="818.31"/>
    <x v="5"/>
    <n v="35"/>
    <x v="2"/>
    <s v="Reembolsada"/>
    <n v="5"/>
  </r>
  <r>
    <s v="RES-100708"/>
    <x v="318"/>
    <d v="1899-12-30T10:36:00"/>
    <x v="0"/>
    <x v="0"/>
    <x v="3"/>
    <n v="4"/>
    <n v="56283.07"/>
    <n v="7093.84"/>
    <x v="3"/>
    <n v="44"/>
    <x v="0"/>
    <s v="Entregada"/>
    <n v="5"/>
  </r>
  <r>
    <s v="RES-100709"/>
    <x v="380"/>
    <d v="1899-12-30T11:43:00"/>
    <x v="1"/>
    <x v="1"/>
    <x v="4"/>
    <n v="5"/>
    <n v="27857"/>
    <n v="863.14"/>
    <x v="2"/>
    <n v="48"/>
    <x v="1"/>
    <s v="Cancelada"/>
    <n v="3"/>
  </r>
  <r>
    <s v="RES-100710"/>
    <x v="381"/>
    <d v="1899-12-30T12:50:00"/>
    <x v="2"/>
    <x v="2"/>
    <x v="0"/>
    <n v="5"/>
    <n v="44539.42"/>
    <n v="2935.59"/>
    <x v="8"/>
    <n v="35"/>
    <x v="2"/>
    <s v="Reembolsada"/>
    <n v="4"/>
  </r>
  <r>
    <s v="RES-100711"/>
    <x v="321"/>
    <d v="1899-12-30T13:57:00"/>
    <x v="3"/>
    <x v="0"/>
    <x v="1"/>
    <n v="3"/>
    <n v="45396.08"/>
    <n v="1741.96"/>
    <x v="13"/>
    <n v="26"/>
    <x v="0"/>
    <s v="Entregada"/>
    <n v="3"/>
  </r>
  <r>
    <s v="RES-100712"/>
    <x v="322"/>
    <d v="1899-12-30T14:04:00"/>
    <x v="0"/>
    <x v="1"/>
    <x v="2"/>
    <n v="3"/>
    <n v="58819.17"/>
    <n v="6105.14"/>
    <x v="6"/>
    <n v="52"/>
    <x v="1"/>
    <s v="Cancelada"/>
    <n v="4"/>
  </r>
  <r>
    <s v="RES-100713"/>
    <x v="323"/>
    <d v="1899-12-30T15:11:00"/>
    <x v="1"/>
    <x v="2"/>
    <x v="3"/>
    <n v="6"/>
    <n v="63875.68"/>
    <n v="3808.16"/>
    <x v="13"/>
    <n v="26"/>
    <x v="2"/>
    <s v="Reembolsada"/>
    <n v="3"/>
  </r>
  <r>
    <s v="RES-100714"/>
    <x v="324"/>
    <d v="1899-12-30T16:18:00"/>
    <x v="2"/>
    <x v="0"/>
    <x v="4"/>
    <n v="4"/>
    <n v="68394.559999999998"/>
    <n v="5352.58"/>
    <x v="8"/>
    <n v="33"/>
    <x v="0"/>
    <s v="Entregada"/>
    <n v="4"/>
  </r>
  <r>
    <s v="RES-100715"/>
    <x v="325"/>
    <d v="1899-12-30T17:25:00"/>
    <x v="3"/>
    <x v="1"/>
    <x v="0"/>
    <n v="4"/>
    <n v="46019.1"/>
    <n v="3706.24"/>
    <x v="17"/>
    <n v="45"/>
    <x v="1"/>
    <s v="Cancelada"/>
    <n v="4"/>
  </r>
  <r>
    <s v="RES-100716"/>
    <x v="326"/>
    <d v="1899-12-30T18:32:00"/>
    <x v="0"/>
    <x v="2"/>
    <x v="1"/>
    <n v="2"/>
    <n v="38817.67"/>
    <n v="806.58"/>
    <x v="4"/>
    <n v="52"/>
    <x v="2"/>
    <s v="Reembolsada"/>
    <n v="4"/>
  </r>
  <r>
    <s v="RES-100717"/>
    <x v="327"/>
    <d v="1899-12-30T19:39:00"/>
    <x v="1"/>
    <x v="0"/>
    <x v="2"/>
    <n v="3"/>
    <n v="36811.86"/>
    <n v="8363.92"/>
    <x v="6"/>
    <n v="26"/>
    <x v="0"/>
    <s v="Entregada"/>
    <n v="4"/>
  </r>
  <r>
    <s v="RES-100718"/>
    <x v="328"/>
    <d v="1899-12-30T20:46:00"/>
    <x v="2"/>
    <x v="1"/>
    <x v="3"/>
    <n v="4"/>
    <n v="53929.25"/>
    <n v="3547.38"/>
    <x v="14"/>
    <n v="51"/>
    <x v="1"/>
    <s v="Cancelada"/>
    <n v="4"/>
  </r>
  <r>
    <s v="RES-100719"/>
    <x v="329"/>
    <d v="1899-12-30T21:53:00"/>
    <x v="3"/>
    <x v="2"/>
    <x v="4"/>
    <n v="3"/>
    <n v="33683.53"/>
    <n v="2596.27"/>
    <x v="16"/>
    <n v="40"/>
    <x v="2"/>
    <s v="Reembolsada"/>
    <n v="5"/>
  </r>
  <r>
    <s v="RES-100720"/>
    <x v="330"/>
    <d v="1899-12-30T10:00:00"/>
    <x v="0"/>
    <x v="0"/>
    <x v="0"/>
    <n v="4"/>
    <n v="52346.95"/>
    <n v="7135.86"/>
    <x v="13"/>
    <n v="31"/>
    <x v="0"/>
    <s v="Entregada"/>
    <n v="3"/>
  </r>
  <r>
    <s v="RES-100721"/>
    <x v="331"/>
    <d v="1899-12-30T11:07:00"/>
    <x v="1"/>
    <x v="1"/>
    <x v="1"/>
    <n v="2"/>
    <n v="32709.54"/>
    <n v="5995.43"/>
    <x v="18"/>
    <n v="50"/>
    <x v="1"/>
    <s v="Cancelada"/>
    <n v="5"/>
  </r>
  <r>
    <s v="RES-100722"/>
    <x v="332"/>
    <d v="1899-12-30T12:14:00"/>
    <x v="2"/>
    <x v="2"/>
    <x v="2"/>
    <n v="4"/>
    <n v="52526.48"/>
    <n v="1089.45"/>
    <x v="1"/>
    <n v="46"/>
    <x v="2"/>
    <s v="Reembolsada"/>
    <n v="3"/>
  </r>
  <r>
    <s v="RES-100723"/>
    <x v="333"/>
    <d v="1899-12-30T13:21:00"/>
    <x v="3"/>
    <x v="0"/>
    <x v="3"/>
    <n v="3"/>
    <n v="28817.18"/>
    <n v="2126.8200000000002"/>
    <x v="12"/>
    <n v="29"/>
    <x v="0"/>
    <s v="Entregada"/>
    <n v="3"/>
  </r>
  <r>
    <s v="RES-100724"/>
    <x v="334"/>
    <d v="1899-12-30T14:28:00"/>
    <x v="0"/>
    <x v="1"/>
    <x v="4"/>
    <n v="6"/>
    <n v="65639.59"/>
    <n v="5886.37"/>
    <x v="14"/>
    <n v="39"/>
    <x v="1"/>
    <s v="Cancelada"/>
    <n v="5"/>
  </r>
  <r>
    <s v="RES-100725"/>
    <x v="335"/>
    <d v="1899-12-30T15:35:00"/>
    <x v="1"/>
    <x v="2"/>
    <x v="0"/>
    <n v="6"/>
    <n v="28028.5"/>
    <n v="2558.89"/>
    <x v="14"/>
    <n v="23"/>
    <x v="2"/>
    <s v="Reembolsada"/>
    <n v="4"/>
  </r>
  <r>
    <s v="RES-100726"/>
    <x v="336"/>
    <d v="1899-12-30T16:42:00"/>
    <x v="2"/>
    <x v="0"/>
    <x v="1"/>
    <n v="4"/>
    <n v="65668.899999999994"/>
    <n v="5923.46"/>
    <x v="10"/>
    <n v="53"/>
    <x v="0"/>
    <s v="Entregada"/>
    <n v="3"/>
  </r>
  <r>
    <s v="RES-100727"/>
    <x v="337"/>
    <d v="1899-12-30T17:49:00"/>
    <x v="3"/>
    <x v="1"/>
    <x v="2"/>
    <n v="4"/>
    <n v="35863.040000000001"/>
    <n v="698.08"/>
    <x v="9"/>
    <n v="41"/>
    <x v="1"/>
    <s v="Cancelada"/>
    <n v="4"/>
  </r>
  <r>
    <s v="RES-100728"/>
    <x v="338"/>
    <d v="1899-12-30T18:56:00"/>
    <x v="0"/>
    <x v="2"/>
    <x v="3"/>
    <n v="3"/>
    <n v="54258.64"/>
    <n v="5443.09"/>
    <x v="5"/>
    <n v="38"/>
    <x v="2"/>
    <s v="Reembolsada"/>
    <n v="5"/>
  </r>
  <r>
    <s v="RES-100729"/>
    <x v="339"/>
    <d v="1899-12-30T19:03:00"/>
    <x v="1"/>
    <x v="0"/>
    <x v="4"/>
    <n v="3"/>
    <n v="49542.85"/>
    <n v="3040"/>
    <x v="11"/>
    <n v="34"/>
    <x v="0"/>
    <s v="Entregada"/>
    <n v="4"/>
  </r>
  <r>
    <s v="RES-100730"/>
    <x v="0"/>
    <d v="1899-12-30T20:10:00"/>
    <x v="2"/>
    <x v="1"/>
    <x v="0"/>
    <n v="2"/>
    <n v="57345.62"/>
    <n v="4577.1499999999996"/>
    <x v="8"/>
    <n v="53"/>
    <x v="1"/>
    <s v="Cancelada"/>
    <n v="4"/>
  </r>
  <r>
    <s v="RES-100731"/>
    <x v="1"/>
    <d v="1899-12-30T21:17:00"/>
    <x v="3"/>
    <x v="2"/>
    <x v="1"/>
    <n v="2"/>
    <n v="66343.199999999997"/>
    <n v="8381.64"/>
    <x v="3"/>
    <n v="27"/>
    <x v="2"/>
    <s v="Reembolsada"/>
    <n v="3"/>
  </r>
  <r>
    <s v="RES-100732"/>
    <x v="29"/>
    <d v="1899-12-30T10:24:00"/>
    <x v="0"/>
    <x v="0"/>
    <x v="2"/>
    <n v="6"/>
    <n v="56700.68"/>
    <n v="6415.72"/>
    <x v="12"/>
    <n v="38"/>
    <x v="0"/>
    <s v="Entregada"/>
    <n v="3"/>
  </r>
  <r>
    <s v="RES-100733"/>
    <x v="3"/>
    <d v="1899-12-30T11:31:00"/>
    <x v="1"/>
    <x v="1"/>
    <x v="3"/>
    <n v="4"/>
    <n v="30415.599999999999"/>
    <n v="4114.83"/>
    <x v="3"/>
    <n v="46"/>
    <x v="1"/>
    <s v="Cancelada"/>
    <n v="3"/>
  </r>
  <r>
    <s v="RES-100734"/>
    <x v="90"/>
    <d v="1899-12-30T12:38:00"/>
    <x v="2"/>
    <x v="2"/>
    <x v="4"/>
    <n v="6"/>
    <n v="43337.17"/>
    <n v="2740.36"/>
    <x v="6"/>
    <n v="45"/>
    <x v="2"/>
    <s v="Reembolsada"/>
    <n v="5"/>
  </r>
  <r>
    <s v="RES-100735"/>
    <x v="341"/>
    <d v="1899-12-30T13:45:00"/>
    <x v="3"/>
    <x v="0"/>
    <x v="0"/>
    <n v="2"/>
    <n v="32645.49"/>
    <n v="1250.03"/>
    <x v="2"/>
    <n v="27"/>
    <x v="0"/>
    <s v="Entregada"/>
    <n v="4"/>
  </r>
  <r>
    <s v="RES-100736"/>
    <x v="6"/>
    <d v="1899-12-30T14:52:00"/>
    <x v="0"/>
    <x v="1"/>
    <x v="1"/>
    <n v="2"/>
    <n v="39321.81"/>
    <n v="5513.91"/>
    <x v="1"/>
    <n v="28"/>
    <x v="1"/>
    <s v="Cancelada"/>
    <n v="5"/>
  </r>
  <r>
    <s v="RES-100737"/>
    <x v="362"/>
    <d v="1899-12-30T15:59:00"/>
    <x v="1"/>
    <x v="2"/>
    <x v="2"/>
    <n v="5"/>
    <n v="36418.01"/>
    <n v="5980.91"/>
    <x v="3"/>
    <n v="39"/>
    <x v="2"/>
    <s v="Reembolsada"/>
    <n v="3"/>
  </r>
  <r>
    <s v="RES-100738"/>
    <x v="342"/>
    <d v="1899-12-30T16:06:00"/>
    <x v="2"/>
    <x v="0"/>
    <x v="3"/>
    <n v="3"/>
    <n v="27316.44"/>
    <n v="1229.5999999999999"/>
    <x v="4"/>
    <n v="28"/>
    <x v="0"/>
    <s v="Entregada"/>
    <n v="5"/>
  </r>
  <r>
    <s v="RES-100739"/>
    <x v="9"/>
    <d v="1899-12-30T17:13:00"/>
    <x v="3"/>
    <x v="1"/>
    <x v="4"/>
    <n v="6"/>
    <n v="66040.31"/>
    <n v="809.35"/>
    <x v="12"/>
    <n v="50"/>
    <x v="1"/>
    <s v="Cancelada"/>
    <n v="5"/>
  </r>
  <r>
    <s v="RES-100740"/>
    <x v="257"/>
    <d v="1899-12-30T18:20:00"/>
    <x v="0"/>
    <x v="2"/>
    <x v="0"/>
    <n v="6"/>
    <n v="46479.82"/>
    <n v="4220.6099999999997"/>
    <x v="17"/>
    <n v="42"/>
    <x v="2"/>
    <s v="Reembolsada"/>
    <n v="5"/>
  </r>
  <r>
    <s v="RES-100741"/>
    <x v="343"/>
    <d v="1899-12-30T19:27:00"/>
    <x v="1"/>
    <x v="0"/>
    <x v="1"/>
    <n v="5"/>
    <n v="40871.949999999997"/>
    <n v="6472.46"/>
    <x v="0"/>
    <n v="38"/>
    <x v="0"/>
    <s v="Entregada"/>
    <n v="5"/>
  </r>
  <r>
    <s v="RES-100742"/>
    <x v="12"/>
    <d v="1899-12-30T20:34:00"/>
    <x v="2"/>
    <x v="1"/>
    <x v="2"/>
    <n v="2"/>
    <n v="60089.15"/>
    <n v="6407.81"/>
    <x v="9"/>
    <n v="45"/>
    <x v="1"/>
    <s v="Cancelada"/>
    <n v="5"/>
  </r>
  <r>
    <s v="RES-100743"/>
    <x v="13"/>
    <d v="1899-12-30T21:41:00"/>
    <x v="3"/>
    <x v="2"/>
    <x v="3"/>
    <n v="4"/>
    <n v="59389.67"/>
    <n v="1817.32"/>
    <x v="17"/>
    <n v="49"/>
    <x v="2"/>
    <s v="Reembolsada"/>
    <n v="4"/>
  </r>
  <r>
    <s v="RES-100744"/>
    <x v="14"/>
    <d v="1899-12-30T10:48:00"/>
    <x v="0"/>
    <x v="0"/>
    <x v="4"/>
    <n v="6"/>
    <n v="65107.14"/>
    <n v="5745.56"/>
    <x v="1"/>
    <n v="33"/>
    <x v="0"/>
    <s v="Entregada"/>
    <n v="3"/>
  </r>
  <r>
    <s v="RES-100745"/>
    <x v="15"/>
    <d v="1899-12-30T11:55:00"/>
    <x v="1"/>
    <x v="1"/>
    <x v="0"/>
    <n v="4"/>
    <n v="64513.97"/>
    <n v="1373.91"/>
    <x v="7"/>
    <n v="44"/>
    <x v="1"/>
    <s v="Cancelada"/>
    <n v="5"/>
  </r>
  <r>
    <s v="RES-100746"/>
    <x v="16"/>
    <d v="1899-12-30T12:02:00"/>
    <x v="2"/>
    <x v="2"/>
    <x v="1"/>
    <n v="5"/>
    <n v="64045.06"/>
    <n v="5771.13"/>
    <x v="4"/>
    <n v="46"/>
    <x v="2"/>
    <s v="Reembolsada"/>
    <n v="5"/>
  </r>
  <r>
    <s v="RES-100747"/>
    <x v="17"/>
    <d v="1899-12-30T13:09:00"/>
    <x v="3"/>
    <x v="0"/>
    <x v="2"/>
    <n v="5"/>
    <n v="42040.24"/>
    <n v="7193.89"/>
    <x v="17"/>
    <n v="34"/>
    <x v="0"/>
    <s v="Entregada"/>
    <n v="3"/>
  </r>
  <r>
    <s v="RES-100748"/>
    <x v="18"/>
    <d v="1899-12-30T14:16:00"/>
    <x v="0"/>
    <x v="1"/>
    <x v="3"/>
    <n v="4"/>
    <n v="50561.52"/>
    <n v="5857.06"/>
    <x v="15"/>
    <n v="25"/>
    <x v="1"/>
    <s v="Cancelada"/>
    <n v="5"/>
  </r>
  <r>
    <s v="RES-100749"/>
    <x v="19"/>
    <d v="1899-12-30T15:23:00"/>
    <x v="1"/>
    <x v="2"/>
    <x v="4"/>
    <n v="6"/>
    <n v="45410.59"/>
    <n v="3988.33"/>
    <x v="5"/>
    <n v="28"/>
    <x v="2"/>
    <s v="Reembolsada"/>
    <n v="4"/>
  </r>
  <r>
    <s v="RES-100750"/>
    <x v="20"/>
    <d v="1899-12-30T16:30:00"/>
    <x v="2"/>
    <x v="0"/>
    <x v="0"/>
    <n v="2"/>
    <n v="67873.23"/>
    <n v="5494.82"/>
    <x v="17"/>
    <n v="33"/>
    <x v="0"/>
    <s v="Entregada"/>
    <n v="4"/>
  </r>
  <r>
    <s v="RES-100751"/>
    <x v="21"/>
    <d v="1899-12-30T17:37:00"/>
    <x v="3"/>
    <x v="1"/>
    <x v="1"/>
    <n v="6"/>
    <n v="59230.75"/>
    <n v="7187.72"/>
    <x v="6"/>
    <n v="33"/>
    <x v="1"/>
    <s v="Cancelada"/>
    <n v="5"/>
  </r>
  <r>
    <s v="RES-100752"/>
    <x v="22"/>
    <d v="1899-12-30T18:44:00"/>
    <x v="0"/>
    <x v="2"/>
    <x v="2"/>
    <n v="3"/>
    <n v="27604.79"/>
    <n v="6733.2"/>
    <x v="15"/>
    <n v="47"/>
    <x v="2"/>
    <s v="Reembolsada"/>
    <n v="3"/>
  </r>
  <r>
    <s v="RES-100753"/>
    <x v="23"/>
    <d v="1899-12-30T19:51:00"/>
    <x v="1"/>
    <x v="0"/>
    <x v="3"/>
    <n v="2"/>
    <n v="39351.65"/>
    <n v="5696.3"/>
    <x v="12"/>
    <n v="27"/>
    <x v="0"/>
    <s v="Entregada"/>
    <n v="4"/>
  </r>
  <r>
    <s v="RES-100754"/>
    <x v="24"/>
    <d v="1899-12-30T20:58:00"/>
    <x v="2"/>
    <x v="1"/>
    <x v="4"/>
    <n v="3"/>
    <n v="30926.21"/>
    <n v="3876.81"/>
    <x v="14"/>
    <n v="42"/>
    <x v="1"/>
    <s v="Cancelada"/>
    <n v="3"/>
  </r>
  <r>
    <s v="RES-100755"/>
    <x v="25"/>
    <d v="1899-12-30T21:05:00"/>
    <x v="3"/>
    <x v="2"/>
    <x v="0"/>
    <n v="2"/>
    <n v="50601.85"/>
    <n v="4040.85"/>
    <x v="5"/>
    <n v="30"/>
    <x v="2"/>
    <s v="Reembolsada"/>
    <n v="5"/>
  </r>
  <r>
    <s v="RES-100756"/>
    <x v="26"/>
    <d v="1899-12-30T10:12:00"/>
    <x v="0"/>
    <x v="0"/>
    <x v="1"/>
    <n v="3"/>
    <n v="31201.42"/>
    <n v="3947.16"/>
    <x v="1"/>
    <n v="48"/>
    <x v="0"/>
    <s v="Entregada"/>
    <n v="4"/>
  </r>
  <r>
    <s v="RES-100757"/>
    <x v="27"/>
    <d v="1899-12-30T11:19:00"/>
    <x v="1"/>
    <x v="1"/>
    <x v="2"/>
    <n v="4"/>
    <n v="38174.01"/>
    <n v="5458.17"/>
    <x v="15"/>
    <n v="35"/>
    <x v="1"/>
    <s v="Cancelada"/>
    <n v="5"/>
  </r>
  <r>
    <s v="RES-100758"/>
    <x v="382"/>
    <d v="1899-12-30T12:26:00"/>
    <x v="2"/>
    <x v="2"/>
    <x v="3"/>
    <n v="4"/>
    <n v="51946.93"/>
    <n v="4940.74"/>
    <x v="14"/>
    <n v="53"/>
    <x v="2"/>
    <s v="Reembolsada"/>
    <n v="5"/>
  </r>
  <r>
    <s v="RES-100759"/>
    <x v="2"/>
    <d v="1899-12-30T13:33:00"/>
    <x v="3"/>
    <x v="0"/>
    <x v="4"/>
    <n v="3"/>
    <n v="62629.19"/>
    <n v="4377.46"/>
    <x v="9"/>
    <n v="49"/>
    <x v="0"/>
    <s v="Entregada"/>
    <n v="5"/>
  </r>
  <r>
    <s v="RES-100760"/>
    <x v="30"/>
    <d v="1899-12-30T14:40:00"/>
    <x v="0"/>
    <x v="1"/>
    <x v="0"/>
    <n v="3"/>
    <n v="52888.02"/>
    <n v="4090.19"/>
    <x v="1"/>
    <n v="51"/>
    <x v="1"/>
    <s v="Cancelada"/>
    <n v="5"/>
  </r>
  <r>
    <s v="RES-100761"/>
    <x v="61"/>
    <d v="1899-12-30T15:47:00"/>
    <x v="1"/>
    <x v="2"/>
    <x v="1"/>
    <n v="4"/>
    <n v="66254.320000000007"/>
    <n v="7658.66"/>
    <x v="5"/>
    <n v="42"/>
    <x v="2"/>
    <s v="Reembolsada"/>
    <n v="5"/>
  </r>
  <r>
    <s v="RES-100762"/>
    <x v="344"/>
    <d v="1899-12-30T16:54:00"/>
    <x v="2"/>
    <x v="0"/>
    <x v="2"/>
    <n v="5"/>
    <n v="33857.019999999997"/>
    <n v="4188.43"/>
    <x v="10"/>
    <n v="43"/>
    <x v="0"/>
    <s v="Entregada"/>
    <n v="5"/>
  </r>
  <r>
    <s v="RES-100763"/>
    <x v="33"/>
    <d v="1899-12-30T17:01:00"/>
    <x v="3"/>
    <x v="1"/>
    <x v="3"/>
    <n v="3"/>
    <n v="49886.080000000002"/>
    <n v="2590.2600000000002"/>
    <x v="11"/>
    <n v="52"/>
    <x v="1"/>
    <s v="Cancelada"/>
    <n v="3"/>
  </r>
  <r>
    <s v="RES-100764"/>
    <x v="359"/>
    <d v="1899-12-30T18:08:00"/>
    <x v="0"/>
    <x v="2"/>
    <x v="4"/>
    <n v="4"/>
    <n v="47545.91"/>
    <n v="1567.5"/>
    <x v="15"/>
    <n v="34"/>
    <x v="2"/>
    <s v="Reembolsada"/>
    <n v="5"/>
  </r>
  <r>
    <s v="RES-100765"/>
    <x v="346"/>
    <d v="1899-12-30T19:15:00"/>
    <x v="1"/>
    <x v="0"/>
    <x v="0"/>
    <n v="4"/>
    <n v="62425.49"/>
    <n v="7338.14"/>
    <x v="10"/>
    <n v="47"/>
    <x v="0"/>
    <s v="Entregada"/>
    <n v="5"/>
  </r>
  <r>
    <s v="RES-100766"/>
    <x v="36"/>
    <d v="1899-12-30T20:22:00"/>
    <x v="2"/>
    <x v="1"/>
    <x v="1"/>
    <n v="6"/>
    <n v="41124.78"/>
    <n v="6755.55"/>
    <x v="9"/>
    <n v="31"/>
    <x v="1"/>
    <s v="Cancelada"/>
    <n v="5"/>
  </r>
  <r>
    <s v="RES-100767"/>
    <x v="230"/>
    <d v="1899-12-30T21:29:00"/>
    <x v="3"/>
    <x v="2"/>
    <x v="2"/>
    <n v="5"/>
    <n v="26473.75"/>
    <n v="5452.92"/>
    <x v="5"/>
    <n v="39"/>
    <x v="2"/>
    <s v="Reembolsada"/>
    <n v="5"/>
  </r>
  <r>
    <s v="RES-100768"/>
    <x v="258"/>
    <d v="1899-12-30T10:36:00"/>
    <x v="0"/>
    <x v="0"/>
    <x v="3"/>
    <n v="4"/>
    <n v="69559.429999999993"/>
    <n v="5751.14"/>
    <x v="15"/>
    <n v="34"/>
    <x v="0"/>
    <s v="Entregada"/>
    <n v="3"/>
  </r>
  <r>
    <s v="RES-100769"/>
    <x v="39"/>
    <d v="1899-12-30T11:43:00"/>
    <x v="1"/>
    <x v="1"/>
    <x v="4"/>
    <n v="2"/>
    <n v="44245"/>
    <n v="2795.58"/>
    <x v="5"/>
    <n v="25"/>
    <x v="1"/>
    <s v="Cancelada"/>
    <n v="4"/>
  </r>
  <r>
    <s v="RES-100770"/>
    <x v="40"/>
    <d v="1899-12-30T12:50:00"/>
    <x v="2"/>
    <x v="2"/>
    <x v="0"/>
    <n v="3"/>
    <n v="58847.360000000001"/>
    <n v="5703.07"/>
    <x v="17"/>
    <n v="37"/>
    <x v="2"/>
    <s v="Reembolsada"/>
    <n v="5"/>
  </r>
  <r>
    <s v="RES-100771"/>
    <x v="41"/>
    <d v="1899-12-30T13:57:00"/>
    <x v="3"/>
    <x v="0"/>
    <x v="1"/>
    <n v="2"/>
    <n v="48118.29"/>
    <n v="8103.87"/>
    <x v="4"/>
    <n v="38"/>
    <x v="0"/>
    <s v="Entregada"/>
    <n v="3"/>
  </r>
  <r>
    <s v="RES-100772"/>
    <x v="42"/>
    <d v="1899-12-30T14:04:00"/>
    <x v="0"/>
    <x v="1"/>
    <x v="2"/>
    <n v="5"/>
    <n v="42166.97"/>
    <n v="8106.02"/>
    <x v="6"/>
    <n v="47"/>
    <x v="1"/>
    <s v="Cancelada"/>
    <n v="3"/>
  </r>
  <r>
    <s v="RES-100773"/>
    <x v="43"/>
    <d v="1899-12-30T15:11:00"/>
    <x v="1"/>
    <x v="2"/>
    <x v="3"/>
    <n v="5"/>
    <n v="69027.100000000006"/>
    <n v="7491.83"/>
    <x v="8"/>
    <n v="23"/>
    <x v="2"/>
    <s v="Reembolsada"/>
    <n v="5"/>
  </r>
  <r>
    <s v="RES-100774"/>
    <x v="44"/>
    <d v="1899-12-30T16:18:00"/>
    <x v="2"/>
    <x v="0"/>
    <x v="4"/>
    <n v="5"/>
    <n v="41305.39"/>
    <n v="4362.6499999999996"/>
    <x v="3"/>
    <n v="25"/>
    <x v="0"/>
    <s v="Entregada"/>
    <n v="3"/>
  </r>
  <r>
    <s v="RES-100775"/>
    <x v="45"/>
    <d v="1899-12-30T17:25:00"/>
    <x v="3"/>
    <x v="1"/>
    <x v="0"/>
    <n v="4"/>
    <n v="69755.97"/>
    <n v="7048.06"/>
    <x v="9"/>
    <n v="40"/>
    <x v="1"/>
    <s v="Cancelada"/>
    <n v="3"/>
  </r>
  <r>
    <s v="RES-100776"/>
    <x v="46"/>
    <d v="1899-12-30T18:32:00"/>
    <x v="0"/>
    <x v="2"/>
    <x v="1"/>
    <n v="2"/>
    <n v="42792.79"/>
    <n v="6732.02"/>
    <x v="3"/>
    <n v="25"/>
    <x v="2"/>
    <s v="Reembolsada"/>
    <n v="4"/>
  </r>
  <r>
    <s v="RES-100777"/>
    <x v="47"/>
    <d v="1899-12-30T19:39:00"/>
    <x v="1"/>
    <x v="0"/>
    <x v="2"/>
    <n v="4"/>
    <n v="48038.55"/>
    <n v="3640.99"/>
    <x v="1"/>
    <n v="53"/>
    <x v="0"/>
    <s v="Entregada"/>
    <n v="5"/>
  </r>
  <r>
    <s v="RES-100778"/>
    <x v="48"/>
    <d v="1899-12-30T20:46:00"/>
    <x v="2"/>
    <x v="1"/>
    <x v="3"/>
    <n v="4"/>
    <n v="39473.47"/>
    <n v="1664.82"/>
    <x v="8"/>
    <s v="162.4"/>
    <x v="1"/>
    <s v="Cancelada"/>
    <n v="4"/>
  </r>
  <r>
    <s v="RES-100779"/>
    <x v="49"/>
    <d v="1899-12-30T21:53:00"/>
    <x v="3"/>
    <x v="2"/>
    <x v="4"/>
    <n v="5"/>
    <n v="27021.51"/>
    <n v="7866.08"/>
    <x v="7"/>
    <n v="52"/>
    <x v="2"/>
    <s v="Reembolsada"/>
    <n v="5"/>
  </r>
  <r>
    <s v="RES-100780"/>
    <x v="50"/>
    <d v="1899-12-30T10:00:00"/>
    <x v="0"/>
    <x v="0"/>
    <x v="0"/>
    <n v="4"/>
    <n v="54395.48"/>
    <n v="5435.09"/>
    <x v="5"/>
    <n v="40"/>
    <x v="0"/>
    <s v="Entregada"/>
    <n v="3"/>
  </r>
  <r>
    <s v="RES-100781"/>
    <x v="51"/>
    <d v="1899-12-30T11:07:00"/>
    <x v="1"/>
    <x v="1"/>
    <x v="1"/>
    <n v="3"/>
    <n v="42756.51"/>
    <n v="4828.1400000000003"/>
    <x v="5"/>
    <n v="33"/>
    <x v="1"/>
    <s v="Cancelada"/>
    <n v="5"/>
  </r>
  <r>
    <s v="RES-100782"/>
    <x v="52"/>
    <d v="1899-12-30T12:14:00"/>
    <x v="2"/>
    <x v="2"/>
    <x v="2"/>
    <n v="3"/>
    <n v="47364.34"/>
    <n v="5208.66"/>
    <x v="1"/>
    <n v="34"/>
    <x v="2"/>
    <s v="Reembolsada"/>
    <n v="3"/>
  </r>
  <r>
    <s v="RES-100783"/>
    <x v="53"/>
    <d v="1899-12-30T13:21:00"/>
    <x v="3"/>
    <x v="0"/>
    <x v="3"/>
    <n v="2"/>
    <n v="51092.33"/>
    <n v="7917.95"/>
    <x v="16"/>
    <n v="31"/>
    <x v="0"/>
    <s v="Entregada"/>
    <n v="5"/>
  </r>
  <r>
    <s v="RES-100784"/>
    <x v="54"/>
    <d v="1899-12-30T14:28:00"/>
    <x v="0"/>
    <x v="1"/>
    <x v="4"/>
    <n v="5"/>
    <n v="68531.210000000006"/>
    <n v="6096.27"/>
    <x v="17"/>
    <n v="48"/>
    <x v="1"/>
    <s v="Cancelada"/>
    <n v="3"/>
  </r>
  <r>
    <s v="RES-100785"/>
    <x v="55"/>
    <d v="1899-12-30T15:35:00"/>
    <x v="1"/>
    <x v="2"/>
    <x v="0"/>
    <n v="5"/>
    <n v="50945.16"/>
    <n v="2096.89"/>
    <x v="8"/>
    <n v="53"/>
    <x v="2"/>
    <s v="Reembolsada"/>
    <n v="5"/>
  </r>
  <r>
    <s v="RES-100786"/>
    <x v="56"/>
    <d v="1899-12-30T16:42:00"/>
    <x v="2"/>
    <x v="0"/>
    <x v="1"/>
    <n v="6"/>
    <n v="59818.9"/>
    <n v="5071.83"/>
    <x v="12"/>
    <n v="39"/>
    <x v="0"/>
    <s v="Entregada"/>
    <n v="3"/>
  </r>
  <r>
    <s v="RES-100787"/>
    <x v="57"/>
    <d v="1899-12-30T17:49:00"/>
    <x v="3"/>
    <x v="1"/>
    <x v="2"/>
    <n v="6"/>
    <n v="45137.18"/>
    <n v="1273.8800000000001"/>
    <x v="17"/>
    <n v="35"/>
    <x v="1"/>
    <s v="Cancelada"/>
    <n v="5"/>
  </r>
  <r>
    <s v="RES-100788"/>
    <x v="58"/>
    <d v="1899-12-30T18:56:00"/>
    <x v="0"/>
    <x v="2"/>
    <x v="3"/>
    <n v="5"/>
    <n v="40532.44"/>
    <n v="3227.74"/>
    <x v="14"/>
    <n v="37"/>
    <x v="2"/>
    <s v="Reembolsada"/>
    <n v="4"/>
  </r>
  <r>
    <s v="RES-100789"/>
    <x v="348"/>
    <d v="1899-12-30T19:03:00"/>
    <x v="1"/>
    <x v="0"/>
    <x v="4"/>
    <n v="5"/>
    <n v="40756.97"/>
    <n v="8157.65"/>
    <x v="15"/>
    <n v="33"/>
    <x v="0"/>
    <s v="Entregada"/>
    <n v="5"/>
  </r>
  <r>
    <s v="RES-100790"/>
    <x v="60"/>
    <d v="1899-12-30T20:10:00"/>
    <x v="2"/>
    <x v="1"/>
    <x v="0"/>
    <n v="3"/>
    <n v="28427.91"/>
    <n v="1534.49"/>
    <x v="17"/>
    <n v="43"/>
    <x v="1"/>
    <s v="Cancelada"/>
    <n v="5"/>
  </r>
  <r>
    <s v="RES-100791"/>
    <x v="31"/>
    <d v="1899-12-30T21:17:00"/>
    <x v="3"/>
    <x v="2"/>
    <x v="1"/>
    <n v="5"/>
    <n v="32787.96"/>
    <n v="4612.6099999999997"/>
    <x v="3"/>
    <n v="42"/>
    <x v="2"/>
    <s v="Reembolsada"/>
    <n v="3"/>
  </r>
  <r>
    <s v="RES-100792"/>
    <x v="62"/>
    <d v="1899-12-30T10:24:00"/>
    <x v="0"/>
    <x v="0"/>
    <x v="2"/>
    <n v="4"/>
    <n v="45148.15"/>
    <n v="7963.66"/>
    <x v="11"/>
    <n v="49"/>
    <x v="0"/>
    <s v="Entregada"/>
    <n v="4"/>
  </r>
  <r>
    <s v="RES-100793"/>
    <x v="63"/>
    <d v="1899-12-30T11:31:00"/>
    <x v="1"/>
    <x v="1"/>
    <x v="3"/>
    <n v="3"/>
    <n v="47499.18"/>
    <n v="4465.1499999999996"/>
    <x v="18"/>
    <n v="41"/>
    <x v="1"/>
    <s v="Cancelada"/>
    <n v="5"/>
  </r>
  <r>
    <s v="RES-100794"/>
    <x v="119"/>
    <d v="1899-12-30T12:38:00"/>
    <x v="2"/>
    <x v="2"/>
    <x v="4"/>
    <n v="5"/>
    <n v="69151.42"/>
    <n v="4643.8100000000004"/>
    <x v="10"/>
    <n v="37"/>
    <x v="2"/>
    <s v="Reembolsada"/>
    <n v="3"/>
  </r>
  <r>
    <s v="RES-100795"/>
    <x v="350"/>
    <d v="1899-12-30T13:45:00"/>
    <x v="3"/>
    <x v="0"/>
    <x v="0"/>
    <n v="5"/>
    <n v="63261.71"/>
    <n v="6503.92"/>
    <x v="16"/>
    <n v="25"/>
    <x v="0"/>
    <s v="Entregada"/>
    <n v="5"/>
  </r>
  <r>
    <s v="RES-100796"/>
    <x v="66"/>
    <d v="1899-12-30T14:52:00"/>
    <x v="0"/>
    <x v="1"/>
    <x v="1"/>
    <n v="4"/>
    <n v="58241.64"/>
    <n v="2414.77"/>
    <x v="18"/>
    <n v="31"/>
    <x v="1"/>
    <s v="Cancelada"/>
    <n v="4"/>
  </r>
  <r>
    <s v="RES-100797"/>
    <x v="365"/>
    <d v="1899-12-30T15:59:00"/>
    <x v="1"/>
    <x v="2"/>
    <x v="2"/>
    <n v="5"/>
    <n v="33161.11"/>
    <n v="2031.34"/>
    <x v="17"/>
    <n v="38"/>
    <x v="2"/>
    <s v="Reembolsada"/>
    <n v="4"/>
  </r>
  <r>
    <s v="RES-100798"/>
    <x v="231"/>
    <d v="1899-12-30T16:06:00"/>
    <x v="2"/>
    <x v="0"/>
    <x v="3"/>
    <n v="3"/>
    <n v="6112.33"/>
    <n v="4139.41"/>
    <x v="5"/>
    <n v="50"/>
    <x v="0"/>
    <s v="Entregada"/>
    <n v="5"/>
  </r>
  <r>
    <s v="RES-100799"/>
    <x v="69"/>
    <d v="1899-12-30T17:13:00"/>
    <x v="3"/>
    <x v="1"/>
    <x v="4"/>
    <n v="6"/>
    <n v="58792.160000000003"/>
    <n v="3308.92"/>
    <x v="14"/>
    <n v="36"/>
    <x v="1"/>
    <s v="Cancelada"/>
    <n v="3"/>
  </r>
  <r>
    <s v="RES-100800"/>
    <x v="284"/>
    <d v="1899-12-30T18:20:00"/>
    <x v="0"/>
    <x v="2"/>
    <x v="0"/>
    <n v="6"/>
    <n v="57938.82"/>
    <n v="5058.8"/>
    <x v="0"/>
    <n v="26"/>
    <x v="2"/>
    <s v="Reembolsada"/>
    <n v="4"/>
  </r>
  <r>
    <s v="RES-100801"/>
    <x v="71"/>
    <d v="1899-12-30T19:27:00"/>
    <x v="1"/>
    <x v="0"/>
    <x v="1"/>
    <n v="5"/>
    <n v="31038.62"/>
    <n v="4105.78"/>
    <x v="14"/>
    <n v="36"/>
    <x v="0"/>
    <s v="Entregada"/>
    <n v="5"/>
  </r>
  <r>
    <s v="RES-100802"/>
    <x v="72"/>
    <d v="1899-12-30T20:34:00"/>
    <x v="2"/>
    <x v="1"/>
    <x v="2"/>
    <n v="4"/>
    <n v="60707.13"/>
    <n v="8266.76"/>
    <x v="7"/>
    <n v="26"/>
    <x v="1"/>
    <s v="Cancelada"/>
    <n v="4"/>
  </r>
  <r>
    <s v="RES-100803"/>
    <x v="73"/>
    <d v="1899-12-30T21:41:00"/>
    <x v="3"/>
    <x v="2"/>
    <x v="3"/>
    <n v="6"/>
    <n v="58198.96"/>
    <n v="7705.2"/>
    <x v="1"/>
    <n v="44"/>
    <x v="2"/>
    <s v="Reembolsada"/>
    <n v="3"/>
  </r>
  <r>
    <s v="RES-100804"/>
    <x v="74"/>
    <d v="1899-12-30T10:48:00"/>
    <x v="0"/>
    <x v="0"/>
    <x v="4"/>
    <n v="6"/>
    <n v="69789.63"/>
    <n v="4129.74"/>
    <x v="17"/>
    <n v="26"/>
    <x v="0"/>
    <s v="Entregada"/>
    <n v="4"/>
  </r>
  <r>
    <s v="RES-100805"/>
    <x v="75"/>
    <d v="1899-12-30T11:55:00"/>
    <x v="1"/>
    <x v="1"/>
    <x v="0"/>
    <n v="2"/>
    <n v="27768.35"/>
    <n v="5720.29"/>
    <x v="6"/>
    <n v="49"/>
    <x v="1"/>
    <s v="Cancelada"/>
    <n v="4"/>
  </r>
  <r>
    <s v="RES-100806"/>
    <x v="76"/>
    <d v="1899-12-30T12:02:00"/>
    <x v="2"/>
    <x v="2"/>
    <x v="1"/>
    <n v="3"/>
    <n v="30567.09"/>
    <n v="1091.7"/>
    <x v="14"/>
    <n v="45"/>
    <x v="2"/>
    <s v="Reembolsada"/>
    <n v="5"/>
  </r>
  <r>
    <s v="RES-100807"/>
    <x v="77"/>
    <d v="1899-12-30T13:09:00"/>
    <x v="3"/>
    <x v="0"/>
    <x v="2"/>
    <n v="4"/>
    <n v="27000.23"/>
    <n v="5949.01"/>
    <x v="18"/>
    <n v="23"/>
    <x v="0"/>
    <s v="Entregada"/>
    <n v="3"/>
  </r>
  <r>
    <s v="RES-100808"/>
    <x v="78"/>
    <d v="1899-12-30T14:16:00"/>
    <x v="0"/>
    <x v="1"/>
    <x v="3"/>
    <n v="4"/>
    <n v="39972.699999999997"/>
    <n v="3767.73"/>
    <x v="9"/>
    <n v="37"/>
    <x v="1"/>
    <s v="Cancelada"/>
    <n v="5"/>
  </r>
  <r>
    <s v="RES-100809"/>
    <x v="79"/>
    <d v="1899-12-30T15:23:00"/>
    <x v="1"/>
    <x v="2"/>
    <x v="4"/>
    <n v="2"/>
    <n v="65385.03"/>
    <n v="6869.8"/>
    <x v="18"/>
    <n v="50"/>
    <x v="2"/>
    <s v="Reembolsada"/>
    <n v="3"/>
  </r>
  <r>
    <s v="RES-100810"/>
    <x v="80"/>
    <d v="1899-12-30T16:30:00"/>
    <x v="2"/>
    <x v="0"/>
    <x v="0"/>
    <n v="4"/>
    <n v="32398.29"/>
    <n v="4195.4799999999996"/>
    <x v="16"/>
    <n v="42"/>
    <x v="0"/>
    <s v="Entregada"/>
    <n v="4"/>
  </r>
  <r>
    <s v="RES-100811"/>
    <x v="81"/>
    <d v="1899-12-30T17:37:00"/>
    <x v="3"/>
    <x v="1"/>
    <x v="1"/>
    <n v="2"/>
    <n v="66731.360000000001"/>
    <n v="5834.15"/>
    <x v="15"/>
    <n v="50"/>
    <x v="1"/>
    <s v="Cancelada"/>
    <n v="4"/>
  </r>
  <r>
    <s v="RES-100812"/>
    <x v="82"/>
    <d v="1899-12-30T18:44:00"/>
    <x v="0"/>
    <x v="2"/>
    <x v="2"/>
    <n v="5"/>
    <n v="67281.22"/>
    <n v="6792.84"/>
    <x v="6"/>
    <n v="27"/>
    <x v="2"/>
    <s v="Reembolsada"/>
    <n v="4"/>
  </r>
  <r>
    <s v="RES-100813"/>
    <x v="83"/>
    <d v="1899-12-30T19:51:00"/>
    <x v="1"/>
    <x v="0"/>
    <x v="3"/>
    <n v="4"/>
    <n v="35968.28"/>
    <n v="5264.67"/>
    <x v="16"/>
    <n v="40"/>
    <x v="0"/>
    <s v="Entregada"/>
    <n v="4"/>
  </r>
  <r>
    <s v="RES-100814"/>
    <x v="84"/>
    <d v="1899-12-30T20:58:00"/>
    <x v="2"/>
    <x v="1"/>
    <x v="4"/>
    <n v="2"/>
    <n v="53176.25"/>
    <n v="3861.54"/>
    <x v="2"/>
    <n v="29"/>
    <x v="1"/>
    <s v="Cancelada"/>
    <n v="3"/>
  </r>
  <r>
    <s v="RES-100815"/>
    <x v="85"/>
    <d v="1899-12-30T21:05:00"/>
    <x v="3"/>
    <x v="2"/>
    <x v="0"/>
    <n v="5"/>
    <n v="36266.019999999997"/>
    <n v="6920.89"/>
    <x v="15"/>
    <n v="47"/>
    <x v="2"/>
    <s v="Reembolsada"/>
    <n v="5"/>
  </r>
  <r>
    <s v="RES-100816"/>
    <x v="86"/>
    <d v="1899-12-30T10:12:00"/>
    <x v="0"/>
    <x v="0"/>
    <x v="1"/>
    <n v="5"/>
    <n v="56344.79"/>
    <n v="7531.78"/>
    <x v="2"/>
    <n v="30"/>
    <x v="0"/>
    <s v="Entregada"/>
    <n v="5"/>
  </r>
  <r>
    <s v="RES-100817"/>
    <x v="87"/>
    <d v="1899-12-30T11:19:00"/>
    <x v="1"/>
    <x v="1"/>
    <x v="2"/>
    <n v="6"/>
    <n v="41157.589999999997"/>
    <n v="4721.83"/>
    <x v="15"/>
    <n v="24"/>
    <x v="1"/>
    <s v="Cancelada"/>
    <n v="3"/>
  </r>
  <r>
    <s v="RES-100818"/>
    <x v="88"/>
    <d v="1899-12-30T12:26:00"/>
    <x v="2"/>
    <x v="2"/>
    <x v="3"/>
    <n v="3"/>
    <n v="48814.6"/>
    <n v="3243.3"/>
    <x v="18"/>
    <n v="41"/>
    <x v="2"/>
    <s v="Reembolsada"/>
    <n v="3"/>
  </r>
  <r>
    <s v="RES-100819"/>
    <x v="351"/>
    <d v="1899-12-30T13:33:00"/>
    <x v="3"/>
    <x v="0"/>
    <x v="4"/>
    <n v="4"/>
    <n v="29978.91"/>
    <n v="4325.8999999999996"/>
    <x v="1"/>
    <n v="26"/>
    <x v="0"/>
    <s v="Entregada"/>
    <n v="3"/>
  </r>
  <r>
    <s v="RES-100820"/>
    <x v="90"/>
    <d v="1899-12-30T14:40:00"/>
    <x v="0"/>
    <x v="1"/>
    <x v="0"/>
    <n v="3"/>
    <n v="59402.81"/>
    <n v="4312.28"/>
    <x v="0"/>
    <n v="42"/>
    <x v="1"/>
    <s v="Cancelada"/>
    <n v="4"/>
  </r>
  <r>
    <s v="RES-100821"/>
    <x v="344"/>
    <d v="1899-12-30T15:47:00"/>
    <x v="1"/>
    <x v="2"/>
    <x v="1"/>
    <n v="6"/>
    <n v="26055.97"/>
    <n v="3613.58"/>
    <x v="11"/>
    <n v="32"/>
    <x v="2"/>
    <s v="Reembolsada"/>
    <n v="3"/>
  </r>
  <r>
    <s v="RES-100822"/>
    <x v="349"/>
    <d v="1899-12-30T16:54:00"/>
    <x v="2"/>
    <x v="0"/>
    <x v="2"/>
    <n v="6"/>
    <n v="46766.01"/>
    <n v="5366.57"/>
    <x v="3"/>
    <n v="23"/>
    <x v="0"/>
    <s v="Entregada"/>
    <n v="5"/>
  </r>
  <r>
    <s v="RES-100823"/>
    <x v="91"/>
    <d v="1899-12-30T17:01:00"/>
    <x v="3"/>
    <x v="1"/>
    <x v="3"/>
    <n v="6"/>
    <n v="43325.26"/>
    <n v="6643.54"/>
    <x v="6"/>
    <n v="51"/>
    <x v="1"/>
    <s v="Cancelada"/>
    <n v="5"/>
  </r>
  <r>
    <s v="RES-100824"/>
    <x v="120"/>
    <d v="1899-12-30T18:08:00"/>
    <x v="0"/>
    <x v="2"/>
    <x v="4"/>
    <n v="2"/>
    <n v="39123.83"/>
    <n v="2288.9699999999998"/>
    <x v="1"/>
    <n v="51"/>
    <x v="2"/>
    <s v="Reembolsada"/>
    <n v="3"/>
  </r>
  <r>
    <s v="RES-100825"/>
    <x v="352"/>
    <d v="1899-12-30T19:15:00"/>
    <x v="1"/>
    <x v="0"/>
    <x v="0"/>
    <n v="3"/>
    <n v="49523.06"/>
    <n v="7422.99"/>
    <x v="8"/>
    <n v="33"/>
    <x v="0"/>
    <s v="Entregada"/>
    <n v="3"/>
  </r>
  <r>
    <s v="RES-100826"/>
    <x v="94"/>
    <d v="1899-12-30T20:22:00"/>
    <x v="2"/>
    <x v="1"/>
    <x v="1"/>
    <n v="2"/>
    <n v="49620.63"/>
    <n v="1700.53"/>
    <x v="14"/>
    <n v="42"/>
    <x v="1"/>
    <s v="Cancelada"/>
    <n v="5"/>
  </r>
  <r>
    <s v="RES-100827"/>
    <x v="203"/>
    <d v="1899-12-30T21:29:00"/>
    <x v="3"/>
    <x v="2"/>
    <x v="2"/>
    <n v="3"/>
    <n v="39936.050000000003"/>
    <n v="1824.21"/>
    <x v="9"/>
    <n v="35"/>
    <x v="2"/>
    <s v="Reembolsada"/>
    <n v="3"/>
  </r>
  <r>
    <s v="RES-100828"/>
    <x v="354"/>
    <d v="1899-12-30T10:36:00"/>
    <x v="0"/>
    <x v="0"/>
    <x v="3"/>
    <n v="3"/>
    <n v="46994.84"/>
    <n v="1353.61"/>
    <x v="0"/>
    <n v="26"/>
    <x v="0"/>
    <s v="Entregada"/>
    <n v="5"/>
  </r>
  <r>
    <s v="RES-100829"/>
    <x v="97"/>
    <d v="1899-12-30T11:43:00"/>
    <x v="1"/>
    <x v="1"/>
    <x v="4"/>
    <n v="3"/>
    <n v="63652.26"/>
    <n v="8233.15"/>
    <x v="1"/>
    <n v="29"/>
    <x v="1"/>
    <s v="Cancelada"/>
    <n v="3"/>
  </r>
  <r>
    <s v="RES-100830"/>
    <x v="285"/>
    <d v="1899-12-30T12:50:00"/>
    <x v="2"/>
    <x v="2"/>
    <x v="0"/>
    <n v="3"/>
    <n v="57522.03"/>
    <n v="6750.97"/>
    <x v="5"/>
    <n v="29"/>
    <x v="2"/>
    <s v="Reembolsada"/>
    <n v="4"/>
  </r>
  <r>
    <s v="RES-100831"/>
    <x v="99"/>
    <d v="1899-12-30T13:57:00"/>
    <x v="3"/>
    <x v="0"/>
    <x v="1"/>
    <n v="4"/>
    <n v="55549.21"/>
    <n v="7472.41"/>
    <x v="10"/>
    <n v="47"/>
    <x v="0"/>
    <s v="Entregada"/>
    <n v="4"/>
  </r>
  <r>
    <s v="RES-100832"/>
    <x v="100"/>
    <d v="1899-12-30T14:04:00"/>
    <x v="0"/>
    <x v="1"/>
    <x v="2"/>
    <n v="2"/>
    <n v="41430.480000000003"/>
    <n v="3867.41"/>
    <x v="14"/>
    <n v="36"/>
    <x v="1"/>
    <s v="Cancelada"/>
    <n v="3"/>
  </r>
  <r>
    <s v="RES-100833"/>
    <x v="101"/>
    <d v="1899-12-30T15:11:00"/>
    <x v="1"/>
    <x v="2"/>
    <x v="3"/>
    <n v="4"/>
    <n v="33996.410000000003"/>
    <n v="6439.13"/>
    <x v="6"/>
    <n v="40"/>
    <x v="2"/>
    <s v="Reembolsada"/>
    <n v="5"/>
  </r>
  <r>
    <s v="RES-100834"/>
    <x v="102"/>
    <d v="1899-12-30T16:18:00"/>
    <x v="2"/>
    <x v="0"/>
    <x v="4"/>
    <n v="6"/>
    <n v="46526.36"/>
    <n v="6921.67"/>
    <x v="5"/>
    <n v="50"/>
    <x v="0"/>
    <s v="Entregada"/>
    <n v="5"/>
  </r>
  <r>
    <s v="RES-100835"/>
    <x v="103"/>
    <d v="1899-12-30T17:25:00"/>
    <x v="3"/>
    <x v="1"/>
    <x v="0"/>
    <n v="3"/>
    <n v="66237.539999999994"/>
    <n v="2250.06"/>
    <x v="14"/>
    <n v="52"/>
    <x v="1"/>
    <s v="Cancelada"/>
    <n v="5"/>
  </r>
  <r>
    <s v="RES-100836"/>
    <x v="104"/>
    <d v="1899-12-30T18:32:00"/>
    <x v="0"/>
    <x v="2"/>
    <x v="1"/>
    <n v="6"/>
    <n v="51156.19"/>
    <n v="3151.17"/>
    <x v="15"/>
    <n v="51"/>
    <x v="2"/>
    <s v="Reembolsada"/>
    <n v="4"/>
  </r>
  <r>
    <s v="RES-100837"/>
    <x v="105"/>
    <d v="1899-12-30T19:39:00"/>
    <x v="1"/>
    <x v="0"/>
    <x v="2"/>
    <n v="4"/>
    <n v="59167.6"/>
    <n v="2803.31"/>
    <x v="11"/>
    <n v="33"/>
    <x v="0"/>
    <s v="Entregada"/>
    <n v="3"/>
  </r>
  <r>
    <s v="RES-100838"/>
    <x v="106"/>
    <d v="1899-12-30T20:46:00"/>
    <x v="2"/>
    <x v="1"/>
    <x v="3"/>
    <n v="3"/>
    <n v="68168.850000000006"/>
    <n v="6933.85"/>
    <x v="3"/>
    <n v="23"/>
    <x v="1"/>
    <s v="Cancelada"/>
    <n v="5"/>
  </r>
  <r>
    <s v="RES-100839"/>
    <x v="107"/>
    <d v="1899-12-30T21:53:00"/>
    <x v="3"/>
    <x v="2"/>
    <x v="4"/>
    <n v="2"/>
    <n v="54276.98"/>
    <n v="7202.56"/>
    <x v="3"/>
    <n v="41"/>
    <x v="2"/>
    <s v="Reembolsada"/>
    <n v="3"/>
  </r>
  <r>
    <s v="RES-100840"/>
    <x v="108"/>
    <d v="1899-12-30T10:00:00"/>
    <x v="0"/>
    <x v="0"/>
    <x v="0"/>
    <n v="4"/>
    <n v="53769.14"/>
    <n v="599.84"/>
    <x v="16"/>
    <n v="41"/>
    <x v="0"/>
    <s v="Entregada"/>
    <n v="5"/>
  </r>
  <r>
    <s v="RES-100841"/>
    <x v="109"/>
    <d v="1899-12-30T11:07:00"/>
    <x v="1"/>
    <x v="1"/>
    <x v="1"/>
    <n v="2"/>
    <n v="45825.36"/>
    <n v="6235.79"/>
    <x v="15"/>
    <n v="39"/>
    <x v="1"/>
    <s v="Cancelada"/>
    <n v="4"/>
  </r>
  <r>
    <s v="RES-100842"/>
    <x v="110"/>
    <d v="1899-12-30T12:14:00"/>
    <x v="2"/>
    <x v="2"/>
    <x v="2"/>
    <n v="3"/>
    <n v="37282.910000000003"/>
    <n v="4337.09"/>
    <x v="8"/>
    <n v="40"/>
    <x v="2"/>
    <s v="Reembolsada"/>
    <n v="4"/>
  </r>
  <r>
    <s v="RES-100843"/>
    <x v="111"/>
    <d v="1899-12-30T13:21:00"/>
    <x v="3"/>
    <x v="0"/>
    <x v="3"/>
    <n v="2"/>
    <n v="64038.17"/>
    <n v="3209.48"/>
    <x v="16"/>
    <n v="48"/>
    <x v="0"/>
    <s v="Entregada"/>
    <n v="3"/>
  </r>
  <r>
    <s v="RES-100844"/>
    <x v="112"/>
    <d v="1899-12-30T14:28:00"/>
    <x v="0"/>
    <x v="1"/>
    <x v="4"/>
    <n v="5"/>
    <n v="35637.17"/>
    <n v="6554.91"/>
    <x v="14"/>
    <n v="27"/>
    <x v="1"/>
    <s v="Cancelada"/>
    <n v="4"/>
  </r>
  <r>
    <s v="RES-100845"/>
    <x v="113"/>
    <d v="1899-12-30T15:35:00"/>
    <x v="1"/>
    <x v="2"/>
    <x v="0"/>
    <n v="2"/>
    <n v="39620.61"/>
    <n v="4303.3599999999997"/>
    <x v="8"/>
    <n v="33"/>
    <x v="2"/>
    <s v="Reembolsada"/>
    <n v="5"/>
  </r>
  <r>
    <s v="RES-100846"/>
    <x v="114"/>
    <d v="1899-12-30T16:42:00"/>
    <x v="2"/>
    <x v="0"/>
    <x v="1"/>
    <n v="6"/>
    <n v="66192.47"/>
    <n v="3491.89"/>
    <x v="8"/>
    <n v="51"/>
    <x v="0"/>
    <s v="Entregada"/>
    <n v="5"/>
  </r>
  <r>
    <s v="RES-100847"/>
    <x v="115"/>
    <d v="1899-12-30T17:49:00"/>
    <x v="3"/>
    <x v="1"/>
    <x v="2"/>
    <n v="6"/>
    <n v="58514.71"/>
    <n v="7048.74"/>
    <x v="17"/>
    <n v="42"/>
    <x v="1"/>
    <s v="Cancelada"/>
    <n v="4"/>
  </r>
  <r>
    <s v="RES-100848"/>
    <x v="116"/>
    <d v="1899-12-30T18:56:00"/>
    <x v="0"/>
    <x v="2"/>
    <x v="3"/>
    <n v="4"/>
    <n v="54450.47"/>
    <n v="2347.73"/>
    <x v="12"/>
    <n v="33"/>
    <x v="2"/>
    <s v="Reembolsada"/>
    <n v="5"/>
  </r>
  <r>
    <s v="RES-100849"/>
    <x v="117"/>
    <d v="1899-12-30T19:03:00"/>
    <x v="1"/>
    <x v="0"/>
    <x v="4"/>
    <n v="5"/>
    <n v="67384.92"/>
    <n v="8399.91"/>
    <x v="9"/>
    <n v="43"/>
    <x v="0"/>
    <s v="Entregada"/>
    <n v="5"/>
  </r>
  <r>
    <s v="RES-100850"/>
    <x v="118"/>
    <d v="1899-12-30T20:10:00"/>
    <x v="2"/>
    <x v="1"/>
    <x v="0"/>
    <n v="3"/>
    <n v="34909.96"/>
    <n v="5042.08"/>
    <x v="10"/>
    <n v="41"/>
    <x v="1"/>
    <s v="Cancelada"/>
    <n v="3"/>
  </r>
  <r>
    <s v="RES-100851"/>
    <x v="341"/>
    <d v="1899-12-30T21:17:00"/>
    <x v="3"/>
    <x v="2"/>
    <x v="1"/>
    <n v="4"/>
    <n v="55965.21"/>
    <n v="6066.69"/>
    <x v="18"/>
    <n v="23"/>
    <x v="2"/>
    <s v="Reembolsada"/>
    <n v="5"/>
  </r>
  <r>
    <s v="RES-100852"/>
    <x v="345"/>
    <d v="1899-12-30T10:24:00"/>
    <x v="0"/>
    <x v="0"/>
    <x v="2"/>
    <n v="6"/>
    <n v="40713.67"/>
    <n v="3901.11"/>
    <x v="1"/>
    <n v="36"/>
    <x v="0"/>
    <s v="Entregada"/>
    <n v="3"/>
  </r>
  <r>
    <s v="RES-100853"/>
    <x v="119"/>
    <d v="1899-12-30T11:31:00"/>
    <x v="1"/>
    <x v="1"/>
    <x v="3"/>
    <n v="3"/>
    <n v="56029.25"/>
    <n v="2395.13"/>
    <x v="18"/>
    <n v="27"/>
    <x v="1"/>
    <s v="Cancelada"/>
    <n v="5"/>
  </r>
  <r>
    <s v="RES-100854"/>
    <x v="92"/>
    <d v="1899-12-30T12:38:00"/>
    <x v="2"/>
    <x v="2"/>
    <x v="4"/>
    <n v="5"/>
    <n v="60152.61"/>
    <n v="6451.89"/>
    <x v="10"/>
    <n v="39"/>
    <x v="2"/>
    <s v="Reembolsada"/>
    <n v="4"/>
  </r>
  <r>
    <s v="RES-100855"/>
    <x v="121"/>
    <d v="1899-12-30T13:45:00"/>
    <x v="3"/>
    <x v="0"/>
    <x v="0"/>
    <n v="5"/>
    <n v="68918.070000000007"/>
    <n v="6089.96"/>
    <x v="9"/>
    <n v="41"/>
    <x v="0"/>
    <s v="Entregada"/>
    <n v="3"/>
  </r>
  <r>
    <s v="RES-100856"/>
    <x v="122"/>
    <d v="1899-12-30T14:52:00"/>
    <x v="0"/>
    <x v="1"/>
    <x v="1"/>
    <n v="6"/>
    <n v="60332.94"/>
    <n v="2896.67"/>
    <x v="16"/>
    <n v="28"/>
    <x v="1"/>
    <s v="Cancelada"/>
    <n v="4"/>
  </r>
  <r>
    <s v="RES-100857"/>
    <x v="175"/>
    <d v="1899-12-30T15:59:00"/>
    <x v="1"/>
    <x v="2"/>
    <x v="2"/>
    <n v="4"/>
    <n v="58226.559999999998"/>
    <n v="1747.44"/>
    <x v="7"/>
    <n v="48"/>
    <x v="2"/>
    <s v="Reembolsada"/>
    <n v="4"/>
  </r>
  <r>
    <s v="RES-100858"/>
    <x v="357"/>
    <d v="1899-12-30T16:06:00"/>
    <x v="2"/>
    <x v="0"/>
    <x v="3"/>
    <n v="3"/>
    <n v="54548.63"/>
    <n v="3025.21"/>
    <x v="5"/>
    <n v="45"/>
    <x v="0"/>
    <s v="Entregada"/>
    <n v="5"/>
  </r>
  <r>
    <s v="RES-100859"/>
    <x v="125"/>
    <d v="1899-12-30T17:13:00"/>
    <x v="3"/>
    <x v="1"/>
    <x v="4"/>
    <n v="4"/>
    <n v="68555.320000000007"/>
    <n v="7746.73"/>
    <x v="5"/>
    <n v="46"/>
    <x v="1"/>
    <s v="Cancelada"/>
    <n v="5"/>
  </r>
  <r>
    <s v="RES-100860"/>
    <x v="370"/>
    <d v="1899-12-30T18:20:00"/>
    <x v="0"/>
    <x v="2"/>
    <x v="0"/>
    <n v="5"/>
    <n v="57983.92"/>
    <n v="702.53"/>
    <x v="1"/>
    <n v="40"/>
    <x v="2"/>
    <s v="Reembolsada"/>
    <n v="3"/>
  </r>
  <r>
    <s v="RES-100861"/>
    <x v="286"/>
    <d v="1899-12-30T19:27:00"/>
    <x v="1"/>
    <x v="0"/>
    <x v="1"/>
    <n v="5"/>
    <n v="31965.24"/>
    <n v="1065.56"/>
    <x v="6"/>
    <n v="24"/>
    <x v="0"/>
    <s v="Entregada"/>
    <n v="5"/>
  </r>
  <r>
    <s v="RES-100862"/>
    <x v="128"/>
    <d v="1899-12-30T20:34:00"/>
    <x v="2"/>
    <x v="1"/>
    <x v="2"/>
    <n v="3"/>
    <n v="41109.5"/>
    <n v="2434.83"/>
    <x v="7"/>
    <n v="46"/>
    <x v="1"/>
    <s v="Cancelada"/>
    <n v="5"/>
  </r>
  <r>
    <s v="RES-100863"/>
    <x v="129"/>
    <d v="1899-12-30T21:41:00"/>
    <x v="3"/>
    <x v="2"/>
    <x v="3"/>
    <n v="6"/>
    <n v="54677.47"/>
    <n v="2918.49"/>
    <x v="3"/>
    <n v="23"/>
    <x v="2"/>
    <s v="Reembolsada"/>
    <n v="3"/>
  </r>
  <r>
    <s v="RES-100864"/>
    <x v="130"/>
    <d v="1899-12-30T10:48:00"/>
    <x v="0"/>
    <x v="0"/>
    <x v="4"/>
    <n v="5"/>
    <n v="44351.72"/>
    <n v="8276.26"/>
    <x v="10"/>
    <n v="37"/>
    <x v="0"/>
    <s v="Entregada"/>
    <n v="4"/>
  </r>
  <r>
    <s v="RES-100865"/>
    <x v="131"/>
    <d v="1899-12-30T11:55:00"/>
    <x v="1"/>
    <x v="1"/>
    <x v="0"/>
    <n v="2"/>
    <n v="55473.120000000003"/>
    <n v="3687.02"/>
    <x v="2"/>
    <n v="35"/>
    <x v="1"/>
    <s v="Cancelada"/>
    <n v="5"/>
  </r>
  <r>
    <s v="RES-100866"/>
    <x v="132"/>
    <d v="1899-12-30T12:02:00"/>
    <x v="2"/>
    <x v="2"/>
    <x v="1"/>
    <n v="2"/>
    <n v="44386.61"/>
    <n v="7267.35"/>
    <x v="3"/>
    <n v="33"/>
    <x v="2"/>
    <s v="Reembolsada"/>
    <n v="4"/>
  </r>
  <r>
    <s v="RES-100867"/>
    <x v="133"/>
    <d v="1899-12-30T13:09:00"/>
    <x v="3"/>
    <x v="0"/>
    <x v="2"/>
    <n v="2"/>
    <n v="34024.019999999997"/>
    <n v="2639.63"/>
    <x v="13"/>
    <n v="29"/>
    <x v="0"/>
    <s v="Entregada"/>
    <n v="3"/>
  </r>
  <r>
    <s v="RES-100868"/>
    <x v="134"/>
    <d v="1899-12-30T14:16:00"/>
    <x v="0"/>
    <x v="1"/>
    <x v="3"/>
    <n v="3"/>
    <n v="59279.18"/>
    <n v="3954.43"/>
    <x v="12"/>
    <n v="24"/>
    <x v="1"/>
    <s v="Cancelada"/>
    <n v="4"/>
  </r>
  <r>
    <s v="RES-100869"/>
    <x v="135"/>
    <d v="1899-12-30T15:23:00"/>
    <x v="1"/>
    <x v="2"/>
    <x v="4"/>
    <n v="5"/>
    <n v="55835.19"/>
    <n v="3598.18"/>
    <x v="17"/>
    <n v="46"/>
    <x v="2"/>
    <s v="Reembolsada"/>
    <n v="3"/>
  </r>
  <r>
    <s v="RES-100870"/>
    <x v="136"/>
    <d v="1899-12-30T16:30:00"/>
    <x v="2"/>
    <x v="0"/>
    <x v="0"/>
    <n v="5"/>
    <n v="68489.73"/>
    <n v="921.57"/>
    <x v="15"/>
    <n v="37"/>
    <x v="0"/>
    <s v="Entregada"/>
    <n v="5"/>
  </r>
  <r>
    <s v="RES-100871"/>
    <x v="137"/>
    <d v="1899-12-30T17:37:00"/>
    <x v="3"/>
    <x v="1"/>
    <x v="1"/>
    <n v="5"/>
    <n v="57484.46"/>
    <n v="944.45"/>
    <x v="1"/>
    <n v="48"/>
    <x v="1"/>
    <s v="Cancelada"/>
    <n v="5"/>
  </r>
  <r>
    <s v="RES-100872"/>
    <x v="138"/>
    <d v="1899-12-30T18:44:00"/>
    <x v="0"/>
    <x v="2"/>
    <x v="2"/>
    <n v="6"/>
    <n v="45804.34"/>
    <n v="2480.4899999999998"/>
    <x v="15"/>
    <n v="53"/>
    <x v="2"/>
    <s v="Reembolsada"/>
    <n v="5"/>
  </r>
  <r>
    <s v="RES-100873"/>
    <x v="139"/>
    <d v="1899-12-30T19:51:00"/>
    <x v="1"/>
    <x v="0"/>
    <x v="3"/>
    <n v="3"/>
    <n v="65519.88"/>
    <n v="4279.8900000000003"/>
    <x v="5"/>
    <n v="40"/>
    <x v="0"/>
    <s v="Entregada"/>
    <n v="4"/>
  </r>
  <r>
    <s v="RES-100874"/>
    <x v="140"/>
    <d v="1899-12-30T20:58:00"/>
    <x v="2"/>
    <x v="1"/>
    <x v="4"/>
    <n v="5"/>
    <n v="37550.300000000003"/>
    <n v="1956.28"/>
    <x v="12"/>
    <n v="53"/>
    <x v="1"/>
    <s v="Cancelada"/>
    <n v="3"/>
  </r>
  <r>
    <s v="RES-100875"/>
    <x v="141"/>
    <d v="1899-12-30T21:05:00"/>
    <x v="3"/>
    <x v="2"/>
    <x v="0"/>
    <n v="2"/>
    <n v="45918.7"/>
    <n v="7473.43"/>
    <x v="4"/>
    <n v="43"/>
    <x v="2"/>
    <s v="Reembolsada"/>
    <n v="5"/>
  </r>
  <r>
    <s v="RES-100876"/>
    <x v="142"/>
    <d v="1899-12-30T10:12:00"/>
    <x v="0"/>
    <x v="0"/>
    <x v="1"/>
    <n v="3"/>
    <n v="35744.019999999997"/>
    <n v="4107.29"/>
    <x v="14"/>
    <n v="40"/>
    <x v="0"/>
    <s v="Entregada"/>
    <n v="5"/>
  </r>
  <r>
    <s v="RES-100877"/>
    <x v="143"/>
    <d v="1899-12-30T11:19:00"/>
    <x v="1"/>
    <x v="1"/>
    <x v="2"/>
    <n v="2"/>
    <n v="376314.18"/>
    <n v="7473.21"/>
    <x v="5"/>
    <n v="34"/>
    <x v="1"/>
    <s v="Cancelada"/>
    <n v="3"/>
  </r>
  <r>
    <s v="RES-100878"/>
    <x v="144"/>
    <d v="1899-12-30T12:26:00"/>
    <x v="2"/>
    <x v="2"/>
    <x v="3"/>
    <n v="6"/>
    <n v="35696.28"/>
    <n v="7563.47"/>
    <x v="1"/>
    <n v="49"/>
    <x v="2"/>
    <s v="Reembolsada"/>
    <n v="4"/>
  </r>
  <r>
    <s v="RES-100879"/>
    <x v="145"/>
    <d v="1899-12-30T13:33:00"/>
    <x v="3"/>
    <x v="0"/>
    <x v="4"/>
    <n v="2"/>
    <n v="39276.65"/>
    <n v="6922.28"/>
    <x v="14"/>
    <n v="26"/>
    <x v="0"/>
    <s v="Entregada"/>
    <n v="4"/>
  </r>
  <r>
    <s v="RES-100880"/>
    <x v="146"/>
    <d v="1899-12-30T14:40:00"/>
    <x v="0"/>
    <x v="1"/>
    <x v="0"/>
    <n v="4"/>
    <n v="57970.8"/>
    <n v="6290.08"/>
    <x v="7"/>
    <n v="23"/>
    <x v="1"/>
    <s v="Cancelada"/>
    <n v="3"/>
  </r>
  <r>
    <s v="RES-100881"/>
    <x v="6"/>
    <d v="1899-12-30T15:47:00"/>
    <x v="1"/>
    <x v="2"/>
    <x v="1"/>
    <n v="3"/>
    <n v="67010.48"/>
    <n v="7915.23"/>
    <x v="18"/>
    <n v="40"/>
    <x v="2"/>
    <s v="Reembolsada"/>
    <n v="3"/>
  </r>
  <r>
    <s v="RES-100882"/>
    <x v="359"/>
    <d v="1899-12-30T16:54:00"/>
    <x v="2"/>
    <x v="0"/>
    <x v="2"/>
    <n v="6"/>
    <n v="56070.02"/>
    <n v="1710.03"/>
    <x v="17"/>
    <n v="41"/>
    <x v="0"/>
    <s v="Entregada"/>
    <n v="5"/>
  </r>
  <r>
    <s v="RES-100883"/>
    <x v="65"/>
    <d v="1899-12-30T17:01:00"/>
    <x v="3"/>
    <x v="1"/>
    <x v="3"/>
    <n v="2"/>
    <n v="53673.68"/>
    <n v="6578.3"/>
    <x v="0"/>
    <n v="44"/>
    <x v="1"/>
    <s v="Cancelada"/>
    <n v="5"/>
  </r>
  <r>
    <s v="RES-100884"/>
    <x v="352"/>
    <d v="1899-12-30T18:08:00"/>
    <x v="0"/>
    <x v="2"/>
    <x v="4"/>
    <n v="4"/>
    <n v="31841.68"/>
    <n v="1724.75"/>
    <x v="12"/>
    <n v="31"/>
    <x v="2"/>
    <s v="Reembolsada"/>
    <n v="4"/>
  </r>
  <r>
    <s v="RES-100885"/>
    <x v="356"/>
    <d v="1899-12-30T19:15:00"/>
    <x v="1"/>
    <x v="0"/>
    <x v="0"/>
    <n v="4"/>
    <n v="58338.53"/>
    <n v="2113.3000000000002"/>
    <x v="8"/>
    <n v="39"/>
    <x v="0"/>
    <s v="Entregada"/>
    <n v="3"/>
  </r>
  <r>
    <s v="RES-100886"/>
    <x v="148"/>
    <d v="1899-12-30T20:22:00"/>
    <x v="2"/>
    <x v="1"/>
    <x v="1"/>
    <n v="4"/>
    <n v="68931.47"/>
    <n v="4271.8500000000004"/>
    <x v="11"/>
    <n v="25"/>
    <x v="1"/>
    <s v="Cancelada"/>
    <n v="5"/>
  </r>
  <r>
    <s v="RES-100887"/>
    <x v="176"/>
    <d v="1899-12-30T21:29:00"/>
    <x v="3"/>
    <x v="2"/>
    <x v="2"/>
    <n v="6"/>
    <n v="40301.78"/>
    <n v="1396.92"/>
    <x v="8"/>
    <n v="49"/>
    <x v="2"/>
    <s v="Reembolsada"/>
    <n v="5"/>
  </r>
  <r>
    <s v="RES-100888"/>
    <x v="204"/>
    <d v="1899-12-30T10:36:00"/>
    <x v="0"/>
    <x v="0"/>
    <x v="3"/>
    <n v="4"/>
    <n v="31109.3"/>
    <n v="1259.98"/>
    <x v="13"/>
    <n v="37"/>
    <x v="0"/>
    <s v="Entregada"/>
    <n v="5"/>
  </r>
  <r>
    <s v="RES-100889"/>
    <x v="151"/>
    <d v="1899-12-30T11:43:00"/>
    <x v="1"/>
    <x v="1"/>
    <x v="4"/>
    <n v="3"/>
    <n v="47990.93"/>
    <n v="1749.32"/>
    <x v="6"/>
    <n v="38"/>
    <x v="1"/>
    <s v="Cancelada"/>
    <n v="5"/>
  </r>
  <r>
    <s v="RES-100890"/>
    <x v="261"/>
    <d v="1899-12-30T12:50:00"/>
    <x v="2"/>
    <x v="2"/>
    <x v="0"/>
    <n v="5"/>
    <n v="62809.59"/>
    <n v="515.54"/>
    <x v="18"/>
    <n v="53"/>
    <x v="2"/>
    <s v="Reembolsada"/>
    <n v="4"/>
  </r>
  <r>
    <s v="RES-100891"/>
    <x v="361"/>
    <d v="1899-12-30T13:57:00"/>
    <x v="3"/>
    <x v="0"/>
    <x v="1"/>
    <n v="3"/>
    <n v="49390.29"/>
    <n v="5486.63"/>
    <x v="13"/>
    <n v="37"/>
    <x v="0"/>
    <s v="Entregada"/>
    <n v="5"/>
  </r>
  <r>
    <s v="RES-100892"/>
    <x v="154"/>
    <d v="1899-12-30T14:04:00"/>
    <x v="0"/>
    <x v="1"/>
    <x v="2"/>
    <n v="2"/>
    <n v="38553.69"/>
    <n v="2556.29"/>
    <x v="18"/>
    <n v="36"/>
    <x v="1"/>
    <s v="Cancelada"/>
    <n v="4"/>
  </r>
  <r>
    <s v="RES-100893"/>
    <x v="155"/>
    <d v="1899-12-30T15:11:00"/>
    <x v="1"/>
    <x v="2"/>
    <x v="3"/>
    <n v="3"/>
    <n v="61186.79"/>
    <n v="1716.92"/>
    <x v="7"/>
    <n v="38"/>
    <x v="2"/>
    <s v="Reembolsada"/>
    <n v="4"/>
  </r>
  <r>
    <s v="RES-100894"/>
    <x v="156"/>
    <d v="1899-12-30T16:18:00"/>
    <x v="2"/>
    <x v="0"/>
    <x v="4"/>
    <n v="6"/>
    <n v="34653.43"/>
    <n v="5313.82"/>
    <x v="15"/>
    <n v="28"/>
    <x v="0"/>
    <s v="Entregada"/>
    <n v="5"/>
  </r>
  <r>
    <s v="RES-100895"/>
    <x v="157"/>
    <d v="1899-12-30T17:25:00"/>
    <x v="3"/>
    <x v="1"/>
    <x v="0"/>
    <n v="4"/>
    <n v="69998.77"/>
    <n v="2273.23"/>
    <x v="9"/>
    <n v="47"/>
    <x v="1"/>
    <s v="Cancelada"/>
    <n v="5"/>
  </r>
  <r>
    <s v="RES-100896"/>
    <x v="158"/>
    <d v="1899-12-30T18:32:00"/>
    <x v="0"/>
    <x v="2"/>
    <x v="1"/>
    <n v="5"/>
    <n v="52995.62"/>
    <n v="4647.66"/>
    <x v="6"/>
    <n v="48"/>
    <x v="2"/>
    <s v="Reembolsada"/>
    <n v="3"/>
  </r>
  <r>
    <s v="RES-100897"/>
    <x v="159"/>
    <d v="1899-12-30T19:39:00"/>
    <x v="1"/>
    <x v="0"/>
    <x v="2"/>
    <n v="3"/>
    <n v="55225.23"/>
    <n v="4848.1000000000004"/>
    <x v="0"/>
    <n v="23"/>
    <x v="0"/>
    <s v="Entregada"/>
    <n v="4"/>
  </r>
  <r>
    <s v="RES-100898"/>
    <x v="160"/>
    <d v="1899-12-30T20:46:00"/>
    <x v="2"/>
    <x v="1"/>
    <x v="3"/>
    <n v="6"/>
    <n v="51397.1"/>
    <n v="7194.65"/>
    <x v="13"/>
    <n v="35"/>
    <x v="1"/>
    <s v="Cancelada"/>
    <n v="3"/>
  </r>
  <r>
    <s v="RES-100899"/>
    <x v="161"/>
    <d v="1899-12-30T21:53:00"/>
    <x v="3"/>
    <x v="2"/>
    <x v="4"/>
    <n v="3"/>
    <n v="28294.5"/>
    <n v="4625.51"/>
    <x v="12"/>
    <n v="290"/>
    <x v="2"/>
    <s v="Reembolsada"/>
    <n v="3"/>
  </r>
  <r>
    <s v="RES-100900"/>
    <x v="162"/>
    <d v="1899-12-30T10:00:00"/>
    <x v="0"/>
    <x v="0"/>
    <x v="0"/>
    <n v="2"/>
    <n v="63984.15"/>
    <n v="1326.11"/>
    <x v="2"/>
    <n v="45"/>
    <x v="0"/>
    <s v="Entregada"/>
    <n v="4"/>
  </r>
  <r>
    <s v="RES-100901"/>
    <x v="163"/>
    <d v="1899-12-30T11:07:00"/>
    <x v="1"/>
    <x v="1"/>
    <x v="1"/>
    <n v="4"/>
    <n v="43617.65"/>
    <n v="3760.23"/>
    <x v="18"/>
    <n v="40"/>
    <x v="1"/>
    <s v="Cancelada"/>
    <n v="3"/>
  </r>
  <r>
    <s v="RES-100902"/>
    <x v="164"/>
    <d v="1899-12-30T12:14:00"/>
    <x v="2"/>
    <x v="2"/>
    <x v="2"/>
    <n v="3"/>
    <n v="28328.65"/>
    <n v="7383.59"/>
    <x v="4"/>
    <n v="30"/>
    <x v="2"/>
    <s v="Reembolsada"/>
    <n v="4"/>
  </r>
  <r>
    <s v="RES-100903"/>
    <x v="165"/>
    <d v="1899-12-30T13:21:00"/>
    <x v="3"/>
    <x v="0"/>
    <x v="3"/>
    <n v="2"/>
    <n v="57093.9"/>
    <n v="4292.3"/>
    <x v="1"/>
    <n v="44"/>
    <x v="0"/>
    <s v="Entregada"/>
    <n v="5"/>
  </r>
  <r>
    <s v="RES-100904"/>
    <x v="166"/>
    <d v="1899-12-30T14:28:00"/>
    <x v="0"/>
    <x v="1"/>
    <x v="4"/>
    <n v="3"/>
    <n v="26788.41"/>
    <n v="7913.13"/>
    <x v="0"/>
    <n v="48"/>
    <x v="1"/>
    <s v="Cancelada"/>
    <n v="3"/>
  </r>
  <r>
    <s v="RES-100905"/>
    <x v="167"/>
    <d v="1899-12-30T15:35:00"/>
    <x v="1"/>
    <x v="2"/>
    <x v="0"/>
    <n v="4"/>
    <n v="26640.799999999999"/>
    <n v="714.09"/>
    <x v="16"/>
    <n v="45"/>
    <x v="2"/>
    <s v="Reembolsada"/>
    <n v="5"/>
  </r>
  <r>
    <s v="RES-100906"/>
    <x v="168"/>
    <d v="1899-12-30T16:42:00"/>
    <x v="2"/>
    <x v="0"/>
    <x v="1"/>
    <n v="4"/>
    <n v="56759.11"/>
    <n v="1391.54"/>
    <x v="17"/>
    <n v="44"/>
    <x v="0"/>
    <s v="Entregada"/>
    <n v="3"/>
  </r>
  <r>
    <s v="RES-100907"/>
    <x v="169"/>
    <d v="1899-12-30T17:49:00"/>
    <x v="3"/>
    <x v="1"/>
    <x v="2"/>
    <n v="6"/>
    <n v="59910.52"/>
    <n v="1094.04"/>
    <x v="9"/>
    <n v="53"/>
    <x v="1"/>
    <s v="Cancelada"/>
    <n v="5"/>
  </r>
  <r>
    <s v="RES-100908"/>
    <x v="170"/>
    <d v="1899-12-30T18:56:00"/>
    <x v="0"/>
    <x v="2"/>
    <x v="3"/>
    <n v="3"/>
    <n v="26155.96"/>
    <n v="6084.66"/>
    <x v="0"/>
    <n v="25"/>
    <x v="2"/>
    <s v="Reembolsada"/>
    <n v="5"/>
  </r>
  <r>
    <s v="RES-100909"/>
    <x v="171"/>
    <d v="1899-12-30T19:03:00"/>
    <x v="1"/>
    <x v="0"/>
    <x v="4"/>
    <n v="6"/>
    <n v="66424.240000000005"/>
    <n v="664.35"/>
    <x v="10"/>
    <n v="36"/>
    <x v="0"/>
    <s v="Entregada"/>
    <n v="5"/>
  </r>
  <r>
    <s v="RES-100910"/>
    <x v="172"/>
    <d v="1899-12-30T20:10:00"/>
    <x v="2"/>
    <x v="1"/>
    <x v="0"/>
    <n v="6"/>
    <n v="46060.58"/>
    <n v="4772.59"/>
    <x v="9"/>
    <n v="52"/>
    <x v="1"/>
    <s v="Cancelada"/>
    <n v="4"/>
  </r>
  <r>
    <s v="RES-100911"/>
    <x v="383"/>
    <d v="1899-12-30T21:17:00"/>
    <x v="3"/>
    <x v="2"/>
    <x v="1"/>
    <n v="6"/>
    <n v="37556.61"/>
    <n v="1361.03"/>
    <x v="0"/>
    <n v="27"/>
    <x v="2"/>
    <s v="Reembolsada"/>
    <n v="4"/>
  </r>
  <r>
    <s v="RES-100912"/>
    <x v="362"/>
    <d v="1899-12-30T10:24:00"/>
    <x v="0"/>
    <x v="0"/>
    <x v="2"/>
    <n v="6"/>
    <n v="57784.08"/>
    <n v="1081.79"/>
    <x v="11"/>
    <n v="37"/>
    <x v="0"/>
    <s v="Entregada"/>
    <n v="3"/>
  </r>
  <r>
    <s v="RES-100913"/>
    <x v="35"/>
    <d v="1899-12-30T11:31:00"/>
    <x v="1"/>
    <x v="1"/>
    <x v="3"/>
    <n v="2"/>
    <n v="57746.1"/>
    <n v="6188.51"/>
    <x v="6"/>
    <n v="48"/>
    <x v="1"/>
    <s v="Cancelada"/>
    <n v="5"/>
  </r>
  <r>
    <s v="RES-100914"/>
    <x v="66"/>
    <d v="1899-12-30T12:38:00"/>
    <x v="2"/>
    <x v="2"/>
    <x v="4"/>
    <n v="5"/>
    <n v="35078.080000000002"/>
    <n v="1224.5999999999999"/>
    <x v="4"/>
    <n v="36"/>
    <x v="2"/>
    <s v="Reembolsada"/>
    <n v="5"/>
  </r>
  <r>
    <s v="RES-100915"/>
    <x v="353"/>
    <d v="1899-12-30T13:45:00"/>
    <x v="3"/>
    <x v="0"/>
    <x v="0"/>
    <n v="5"/>
    <n v="69710.05"/>
    <n v="6918.16"/>
    <x v="8"/>
    <n v="32"/>
    <x v="0"/>
    <s v="Entregada"/>
    <n v="4"/>
  </r>
  <r>
    <s v="RES-100916"/>
    <x v="175"/>
    <d v="1899-12-30T14:52:00"/>
    <x v="0"/>
    <x v="1"/>
    <x v="1"/>
    <n v="6"/>
    <n v="49569.2"/>
    <n v="4122.38"/>
    <x v="13"/>
    <n v="27"/>
    <x v="1"/>
    <s v="Cancelada"/>
    <n v="3"/>
  </r>
  <r>
    <s v="RES-100917"/>
    <x v="149"/>
    <d v="1899-12-30T15:59:00"/>
    <x v="1"/>
    <x v="2"/>
    <x v="2"/>
    <n v="6"/>
    <n v="67710.12"/>
    <n v="4672.4799999999996"/>
    <x v="2"/>
    <n v="39"/>
    <x v="2"/>
    <s v="Reembolsada"/>
    <n v="4"/>
  </r>
  <r>
    <s v="RES-100918"/>
    <x v="177"/>
    <d v="1899-12-30T16:06:00"/>
    <x v="2"/>
    <x v="0"/>
    <x v="3"/>
    <n v="4"/>
    <n v="55951.27"/>
    <n v="4722.8599999999997"/>
    <x v="12"/>
    <n v="26"/>
    <x v="0"/>
    <s v="Entregada"/>
    <n v="5"/>
  </r>
  <r>
    <s v="RES-100919"/>
    <x v="178"/>
    <d v="1899-12-30T17:13:00"/>
    <x v="3"/>
    <x v="1"/>
    <x v="4"/>
    <n v="3"/>
    <n v="43224.05"/>
    <n v="7501.21"/>
    <x v="18"/>
    <n v="52"/>
    <x v="1"/>
    <s v="Cancelada"/>
    <n v="5"/>
  </r>
  <r>
    <s v="RES-100920"/>
    <x v="233"/>
    <d v="1899-12-30T18:20:00"/>
    <x v="0"/>
    <x v="2"/>
    <x v="0"/>
    <n v="5"/>
    <n v="50512.18"/>
    <n v="1535.03"/>
    <x v="10"/>
    <n v="39"/>
    <x v="2"/>
    <s v="Reembolsada"/>
    <n v="4"/>
  </r>
  <r>
    <s v="RES-100921"/>
    <x v="363"/>
    <d v="1899-12-30T19:27:00"/>
    <x v="1"/>
    <x v="0"/>
    <x v="1"/>
    <n v="2"/>
    <n v="39483.24"/>
    <n v="6902.79"/>
    <x v="1"/>
    <n v="31"/>
    <x v="0"/>
    <s v="Entregada"/>
    <n v="4"/>
  </r>
  <r>
    <s v="RES-100922"/>
    <x v="181"/>
    <d v="1899-12-30T20:34:00"/>
    <x v="2"/>
    <x v="1"/>
    <x v="2"/>
    <n v="2"/>
    <n v="55883.92"/>
    <n v="1247.96"/>
    <x v="0"/>
    <n v="44"/>
    <x v="1"/>
    <s v="Cancelada"/>
    <n v="5"/>
  </r>
  <r>
    <s v="RES-100923"/>
    <x v="182"/>
    <d v="1899-12-30T21:41:00"/>
    <x v="3"/>
    <x v="2"/>
    <x v="3"/>
    <n v="4"/>
    <n v="53467.41"/>
    <n v="3896.22"/>
    <x v="10"/>
    <n v="34"/>
    <x v="2"/>
    <s v="Reembolsada"/>
    <n v="3"/>
  </r>
  <r>
    <s v="RES-100924"/>
    <x v="183"/>
    <d v="1899-12-30T10:48:00"/>
    <x v="0"/>
    <x v="0"/>
    <x v="4"/>
    <n v="6"/>
    <n v="69053.84"/>
    <n v="7806.89"/>
    <x v="14"/>
    <n v="32"/>
    <x v="0"/>
    <s v="Entregada"/>
    <n v="5"/>
  </r>
  <r>
    <s v="RES-100925"/>
    <x v="184"/>
    <d v="1899-12-30T11:55:00"/>
    <x v="1"/>
    <x v="1"/>
    <x v="0"/>
    <n v="3"/>
    <n v="48387.3"/>
    <n v="1167.04"/>
    <x v="4"/>
    <n v="27"/>
    <x v="1"/>
    <s v="Cancelada"/>
    <n v="4"/>
  </r>
  <r>
    <s v="RES-100926"/>
    <x v="185"/>
    <d v="1899-12-30T12:02:00"/>
    <x v="2"/>
    <x v="2"/>
    <x v="1"/>
    <n v="2"/>
    <n v="60065"/>
    <n v="1199.8800000000001"/>
    <x v="5"/>
    <n v="31"/>
    <x v="2"/>
    <s v="Reembolsada"/>
    <n v="5"/>
  </r>
  <r>
    <s v="RES-100927"/>
    <x v="186"/>
    <d v="1899-12-30T13:09:00"/>
    <x v="3"/>
    <x v="0"/>
    <x v="2"/>
    <n v="6"/>
    <n v="69483.66"/>
    <n v="6955.12"/>
    <x v="4"/>
    <n v="43"/>
    <x v="0"/>
    <s v="Entregada"/>
    <n v="5"/>
  </r>
  <r>
    <s v="RES-100928"/>
    <x v="187"/>
    <d v="1899-12-30T14:16:00"/>
    <x v="0"/>
    <x v="1"/>
    <x v="3"/>
    <n v="5"/>
    <n v="58387.17"/>
    <n v="6455.99"/>
    <x v="8"/>
    <n v="24"/>
    <x v="1"/>
    <s v="Cancelada"/>
    <n v="3"/>
  </r>
  <r>
    <s v="RES-100929"/>
    <x v="188"/>
    <d v="1899-12-30T15:23:00"/>
    <x v="1"/>
    <x v="2"/>
    <x v="4"/>
    <n v="5"/>
    <n v="48800.49"/>
    <n v="3993.67"/>
    <x v="2"/>
    <n v="39"/>
    <x v="2"/>
    <s v="Reembolsada"/>
    <n v="5"/>
  </r>
  <r>
    <s v="RES-100930"/>
    <x v="189"/>
    <d v="1899-12-30T16:30:00"/>
    <x v="2"/>
    <x v="0"/>
    <x v="0"/>
    <n v="2"/>
    <n v="60668.42"/>
    <n v="636.19000000000005"/>
    <x v="8"/>
    <n v="36"/>
    <x v="0"/>
    <s v="Entregada"/>
    <n v="5"/>
  </r>
  <r>
    <s v="RES-100931"/>
    <x v="190"/>
    <d v="1899-12-30T17:37:00"/>
    <x v="3"/>
    <x v="1"/>
    <x v="1"/>
    <n v="5"/>
    <n v="64616.28"/>
    <n v="2259.13"/>
    <x v="2"/>
    <n v="32"/>
    <x v="1"/>
    <s v="Cancelada"/>
    <n v="4"/>
  </r>
  <r>
    <s v="RES-100932"/>
    <x v="191"/>
    <d v="1899-12-30T18:44:00"/>
    <x v="0"/>
    <x v="2"/>
    <x v="2"/>
    <n v="6"/>
    <n v="40313.89"/>
    <n v="7064.87"/>
    <x v="16"/>
    <n v="29"/>
    <x v="2"/>
    <s v="Reembolsada"/>
    <n v="3"/>
  </r>
  <r>
    <s v="RES-100933"/>
    <x v="192"/>
    <d v="1899-12-30T19:51:00"/>
    <x v="1"/>
    <x v="0"/>
    <x v="3"/>
    <n v="4"/>
    <n v="38690.07"/>
    <n v="8390.01"/>
    <x v="15"/>
    <n v="23"/>
    <x v="0"/>
    <s v="Entregada"/>
    <n v="4"/>
  </r>
  <r>
    <s v="RES-100934"/>
    <x v="193"/>
    <d v="1899-12-30T20:58:00"/>
    <x v="2"/>
    <x v="1"/>
    <x v="4"/>
    <n v="6"/>
    <n v="51202.75"/>
    <n v="3333.35"/>
    <x v="3"/>
    <n v="51"/>
    <x v="1"/>
    <s v="Cancelada"/>
    <n v="4"/>
  </r>
  <r>
    <s v="RES-100935"/>
    <x v="194"/>
    <d v="1899-12-30T21:05:00"/>
    <x v="3"/>
    <x v="2"/>
    <x v="0"/>
    <n v="5"/>
    <n v="35694.9"/>
    <n v="2809.21"/>
    <x v="17"/>
    <n v="26"/>
    <x v="2"/>
    <s v="Reembolsada"/>
    <n v="3"/>
  </r>
  <r>
    <s v="RES-100936"/>
    <x v="195"/>
    <d v="1899-12-30T10:12:00"/>
    <x v="0"/>
    <x v="0"/>
    <x v="1"/>
    <n v="4"/>
    <n v="26323.05"/>
    <n v="7288.6"/>
    <x v="10"/>
    <n v="43"/>
    <x v="0"/>
    <s v="Entregada"/>
    <n v="3"/>
  </r>
  <r>
    <s v="RES-100937"/>
    <x v="196"/>
    <d v="1899-12-30T11:19:00"/>
    <x v="1"/>
    <x v="1"/>
    <x v="2"/>
    <n v="6"/>
    <n v="46241.16"/>
    <n v="2750.34"/>
    <x v="14"/>
    <n v="28"/>
    <x v="1"/>
    <s v="Cancelada"/>
    <n v="5"/>
  </r>
  <r>
    <s v="RES-100938"/>
    <x v="197"/>
    <d v="1899-12-30T12:26:00"/>
    <x v="2"/>
    <x v="2"/>
    <x v="3"/>
    <n v="6"/>
    <n v="37144.879999999997"/>
    <n v="7643.41"/>
    <x v="1"/>
    <n v="37"/>
    <x v="2"/>
    <s v="Reembolsada"/>
    <n v="4"/>
  </r>
  <r>
    <s v="RES-100939"/>
    <x v="198"/>
    <d v="1899-12-30T13:33:00"/>
    <x v="3"/>
    <x v="0"/>
    <x v="4"/>
    <n v="6"/>
    <n v="28896.880000000001"/>
    <n v="6234.33"/>
    <x v="0"/>
    <n v="38"/>
    <x v="0"/>
    <s v="Entregada"/>
    <n v="4"/>
  </r>
  <r>
    <s v="RES-100940"/>
    <x v="199"/>
    <d v="1899-12-30T14:40:00"/>
    <x v="0"/>
    <x v="1"/>
    <x v="0"/>
    <n v="6"/>
    <n v="34966.83"/>
    <n v="1641.1"/>
    <x v="7"/>
    <n v="25"/>
    <x v="1"/>
    <s v="Cancelada"/>
    <n v="3"/>
  </r>
  <r>
    <s v="RES-100941"/>
    <x v="200"/>
    <d v="1899-12-30T15:47:00"/>
    <x v="1"/>
    <x v="2"/>
    <x v="1"/>
    <n v="2"/>
    <n v="57457.06"/>
    <n v="4954.5600000000004"/>
    <x v="14"/>
    <n v="36"/>
    <x v="2"/>
    <s v="Reembolsada"/>
    <n v="4"/>
  </r>
  <r>
    <s v="RES-100942"/>
    <x v="364"/>
    <d v="1899-12-30T16:54:00"/>
    <x v="2"/>
    <x v="0"/>
    <x v="2"/>
    <n v="3"/>
    <n v="52961.53"/>
    <n v="3264.75"/>
    <x v="4"/>
    <n v="30"/>
    <x v="0"/>
    <s v="Entregada"/>
    <n v="4"/>
  </r>
  <r>
    <s v="RES-100943"/>
    <x v="8"/>
    <d v="1899-12-30T17:01:00"/>
    <x v="3"/>
    <x v="1"/>
    <x v="3"/>
    <n v="6"/>
    <n v="64935.51"/>
    <n v="4731.6000000000004"/>
    <x v="18"/>
    <n v="23"/>
    <x v="1"/>
    <s v="Cancelada"/>
    <n v="3"/>
  </r>
  <r>
    <s v="RES-100944"/>
    <x v="36"/>
    <d v="1899-12-30T18:08:00"/>
    <x v="0"/>
    <x v="2"/>
    <x v="4"/>
    <n v="5"/>
    <n v="64667.74"/>
    <n v="2075.89"/>
    <x v="7"/>
    <n v="44"/>
    <x v="2"/>
    <s v="Reembolsada"/>
    <n v="4"/>
  </r>
  <r>
    <s v="RES-100945"/>
    <x v="365"/>
    <d v="1899-12-30T19:15:00"/>
    <x v="1"/>
    <x v="0"/>
    <x v="0"/>
    <n v="6"/>
    <n v="27277.1"/>
    <n v="4634.4799999999996"/>
    <x v="8"/>
    <n v="39"/>
    <x v="0"/>
    <s v="Entregada"/>
    <n v="5"/>
  </r>
  <r>
    <s v="RES-100946"/>
    <x v="203"/>
    <d v="1899-12-30T20:22:00"/>
    <x v="2"/>
    <x v="1"/>
    <x v="1"/>
    <n v="3"/>
    <n v="34317.360000000001"/>
    <n v="7016.08"/>
    <x v="14"/>
    <n v="32"/>
    <x v="1"/>
    <s v="Cancelada"/>
    <n v="5"/>
  </r>
  <r>
    <s v="RES-100947"/>
    <x v="357"/>
    <d v="1899-12-30T21:29:00"/>
    <x v="3"/>
    <x v="2"/>
    <x v="2"/>
    <n v="4"/>
    <n v="36599.43"/>
    <n v="6657.16"/>
    <x v="9"/>
    <n v="27"/>
    <x v="2"/>
    <s v="Reembolsada"/>
    <n v="4"/>
  </r>
  <r>
    <s v="RES-100948"/>
    <x v="150"/>
    <d v="1899-12-30T10:36:00"/>
    <x v="0"/>
    <x v="0"/>
    <x v="3"/>
    <n v="4"/>
    <n v="44515.17"/>
    <n v="3914.09"/>
    <x v="16"/>
    <n v="30"/>
    <x v="0"/>
    <s v="Entregada"/>
    <n v="4"/>
  </r>
  <r>
    <s v="RES-100949"/>
    <x v="205"/>
    <d v="1899-12-30T11:43:00"/>
    <x v="1"/>
    <x v="1"/>
    <x v="4"/>
    <n v="2"/>
    <n v="49372.99"/>
    <n v="6208.29"/>
    <x v="14"/>
    <n v="53"/>
    <x v="1"/>
    <s v="Cancelada"/>
    <n v="3"/>
  </r>
  <r>
    <s v="RES-100950"/>
    <x v="206"/>
    <d v="1899-12-30T12:50:00"/>
    <x v="2"/>
    <x v="2"/>
    <x v="0"/>
    <n v="6"/>
    <n v="64826.62"/>
    <n v="2057.5500000000002"/>
    <x v="10"/>
    <n v="34"/>
    <x v="2"/>
    <s v="Reembolsada"/>
    <n v="3"/>
  </r>
  <r>
    <s v="RES-100951"/>
    <x v="366"/>
    <d v="1899-12-30T13:57:00"/>
    <x v="3"/>
    <x v="0"/>
    <x v="1"/>
    <n v="6"/>
    <n v="50220.54"/>
    <n v="5997.6"/>
    <x v="13"/>
    <n v="25"/>
    <x v="0"/>
    <s v="Entregada"/>
    <n v="3"/>
  </r>
  <r>
    <s v="RES-100952"/>
    <x v="208"/>
    <d v="1899-12-30T14:04:00"/>
    <x v="0"/>
    <x v="1"/>
    <x v="2"/>
    <n v="6"/>
    <n v="62155.199999999997"/>
    <n v="2140.4299999999998"/>
    <x v="6"/>
    <n v="52"/>
    <x v="1"/>
    <s v="Cancelada"/>
    <n v="4"/>
  </r>
  <r>
    <s v="RES-100953"/>
    <x v="373"/>
    <d v="1899-12-30T15:11:00"/>
    <x v="1"/>
    <x v="2"/>
    <x v="3"/>
    <n v="4"/>
    <n v="37404.959999999999"/>
    <n v="8110.69"/>
    <x v="13"/>
    <n v="44"/>
    <x v="2"/>
    <s v="Reembolsada"/>
    <n v="4"/>
  </r>
  <r>
    <s v="RES-100954"/>
    <x v="210"/>
    <d v="1899-12-30T16:18:00"/>
    <x v="2"/>
    <x v="0"/>
    <x v="4"/>
    <n v="4"/>
    <n v="64368.59"/>
    <n v="3071.1"/>
    <x v="9"/>
    <n v="26"/>
    <x v="0"/>
    <s v="Entregada"/>
    <n v="4"/>
  </r>
  <r>
    <s v="RES-100955"/>
    <x v="211"/>
    <d v="1899-12-30T17:25:00"/>
    <x v="3"/>
    <x v="1"/>
    <x v="0"/>
    <n v="6"/>
    <n v="48482.51"/>
    <n v="8092.97"/>
    <x v="7"/>
    <n v="26"/>
    <x v="1"/>
    <s v="Cancelada"/>
    <n v="4"/>
  </r>
  <r>
    <s v="RES-100956"/>
    <x v="212"/>
    <d v="1899-12-30T18:32:00"/>
    <x v="0"/>
    <x v="2"/>
    <x v="1"/>
    <n v="2"/>
    <n v="64269.31"/>
    <n v="4981.28"/>
    <x v="13"/>
    <n v="51"/>
    <x v="2"/>
    <s v="Reembolsada"/>
    <n v="4"/>
  </r>
  <r>
    <s v="RES-100957"/>
    <x v="213"/>
    <d v="1899-12-30T19:39:00"/>
    <x v="1"/>
    <x v="0"/>
    <x v="2"/>
    <n v="3"/>
    <n v="49634.62"/>
    <n v="5388.2"/>
    <x v="9"/>
    <n v="46"/>
    <x v="0"/>
    <s v="Entregada"/>
    <n v="5"/>
  </r>
  <r>
    <s v="RES-100958"/>
    <x v="214"/>
    <d v="1899-12-30T20:46:00"/>
    <x v="2"/>
    <x v="1"/>
    <x v="3"/>
    <n v="5"/>
    <n v="66650.63"/>
    <n v="5572.99"/>
    <x v="9"/>
    <n v="45"/>
    <x v="1"/>
    <s v="Cancelada"/>
    <n v="3"/>
  </r>
  <r>
    <s v="RES-100959"/>
    <x v="215"/>
    <d v="1899-12-30T21:53:00"/>
    <x v="3"/>
    <x v="2"/>
    <x v="4"/>
    <n v="3"/>
    <n v="67868.02"/>
    <n v="6983.78"/>
    <x v="1"/>
    <n v="43"/>
    <x v="2"/>
    <s v="Reembolsada"/>
    <n v="5"/>
  </r>
  <r>
    <s v="RES-100960"/>
    <x v="216"/>
    <d v="1899-12-30T10:00:00"/>
    <x v="0"/>
    <x v="0"/>
    <x v="0"/>
    <n v="4"/>
    <n v="49740.87"/>
    <n v="7577.33"/>
    <x v="11"/>
    <n v="38"/>
    <x v="0"/>
    <s v="Entregada"/>
    <n v="4"/>
  </r>
  <r>
    <s v="RES-100961"/>
    <x v="217"/>
    <d v="1899-12-30T11:07:00"/>
    <x v="1"/>
    <x v="1"/>
    <x v="1"/>
    <n v="3"/>
    <n v="58662.45"/>
    <n v="5935.41"/>
    <x v="6"/>
    <n v="28"/>
    <x v="1"/>
    <s v="Cancelada"/>
    <n v="3"/>
  </r>
  <r>
    <s v="RES-100962"/>
    <x v="218"/>
    <d v="1899-12-30T12:14:00"/>
    <x v="2"/>
    <x v="2"/>
    <x v="2"/>
    <n v="5"/>
    <n v="34480.199999999997"/>
    <n v="4027.1"/>
    <x v="11"/>
    <n v="40"/>
    <x v="2"/>
    <s v="Reembolsada"/>
    <n v="5"/>
  </r>
  <r>
    <s v="RES-100963"/>
    <x v="219"/>
    <d v="1899-12-30T13:21:00"/>
    <x v="3"/>
    <x v="0"/>
    <x v="3"/>
    <n v="5"/>
    <n v="43196.77"/>
    <n v="8061.68"/>
    <x v="1"/>
    <n v="48"/>
    <x v="0"/>
    <s v="Entregada"/>
    <n v="5"/>
  </r>
  <r>
    <s v="RES-100964"/>
    <x v="220"/>
    <d v="1899-12-30T14:28:00"/>
    <x v="0"/>
    <x v="1"/>
    <x v="4"/>
    <n v="5"/>
    <n v="37170.25"/>
    <n v="2530.2600000000002"/>
    <x v="15"/>
    <n v="50"/>
    <x v="1"/>
    <s v="Cancelada"/>
    <n v="3"/>
  </r>
  <r>
    <s v="RES-100965"/>
    <x v="221"/>
    <d v="1899-12-30T15:35:00"/>
    <x v="1"/>
    <x v="2"/>
    <x v="0"/>
    <n v="4"/>
    <n v="45957.81"/>
    <n v="6095.72"/>
    <x v="10"/>
    <n v="53"/>
    <x v="2"/>
    <s v="Reembolsada"/>
    <n v="5"/>
  </r>
  <r>
    <s v="RES-100966"/>
    <x v="222"/>
    <d v="1899-12-30T16:42:00"/>
    <x v="2"/>
    <x v="0"/>
    <x v="1"/>
    <n v="2"/>
    <n v="45510.35"/>
    <n v="2351.6"/>
    <x v="10"/>
    <n v="46"/>
    <x v="0"/>
    <s v="Entregada"/>
    <n v="4"/>
  </r>
  <r>
    <s v="RES-100967"/>
    <x v="223"/>
    <d v="1899-12-30T17:49:00"/>
    <x v="3"/>
    <x v="1"/>
    <x v="2"/>
    <n v="6"/>
    <n v="68572.75"/>
    <n v="7050.09"/>
    <x v="7"/>
    <n v="33"/>
    <x v="1"/>
    <s v="Cancelada"/>
    <n v="3"/>
  </r>
  <r>
    <s v="RES-100968"/>
    <x v="224"/>
    <d v="1899-12-30T18:56:00"/>
    <x v="0"/>
    <x v="2"/>
    <x v="3"/>
    <n v="2"/>
    <n v="56569.46"/>
    <n v="2727.58"/>
    <x v="7"/>
    <n v="31"/>
    <x v="2"/>
    <s v="Reembolsada"/>
    <n v="4"/>
  </r>
  <r>
    <s v="RES-100969"/>
    <x v="225"/>
    <d v="1899-12-30T19:03:00"/>
    <x v="1"/>
    <x v="0"/>
    <x v="4"/>
    <n v="2"/>
    <n v="54448.87"/>
    <n v="3076.7"/>
    <x v="2"/>
    <n v="32"/>
    <x v="0"/>
    <s v="Entregada"/>
    <n v="5"/>
  </r>
  <r>
    <s v="RES-100970"/>
    <x v="226"/>
    <d v="1899-12-30T20:10:00"/>
    <x v="2"/>
    <x v="1"/>
    <x v="0"/>
    <n v="5"/>
    <n v="35282.160000000003"/>
    <n v="7973.69"/>
    <x v="17"/>
    <n v="24"/>
    <x v="1"/>
    <s v="Cancelada"/>
    <n v="4"/>
  </r>
  <r>
    <s v="RES-100971"/>
    <x v="227"/>
    <d v="1899-12-30T21:17:00"/>
    <x v="3"/>
    <x v="2"/>
    <x v="1"/>
    <n v="6"/>
    <n v="42801.599999999999"/>
    <n v="535.52"/>
    <x v="8"/>
    <n v="28"/>
    <x v="2"/>
    <s v="Reembolsada"/>
    <n v="4"/>
  </r>
  <r>
    <s v="RES-100972"/>
    <x v="368"/>
    <d v="1899-12-30T10:24:00"/>
    <x v="0"/>
    <x v="0"/>
    <x v="2"/>
    <n v="6"/>
    <n v="26328.080000000002"/>
    <n v="7891.34"/>
    <x v="4"/>
    <n v="44"/>
    <x v="0"/>
    <s v="Entregada"/>
    <n v="3"/>
  </r>
  <r>
    <s v="RES-100973"/>
    <x v="229"/>
    <d v="1899-12-30T11:31:00"/>
    <x v="1"/>
    <x v="1"/>
    <x v="3"/>
    <n v="4"/>
    <n v="51034.15"/>
    <n v="4273.7299999999996"/>
    <x v="7"/>
    <n v="47"/>
    <x v="1"/>
    <s v="Cancelada"/>
    <n v="3"/>
  </r>
  <r>
    <s v="RES-100974"/>
    <x v="37"/>
    <d v="1899-12-30T12:38:00"/>
    <x v="2"/>
    <x v="2"/>
    <x v="4"/>
    <n v="6"/>
    <n v="68081.64"/>
    <n v="7075.95"/>
    <x v="6"/>
    <n v="36"/>
    <x v="2"/>
    <s v="Reembolsada"/>
    <n v="5"/>
  </r>
  <r>
    <s v="RES-100975"/>
    <x v="68"/>
    <d v="1899-12-30T13:45:00"/>
    <x v="3"/>
    <x v="0"/>
    <x v="0"/>
    <n v="6"/>
    <n v="47114.01"/>
    <n v="8215.6200000000008"/>
    <x v="3"/>
    <n v="49"/>
    <x v="0"/>
    <s v="Entregada"/>
    <n v="5"/>
  </r>
  <r>
    <s v="RES-100976"/>
    <x v="96"/>
    <d v="1899-12-30T14:52:00"/>
    <x v="0"/>
    <x v="1"/>
    <x v="1"/>
    <n v="4"/>
    <n v="57530.77"/>
    <n v="5109.8599999999997"/>
    <x v="5"/>
    <n v="24"/>
    <x v="1"/>
    <s v="Cancelada"/>
    <n v="4"/>
  </r>
  <r>
    <s v="RES-100977"/>
    <x v="125"/>
    <d v="1899-12-30T15:59:00"/>
    <x v="1"/>
    <x v="2"/>
    <x v="2"/>
    <n v="3"/>
    <n v="65256.69"/>
    <n v="3314.09"/>
    <x v="5"/>
    <n v="31"/>
    <x v="2"/>
    <s v="Reembolsada"/>
    <n v="3"/>
  </r>
  <r>
    <s v="RES-100978"/>
    <x v="360"/>
    <d v="1899-12-30T16:06:00"/>
    <x v="2"/>
    <x v="0"/>
    <x v="3"/>
    <n v="2"/>
    <n v="67629.58"/>
    <n v="1483.4"/>
    <x v="7"/>
    <n v="40"/>
    <x v="0"/>
    <s v="Entregada"/>
    <n v="5"/>
  </r>
  <r>
    <s v="RES-100979"/>
    <x v="233"/>
    <d v="1899-12-30T17:13:00"/>
    <x v="3"/>
    <x v="1"/>
    <x v="4"/>
    <n v="2"/>
    <n v="41450.629999999997"/>
    <n v="5041.1899999999996"/>
    <x v="14"/>
    <n v="53"/>
    <x v="1"/>
    <s v="Cancelada"/>
    <n v="5"/>
  </r>
  <r>
    <s v="RES-100980"/>
    <x v="366"/>
    <d v="1899-12-30T18:20:00"/>
    <x v="0"/>
    <x v="2"/>
    <x v="0"/>
    <n v="6"/>
    <n v="48352.59"/>
    <n v="1800.14"/>
    <x v="10"/>
    <n v="25"/>
    <x v="2"/>
    <s v="Reembolsada"/>
    <n v="4"/>
  </r>
  <r>
    <s v="RES-100981"/>
    <x v="234"/>
    <d v="1899-12-30T19:27:00"/>
    <x v="1"/>
    <x v="0"/>
    <x v="1"/>
    <n v="4"/>
    <n v="31007.32"/>
    <n v="7300.11"/>
    <x v="0"/>
    <n v="37"/>
    <x v="0"/>
    <s v="Entregada"/>
    <n v="4"/>
  </r>
  <r>
    <s v="RES-100982"/>
    <x v="235"/>
    <d v="1899-12-30T20:34:00"/>
    <x v="2"/>
    <x v="1"/>
    <x v="2"/>
    <n v="2"/>
    <n v="68757.09"/>
    <n v="1999.62"/>
    <x v="15"/>
    <n v="31"/>
    <x v="1"/>
    <s v="Cancelada"/>
    <n v="5"/>
  </r>
  <r>
    <s v="RES-100983"/>
    <x v="288"/>
    <d v="1899-12-30T21:41:00"/>
    <x v="3"/>
    <x v="2"/>
    <x v="3"/>
    <n v="2"/>
    <n v="45803.87"/>
    <n v="7294.47"/>
    <x v="4"/>
    <n v="35"/>
    <x v="2"/>
    <s v="Reembolsada"/>
    <n v="5"/>
  </r>
  <r>
    <s v="RES-100984"/>
    <x v="237"/>
    <d v="1899-12-30T10:48:00"/>
    <x v="0"/>
    <x v="0"/>
    <x v="4"/>
    <n v="4"/>
    <n v="42490.9"/>
    <n v="4192.3"/>
    <x v="15"/>
    <n v="42"/>
    <x v="0"/>
    <s v="Entregada"/>
    <n v="3"/>
  </r>
  <r>
    <s v="RES-100985"/>
    <x v="238"/>
    <d v="1899-12-30T11:55:00"/>
    <x v="1"/>
    <x v="1"/>
    <x v="0"/>
    <n v="5"/>
    <n v="32966.870000000003"/>
    <n v="781.09"/>
    <x v="3"/>
    <n v="49"/>
    <x v="1"/>
    <s v="Cancelada"/>
    <n v="4"/>
  </r>
  <r>
    <s v="RES-100986"/>
    <x v="239"/>
    <d v="1899-12-30T12:02:00"/>
    <x v="2"/>
    <x v="2"/>
    <x v="1"/>
    <n v="3"/>
    <n v="26213.89"/>
    <n v="2889.82"/>
    <x v="13"/>
    <n v="42"/>
    <x v="2"/>
    <s v="Reembolsada"/>
    <n v="3"/>
  </r>
  <r>
    <s v="RES-100987"/>
    <x v="240"/>
    <d v="1899-12-30T13:09:00"/>
    <x v="3"/>
    <x v="0"/>
    <x v="2"/>
    <n v="3"/>
    <n v="34230.239999999998"/>
    <n v="6612.3"/>
    <x v="12"/>
    <n v="24"/>
    <x v="0"/>
    <s v="Entregada"/>
    <n v="3"/>
  </r>
  <r>
    <s v="RES-100988"/>
    <x v="241"/>
    <d v="1899-12-30T14:16:00"/>
    <x v="0"/>
    <x v="1"/>
    <x v="3"/>
    <n v="2"/>
    <n v="42849.919999999998"/>
    <n v="4183.01"/>
    <x v="15"/>
    <n v="26"/>
    <x v="1"/>
    <s v="Cancelada"/>
    <n v="5"/>
  </r>
  <r>
    <s v="RES-100989"/>
    <x v="242"/>
    <d v="1899-12-30T15:23:00"/>
    <x v="1"/>
    <x v="2"/>
    <x v="4"/>
    <n v="5"/>
    <n v="59530.92"/>
    <n v="1303.78"/>
    <x v="16"/>
    <n v="30"/>
    <x v="2"/>
    <s v="Reembolsada"/>
    <n v="4"/>
  </r>
  <r>
    <s v="RES-100990"/>
    <x v="243"/>
    <d v="1899-12-30T16:30:00"/>
    <x v="2"/>
    <x v="0"/>
    <x v="0"/>
    <n v="6"/>
    <n v="59987.56"/>
    <n v="2708.95"/>
    <x v="6"/>
    <n v="34"/>
    <x v="0"/>
    <s v="Entregada"/>
    <n v="5"/>
  </r>
  <r>
    <s v="RES-100991"/>
    <x v="244"/>
    <d v="1899-12-30T17:37:00"/>
    <x v="3"/>
    <x v="1"/>
    <x v="1"/>
    <n v="5"/>
    <n v="34776.080000000002"/>
    <n v="3359.74"/>
    <x v="6"/>
    <n v="29"/>
    <x v="1"/>
    <s v="Cancelada"/>
    <n v="4"/>
  </r>
  <r>
    <s v="RES-100992"/>
    <x v="245"/>
    <d v="1899-12-30T18:44:00"/>
    <x v="0"/>
    <x v="2"/>
    <x v="2"/>
    <n v="5"/>
    <n v="54366.95"/>
    <n v="2572.65"/>
    <x v="13"/>
    <n v="47"/>
    <x v="2"/>
    <s v="Reembolsada"/>
    <n v="5"/>
  </r>
  <r>
    <s v="RES-100993"/>
    <x v="246"/>
    <d v="1899-12-30T19:51:00"/>
    <x v="1"/>
    <x v="0"/>
    <x v="3"/>
    <n v="6"/>
    <n v="34261.74"/>
    <n v="1147.6500000000001"/>
    <x v="13"/>
    <n v="31"/>
    <x v="0"/>
    <s v="Entregada"/>
    <n v="4"/>
  </r>
  <r>
    <s v="RES-100994"/>
    <x v="247"/>
    <d v="1899-12-30T20:58:00"/>
    <x v="2"/>
    <x v="1"/>
    <x v="4"/>
    <n v="5"/>
    <n v="57959.29"/>
    <n v="817.92"/>
    <x v="8"/>
    <n v="37"/>
    <x v="1"/>
    <s v="Cancelada"/>
    <n v="3"/>
  </r>
  <r>
    <s v="RES-100995"/>
    <x v="248"/>
    <d v="1899-12-30T21:05:00"/>
    <x v="3"/>
    <x v="2"/>
    <x v="0"/>
    <n v="3"/>
    <n v="38321.56"/>
    <n v="4339.3100000000004"/>
    <x v="14"/>
    <n v="43"/>
    <x v="2"/>
    <s v="Reembolsada"/>
    <n v="3"/>
  </r>
  <r>
    <s v="RES-100996"/>
    <x v="249"/>
    <d v="1899-12-30T10:12:00"/>
    <x v="0"/>
    <x v="0"/>
    <x v="1"/>
    <n v="3"/>
    <n v="28094.41"/>
    <n v="5065.03"/>
    <x v="7"/>
    <n v="24"/>
    <x v="0"/>
    <s v="Entregada"/>
    <n v="5"/>
  </r>
  <r>
    <s v="RES-100997"/>
    <x v="250"/>
    <d v="1899-12-30T11:19:00"/>
    <x v="1"/>
    <x v="1"/>
    <x v="2"/>
    <n v="6"/>
    <n v="31629.01"/>
    <n v="8218.2800000000007"/>
    <x v="0"/>
    <n v="39"/>
    <x v="1"/>
    <s v="Cancelada"/>
    <n v="5"/>
  </r>
  <r>
    <s v="RES-100998"/>
    <x v="251"/>
    <d v="1899-12-30T12:26:00"/>
    <x v="2"/>
    <x v="2"/>
    <x v="3"/>
    <n v="2"/>
    <n v="35795.050000000003"/>
    <n v="604.28"/>
    <x v="3"/>
    <n v="42"/>
    <x v="2"/>
    <s v="Reembolsada"/>
    <n v="4"/>
  </r>
  <r>
    <s v="RES-100999"/>
    <x v="252"/>
    <d v="1899-12-30T13:33:00"/>
    <x v="3"/>
    <x v="0"/>
    <x v="4"/>
    <n v="6"/>
    <n v="53953.440000000002"/>
    <n v="3402.5"/>
    <x v="6"/>
    <n v="25"/>
    <x v="0"/>
    <s v="Entregada"/>
    <n v="5"/>
  </r>
  <r>
    <s v="RES-101000"/>
    <x v="253"/>
    <d v="1899-12-30T14:40:00"/>
    <x v="0"/>
    <x v="1"/>
    <x v="0"/>
    <n v="2"/>
    <n v="53632.92"/>
    <n v="4396.5"/>
    <x v="16"/>
    <n v="34"/>
    <x v="1"/>
    <s v="Cancelada"/>
    <n v="5"/>
  </r>
  <r>
    <s v="RES-101001"/>
    <x v="254"/>
    <d v="1899-12-30T15:47:00"/>
    <x v="1"/>
    <x v="2"/>
    <x v="1"/>
    <n v="6"/>
    <n v="36255.53"/>
    <n v="6944.01"/>
    <x v="4"/>
    <n v="28"/>
    <x v="2"/>
    <s v="Reembolsada"/>
    <n v="5"/>
  </r>
  <r>
    <s v="RES-101002"/>
    <x v="255"/>
    <d v="1899-12-30T16:54:00"/>
    <x v="2"/>
    <x v="0"/>
    <x v="2"/>
    <n v="3"/>
    <n v="60384.33"/>
    <n v="8399.2099999999991"/>
    <x v="17"/>
    <n v="44"/>
    <x v="0"/>
    <s v="Entregada"/>
    <n v="3"/>
  </r>
  <r>
    <s v="RES-101003"/>
    <x v="256"/>
    <d v="1899-12-30T17:01:00"/>
    <x v="3"/>
    <x v="1"/>
    <x v="3"/>
    <n v="6"/>
    <n v="29600.080000000002"/>
    <n v="1439.54"/>
    <x v="4"/>
    <n v="25"/>
    <x v="1"/>
    <s v="Cancelada"/>
    <n v="5"/>
  </r>
  <r>
    <s v="RES-101004"/>
    <x v="10"/>
    <d v="1899-12-30T18:08:00"/>
    <x v="0"/>
    <x v="2"/>
    <x v="4"/>
    <n v="3"/>
    <n v="61375.23"/>
    <n v="3260.68"/>
    <x v="18"/>
    <n v="37"/>
    <x v="2"/>
    <s v="Reembolsada"/>
    <n v="4"/>
  </r>
  <r>
    <s v="RES-101005"/>
    <x v="38"/>
    <d v="1899-12-30T19:15:00"/>
    <x v="1"/>
    <x v="0"/>
    <x v="0"/>
    <n v="4"/>
    <n v="26374.11"/>
    <n v="4629.16"/>
    <x v="4"/>
    <n v="47"/>
    <x v="0"/>
    <s v="Entregada"/>
    <n v="5"/>
  </r>
  <r>
    <s v="RES-101006"/>
    <x v="259"/>
    <d v="1899-12-30T20:22:00"/>
    <x v="2"/>
    <x v="1"/>
    <x v="1"/>
    <n v="5"/>
    <n v="57784.99"/>
    <n v="5519.7170588235294"/>
    <x v="0"/>
    <n v="27"/>
    <x v="1"/>
    <s v="Cancelada"/>
    <n v="5"/>
  </r>
  <r>
    <s v="RES-101007"/>
    <x v="97"/>
    <d v="1899-12-30T21:29:00"/>
    <x v="3"/>
    <x v="2"/>
    <x v="2"/>
    <n v="5"/>
    <n v="28895.39"/>
    <n v="693.93"/>
    <x v="1"/>
    <n v="32"/>
    <x v="2"/>
    <s v="Reembolsada"/>
    <n v="5"/>
  </r>
  <r>
    <s v="RES-101008"/>
    <x v="370"/>
    <d v="1899-12-30T10:36:00"/>
    <x v="0"/>
    <x v="0"/>
    <x v="3"/>
    <n v="3"/>
    <n v="28906.41"/>
    <n v="5386.62"/>
    <x v="7"/>
    <n v="40"/>
    <x v="0"/>
    <s v="Entregada"/>
    <n v="3"/>
  </r>
  <r>
    <s v="RES-101009"/>
    <x v="261"/>
    <d v="1899-12-30T11:43:00"/>
    <x v="1"/>
    <x v="1"/>
    <x v="4"/>
    <n v="2"/>
    <n v="37237.730000000003"/>
    <n v="5608.9"/>
    <x v="1"/>
    <n v="29"/>
    <x v="1"/>
    <s v="Cancelada"/>
    <n v="3"/>
  </r>
  <r>
    <s v="RES-101010"/>
    <x v="363"/>
    <d v="1899-12-30T12:50:00"/>
    <x v="2"/>
    <x v="2"/>
    <x v="0"/>
    <n v="4"/>
    <n v="63946.54"/>
    <n v="6949.91"/>
    <x v="4"/>
    <n v="44"/>
    <x v="2"/>
    <s v="Reembolsada"/>
    <n v="5"/>
  </r>
  <r>
    <s v="RES-101011"/>
    <x v="367"/>
    <d v="1899-12-30T13:57:00"/>
    <x v="3"/>
    <x v="0"/>
    <x v="1"/>
    <n v="4"/>
    <n v="45462.720000000001"/>
    <n v="1751.06"/>
    <x v="12"/>
    <n v="26"/>
    <x v="0"/>
    <s v="Entregada"/>
    <n v="4"/>
  </r>
  <r>
    <s v="RES-101012"/>
    <x v="262"/>
    <d v="1899-12-30T14:04:00"/>
    <x v="0"/>
    <x v="1"/>
    <x v="2"/>
    <n v="3"/>
    <n v="48810.39"/>
    <n v="4921.97"/>
    <x v="2"/>
    <n v="26"/>
    <x v="1"/>
    <s v="Cancelada"/>
    <n v="4"/>
  </r>
  <r>
    <s v="RES-101013"/>
    <x v="263"/>
    <d v="1899-12-30T15:11:00"/>
    <x v="1"/>
    <x v="2"/>
    <x v="3"/>
    <n v="4"/>
    <n v="65000"/>
    <n v="690.81"/>
    <x v="15"/>
    <n v="36"/>
    <x v="2"/>
    <s v="Reembolsada"/>
    <n v="4"/>
  </r>
  <r>
    <s v="RES-101014"/>
    <x v="371"/>
    <d v="1899-12-30T16:18:00"/>
    <x v="2"/>
    <x v="0"/>
    <x v="4"/>
    <n v="2"/>
    <n v="30558.34"/>
    <n v="8228.83"/>
    <x v="5"/>
    <n v="42"/>
    <x v="0"/>
    <s v="Entregada"/>
    <n v="5"/>
  </r>
  <r>
    <s v="RES-101015"/>
    <x v="265"/>
    <d v="1899-12-30T17:25:00"/>
    <x v="3"/>
    <x v="1"/>
    <x v="0"/>
    <n v="2"/>
    <n v="28962.82"/>
    <n v="7344.03"/>
    <x v="2"/>
    <n v="39"/>
    <x v="1"/>
    <s v="Cancelada"/>
    <n v="4"/>
  </r>
  <r>
    <s v="RES-101016"/>
    <x v="266"/>
    <d v="1899-12-30T18:32:00"/>
    <x v="0"/>
    <x v="2"/>
    <x v="1"/>
    <n v="6"/>
    <n v="69634.559999999998"/>
    <n v="2445.23"/>
    <x v="1"/>
    <n v="44"/>
    <x v="2"/>
    <s v="Reembolsada"/>
    <n v="3"/>
  </r>
  <r>
    <s v="RES-101017"/>
    <x v="267"/>
    <d v="1899-12-30T19:39:00"/>
    <x v="1"/>
    <x v="0"/>
    <x v="2"/>
    <n v="5"/>
    <n v="43727.49"/>
    <n v="3987.38"/>
    <x v="15"/>
    <n v="31"/>
    <x v="0"/>
    <s v="Entregada"/>
    <n v="4"/>
  </r>
  <r>
    <s v="RES-101018"/>
    <x v="268"/>
    <d v="1899-12-30T20:46:00"/>
    <x v="2"/>
    <x v="1"/>
    <x v="3"/>
    <n v="2"/>
    <n v="68519.61"/>
    <n v="6662.08"/>
    <x v="15"/>
    <n v="46"/>
    <x v="1"/>
    <s v="Cancelada"/>
    <n v="5"/>
  </r>
  <r>
    <s v="RES-101019"/>
    <x v="269"/>
    <d v="1899-12-30T21:53:00"/>
    <x v="3"/>
    <x v="2"/>
    <x v="4"/>
    <n v="6"/>
    <n v="67306.59"/>
    <n v="4888.7"/>
    <x v="2"/>
    <n v="25"/>
    <x v="2"/>
    <s v="Reembolsada"/>
    <n v="3"/>
  </r>
  <r>
    <s v="RES-101020"/>
    <x v="270"/>
    <d v="1899-12-30T10:00:00"/>
    <x v="0"/>
    <x v="0"/>
    <x v="0"/>
    <n v="6"/>
    <n v="66999.320000000007"/>
    <n v="7437.7"/>
    <x v="17"/>
    <n v="29"/>
    <x v="0"/>
    <s v="Entregada"/>
    <n v="3"/>
  </r>
  <r>
    <s v="RES-101021"/>
    <x v="271"/>
    <d v="1899-12-30T11:07:00"/>
    <x v="1"/>
    <x v="1"/>
    <x v="1"/>
    <n v="5"/>
    <n v="68075.06"/>
    <n v="6355.04"/>
    <x v="15"/>
    <n v="25"/>
    <x v="1"/>
    <s v="Cancelada"/>
    <n v="5"/>
  </r>
  <r>
    <s v="RES-101022"/>
    <x v="272"/>
    <d v="1899-12-30T12:14:00"/>
    <x v="2"/>
    <x v="2"/>
    <x v="2"/>
    <n v="5"/>
    <n v="30083.22"/>
    <n v="6843.09"/>
    <x v="12"/>
    <n v="43"/>
    <x v="2"/>
    <s v="Reembolsada"/>
    <n v="5"/>
  </r>
  <r>
    <s v="RES-101023"/>
    <x v="273"/>
    <d v="1899-12-30T13:21:00"/>
    <x v="3"/>
    <x v="0"/>
    <x v="3"/>
    <n v="2"/>
    <n v="60405.68"/>
    <n v="3485.06"/>
    <x v="13"/>
    <n v="39"/>
    <x v="0"/>
    <s v="Entregada"/>
    <n v="3"/>
  </r>
  <r>
    <s v="RES-101024"/>
    <x v="274"/>
    <d v="1899-12-30T14:28:00"/>
    <x v="0"/>
    <x v="1"/>
    <x v="4"/>
    <n v="4"/>
    <n v="63653.34"/>
    <n v="2826.28"/>
    <x v="8"/>
    <n v="31"/>
    <x v="1"/>
    <s v="Cancelada"/>
    <n v="3"/>
  </r>
  <r>
    <s v="RES-101025"/>
    <x v="275"/>
    <d v="1899-12-30T15:35:00"/>
    <x v="1"/>
    <x v="2"/>
    <x v="0"/>
    <n v="6"/>
    <n v="64759.41"/>
    <n v="2941.96"/>
    <x v="6"/>
    <n v="28"/>
    <x v="2"/>
    <s v="Reembolsada"/>
    <n v="5"/>
  </r>
  <r>
    <s v="RES-101026"/>
    <x v="276"/>
    <d v="1899-12-30T16:42:00"/>
    <x v="2"/>
    <x v="0"/>
    <x v="1"/>
    <n v="6"/>
    <n v="43645.55"/>
    <n v="7682.8"/>
    <x v="16"/>
    <n v="42"/>
    <x v="0"/>
    <s v="Entregada"/>
    <n v="4"/>
  </r>
  <r>
    <s v="RES-101027"/>
    <x v="277"/>
    <d v="1899-12-30T17:49:00"/>
    <x v="3"/>
    <x v="1"/>
    <x v="2"/>
    <n v="6"/>
    <n v="47234.94"/>
    <n v="4678.07"/>
    <x v="17"/>
    <n v="39"/>
    <x v="1"/>
    <s v="Cancelada"/>
    <n v="3"/>
  </r>
  <r>
    <s v="RES-101028"/>
    <x v="278"/>
    <d v="1899-12-30T18:56:00"/>
    <x v="0"/>
    <x v="2"/>
    <x v="3"/>
    <n v="5"/>
    <n v="68147"/>
    <n v="4030.69"/>
    <x v="9"/>
    <n v="45"/>
    <x v="2"/>
    <s v="Reembolsada"/>
    <n v="4"/>
  </r>
  <r>
    <s v="RES-101029"/>
    <x v="279"/>
    <d v="1899-12-30T19:03:00"/>
    <x v="1"/>
    <x v="0"/>
    <x v="4"/>
    <n v="4"/>
    <n v="66367.509999999995"/>
    <n v="2865.68"/>
    <x v="13"/>
    <n v="42"/>
    <x v="0"/>
    <s v="Entregada"/>
    <n v="4"/>
  </r>
  <r>
    <s v="RES-101030"/>
    <x v="280"/>
    <d v="1899-12-30T20:10:00"/>
    <x v="2"/>
    <x v="1"/>
    <x v="0"/>
    <n v="6"/>
    <n v="49110.37"/>
    <n v="3993.19"/>
    <x v="2"/>
    <n v="31"/>
    <x v="1"/>
    <s v="Cancelada"/>
    <n v="5"/>
  </r>
  <r>
    <s v="RES-101031"/>
    <x v="281"/>
    <d v="1899-12-30T21:17:00"/>
    <x v="3"/>
    <x v="2"/>
    <x v="1"/>
    <n v="6"/>
    <n v="38544.83"/>
    <n v="7762.49"/>
    <x v="0"/>
    <n v="32"/>
    <x v="2"/>
    <s v="Reembolsada"/>
    <n v="5"/>
  </r>
  <r>
    <s v="RES-101032"/>
    <x v="282"/>
    <d v="1899-12-30T10:24:00"/>
    <x v="0"/>
    <x v="0"/>
    <x v="2"/>
    <n v="6"/>
    <n v="69706.149999999994"/>
    <n v="7409.72"/>
    <x v="4"/>
    <n v="47"/>
    <x v="0"/>
    <s v="Entregada"/>
    <n v="3"/>
  </r>
  <r>
    <s v="RES-101033"/>
    <x v="283"/>
    <d v="1899-12-30T11:31:00"/>
    <x v="1"/>
    <x v="1"/>
    <x v="3"/>
    <n v="5"/>
    <n v="51211.22"/>
    <n v="3277.64"/>
    <x v="7"/>
    <n v="24"/>
    <x v="1"/>
    <s v="Cancelada"/>
    <n v="4"/>
  </r>
  <r>
    <s v="RES-101034"/>
    <x v="343"/>
    <d v="1899-12-30T12:38:00"/>
    <x v="2"/>
    <x v="2"/>
    <x v="4"/>
    <n v="6"/>
    <n v="43177.8"/>
    <n v="5348.61"/>
    <x v="6"/>
    <n v="39"/>
    <x v="2"/>
    <s v="Reembolsada"/>
    <n v="4"/>
  </r>
  <r>
    <s v="RES-101035"/>
    <x v="347"/>
    <d v="1899-12-30T13:45:00"/>
    <x v="3"/>
    <x v="0"/>
    <x v="0"/>
    <n v="6"/>
    <n v="66709.820000000007"/>
    <n v="4963.6899999999996"/>
    <x v="9"/>
    <n v="32"/>
    <x v="0"/>
    <s v="Entregada"/>
    <n v="3"/>
  </r>
  <r>
    <s v="RES-101036"/>
    <x v="284"/>
    <d v="1899-12-30T14:52:00"/>
    <x v="0"/>
    <x v="1"/>
    <x v="1"/>
    <n v="6"/>
    <n v="61973.22"/>
    <n v="7945.12"/>
    <x v="11"/>
    <n v="50"/>
    <x v="1"/>
    <s v="Cancelada"/>
    <n v="5"/>
  </r>
  <r>
    <s v="RES-101037"/>
    <x v="98"/>
    <d v="1899-12-30T15:59:00"/>
    <x v="1"/>
    <x v="2"/>
    <x v="2"/>
    <n v="6"/>
    <n v="65779.600000000006"/>
    <n v="6806.2"/>
    <x v="2"/>
    <n v="51"/>
    <x v="2"/>
    <s v="Reembolsada"/>
    <n v="4"/>
  </r>
  <r>
    <s v="RES-101038"/>
    <x v="127"/>
    <d v="1899-12-30T16:06:00"/>
    <x v="2"/>
    <x v="0"/>
    <x v="3"/>
    <n v="3"/>
    <n v="44861.120000000003"/>
    <n v="6259.53"/>
    <x v="1"/>
    <n v="42"/>
    <x v="0"/>
    <s v="Entregada"/>
    <n v="4"/>
  </r>
  <r>
    <s v="RES-101039"/>
    <x v="153"/>
    <d v="1899-12-30T17:13:00"/>
    <x v="3"/>
    <x v="1"/>
    <x v="4"/>
    <n v="6"/>
    <n v="55362.2"/>
    <n v="5645.04"/>
    <x v="9"/>
    <n v="24"/>
    <x v="1"/>
    <s v="Cancelada"/>
    <n v="4"/>
  </r>
  <r>
    <s v="RES-101040"/>
    <x v="181"/>
    <d v="1899-12-30T18:20:00"/>
    <x v="0"/>
    <x v="2"/>
    <x v="0"/>
    <n v="5"/>
    <n v="31238.33"/>
    <n v="6165.45"/>
    <x v="10"/>
    <n v="32"/>
    <x v="2"/>
    <s v="Reembolsada"/>
    <n v="5"/>
  </r>
  <r>
    <s v="RES-101041"/>
    <x v="373"/>
    <d v="1899-12-30T19:27:00"/>
    <x v="1"/>
    <x v="0"/>
    <x v="1"/>
    <n v="2"/>
    <n v="41388.97"/>
    <n v="6443.11"/>
    <x v="2"/>
    <n v="52"/>
    <x v="0"/>
    <s v="Entregada"/>
    <n v="3"/>
  </r>
  <r>
    <s v="RES-101042"/>
    <x v="288"/>
    <d v="1899-12-30T20:34:00"/>
    <x v="2"/>
    <x v="1"/>
    <x v="2"/>
    <n v="4"/>
    <n v="50547.67"/>
    <n v="1322.07"/>
    <x v="5"/>
    <n v="35"/>
    <x v="1"/>
    <s v="Cancelada"/>
    <n v="4"/>
  </r>
  <r>
    <s v="RES-101043"/>
    <x v="371"/>
    <d v="1899-12-30T21:41:00"/>
    <x v="3"/>
    <x v="2"/>
    <x v="3"/>
    <n v="4"/>
    <n v="69920.23"/>
    <n v="7620.83"/>
    <x v="9"/>
    <n v="38"/>
    <x v="2"/>
    <s v="Reembolsada"/>
    <n v="3"/>
  </r>
  <r>
    <s v="RES-101044"/>
    <x v="289"/>
    <d v="1899-12-30T10:48:00"/>
    <x v="0"/>
    <x v="0"/>
    <x v="4"/>
    <n v="3"/>
    <n v="50564.34"/>
    <n v="674.71"/>
    <x v="18"/>
    <n v="24"/>
    <x v="0"/>
    <s v="Entregada"/>
    <n v="4"/>
  </r>
  <r>
    <s v="RES-101045"/>
    <x v="290"/>
    <d v="1899-12-30T11:55:00"/>
    <x v="1"/>
    <x v="1"/>
    <x v="0"/>
    <n v="5"/>
    <n v="42547.87"/>
    <n v="6292.37"/>
    <x v="13"/>
    <n v="39"/>
    <x v="1"/>
    <s v="Cancelada"/>
    <n v="3"/>
  </r>
  <r>
    <s v="RES-101046"/>
    <x v="291"/>
    <d v="1899-12-30T12:02:00"/>
    <x v="2"/>
    <x v="2"/>
    <x v="1"/>
    <n v="6"/>
    <n v="69107.899999999994"/>
    <n v="4312.3836842105266"/>
    <x v="17"/>
    <n v="33"/>
    <x v="2"/>
    <s v="Reembolsada"/>
    <n v="3"/>
  </r>
  <r>
    <s v="RES-101047"/>
    <x v="292"/>
    <d v="1899-12-30T13:09:00"/>
    <x v="3"/>
    <x v="0"/>
    <x v="2"/>
    <n v="5"/>
    <n v="67260.14"/>
    <n v="4961.96"/>
    <x v="1"/>
    <n v="49"/>
    <x v="0"/>
    <s v="Entregada"/>
    <n v="3"/>
  </r>
  <r>
    <s v="RES-101048"/>
    <x v="293"/>
    <d v="1899-12-30T14:16:00"/>
    <x v="0"/>
    <x v="1"/>
    <x v="3"/>
    <n v="3"/>
    <n v="61678.61"/>
    <n v="1107"/>
    <x v="14"/>
    <n v="47"/>
    <x v="1"/>
    <s v="Cancelada"/>
    <n v="5"/>
  </r>
  <r>
    <s v="RES-101049"/>
    <x v="294"/>
    <d v="1899-12-30T15:23:00"/>
    <x v="1"/>
    <x v="2"/>
    <x v="4"/>
    <n v="5"/>
    <n v="51799.75"/>
    <n v="7313.27"/>
    <x v="12"/>
    <n v="32"/>
    <x v="2"/>
    <s v="Reembolsada"/>
    <n v="5"/>
  </r>
  <r>
    <s v="RES-101050"/>
    <x v="295"/>
    <d v="1899-12-30T16:30:00"/>
    <x v="2"/>
    <x v="0"/>
    <x v="0"/>
    <n v="3"/>
    <n v="48443.42"/>
    <n v="6011.99"/>
    <x v="2"/>
    <n v="23"/>
    <x v="0"/>
    <s v="Entregada"/>
    <n v="4"/>
  </r>
  <r>
    <s v="RES-101051"/>
    <x v="296"/>
    <d v="1899-12-30T17:37:00"/>
    <x v="3"/>
    <x v="1"/>
    <x v="1"/>
    <n v="4"/>
    <n v="47207.37"/>
    <n v="8249.07"/>
    <x v="15"/>
    <n v="37"/>
    <x v="1"/>
    <s v="Cancelada"/>
    <n v="5"/>
  </r>
  <r>
    <s v="RES-101052"/>
    <x v="297"/>
    <d v="1899-12-30T18:44:00"/>
    <x v="0"/>
    <x v="2"/>
    <x v="2"/>
    <n v="5"/>
    <n v="58741.7"/>
    <n v="6057.19"/>
    <x v="12"/>
    <n v="25"/>
    <x v="2"/>
    <s v="Reembolsada"/>
    <n v="3"/>
  </r>
  <r>
    <s v="RES-101053"/>
    <x v="298"/>
    <d v="1899-12-30T19:51:00"/>
    <x v="1"/>
    <x v="0"/>
    <x v="3"/>
    <n v="4"/>
    <n v="59714.02"/>
    <n v="4706.1400000000003"/>
    <x v="14"/>
    <n v="37"/>
    <x v="0"/>
    <s v="Entregada"/>
    <n v="3"/>
  </r>
  <r>
    <s v="RES-101054"/>
    <x v="299"/>
    <d v="1899-12-30T20:58:00"/>
    <x v="2"/>
    <x v="1"/>
    <x v="4"/>
    <n v="4"/>
    <n v="42162.29"/>
    <n v="7325.45"/>
    <x v="9"/>
    <n v="28"/>
    <x v="1"/>
    <s v="Cancelada"/>
    <n v="3"/>
  </r>
  <r>
    <s v="RES-101055"/>
    <x v="300"/>
    <d v="1899-12-30T21:05:00"/>
    <x v="3"/>
    <x v="2"/>
    <x v="0"/>
    <n v="2"/>
    <n v="41047.06"/>
    <n v="6397.35"/>
    <x v="16"/>
    <n v="42"/>
    <x v="2"/>
    <s v="Reembolsada"/>
    <n v="5"/>
  </r>
  <r>
    <s v="RES-101056"/>
    <x v="301"/>
    <d v="1899-12-30T10:12:00"/>
    <x v="0"/>
    <x v="0"/>
    <x v="1"/>
    <n v="3"/>
    <n v="36176.81"/>
    <n v="8392.18"/>
    <x v="4"/>
    <n v="50"/>
    <x v="0"/>
    <s v="Entregada"/>
    <n v="4"/>
  </r>
  <r>
    <s v="RES-101057"/>
    <x v="302"/>
    <d v="1899-12-30T11:19:00"/>
    <x v="1"/>
    <x v="1"/>
    <x v="2"/>
    <n v="2"/>
    <n v="58767.02"/>
    <n v="3593.82"/>
    <x v="11"/>
    <n v="41"/>
    <x v="1"/>
    <s v="Cancelada"/>
    <n v="3"/>
  </r>
  <r>
    <s v="RES-101058"/>
    <x v="303"/>
    <d v="1899-12-30T12:26:00"/>
    <x v="2"/>
    <x v="2"/>
    <x v="3"/>
    <n v="6"/>
    <n v="34460.51"/>
    <n v="7094.39"/>
    <x v="14"/>
    <n v="29"/>
    <x v="2"/>
    <s v="Reembolsada"/>
    <n v="4"/>
  </r>
  <r>
    <s v="RES-101059"/>
    <x v="304"/>
    <d v="1899-12-30T13:33:00"/>
    <x v="3"/>
    <x v="0"/>
    <x v="4"/>
    <n v="3"/>
    <n v="53281.51"/>
    <n v="627.47"/>
    <x v="10"/>
    <n v="45"/>
    <x v="0"/>
    <s v="Entregada"/>
    <n v="5"/>
  </r>
  <r>
    <s v="RES-101060"/>
    <x v="305"/>
    <d v="1899-12-30T14:40:00"/>
    <x v="0"/>
    <x v="1"/>
    <x v="0"/>
    <n v="6"/>
    <n v="53646.35"/>
    <n v="7442.79"/>
    <x v="15"/>
    <n v="32"/>
    <x v="1"/>
    <s v="Cancelada"/>
    <n v="3"/>
  </r>
  <r>
    <s v="RES-101061"/>
    <x v="306"/>
    <d v="1899-12-30T15:47:00"/>
    <x v="1"/>
    <x v="2"/>
    <x v="1"/>
    <n v="3"/>
    <n v="41133.54"/>
    <n v="7765.06"/>
    <x v="9"/>
    <n v="37"/>
    <x v="2"/>
    <s v="Reembolsada"/>
    <n v="5"/>
  </r>
  <r>
    <s v="RES-101062"/>
    <x v="307"/>
    <d v="1899-12-30T16:54:00"/>
    <x v="2"/>
    <x v="0"/>
    <x v="2"/>
    <n v="6"/>
    <n v="37712.65"/>
    <n v="7109.46"/>
    <x v="0"/>
    <n v="49"/>
    <x v="0"/>
    <s v="Entregada"/>
    <n v="4"/>
  </r>
  <r>
    <s v="RES-101063"/>
    <x v="308"/>
    <d v="1899-12-30T17:01:00"/>
    <x v="3"/>
    <x v="1"/>
    <x v="3"/>
    <n v="6"/>
    <n v="67476.52"/>
    <n v="1297.2"/>
    <x v="5"/>
    <n v="24"/>
    <x v="1"/>
    <s v="Cancelada"/>
    <n v="5"/>
  </r>
  <r>
    <s v="RES-101064"/>
    <x v="309"/>
    <d v="1899-12-30T18:08:00"/>
    <x v="0"/>
    <x v="2"/>
    <x v="4"/>
    <n v="2"/>
    <n v="46002.94"/>
    <n v="3045.81"/>
    <x v="3"/>
    <n v="43"/>
    <x v="2"/>
    <s v="Reembolsada"/>
    <n v="4"/>
  </r>
  <r>
    <s v="RES-101065"/>
    <x v="374"/>
    <d v="1899-12-30T19:15:00"/>
    <x v="1"/>
    <x v="0"/>
    <x v="0"/>
    <n v="5"/>
    <n v="56649.91"/>
    <n v="1632.05"/>
    <x v="3"/>
    <n v="32"/>
    <x v="0"/>
    <s v="Entregada"/>
    <n v="3"/>
  </r>
  <r>
    <s v="RES-101066"/>
    <x v="311"/>
    <d v="1899-12-30T20:22:00"/>
    <x v="2"/>
    <x v="1"/>
    <x v="1"/>
    <n v="6"/>
    <n v="68273.14"/>
    <n v="7911.4"/>
    <x v="3"/>
    <n v="35"/>
    <x v="1"/>
    <s v="Cancelada"/>
    <n v="3"/>
  </r>
  <r>
    <s v="RES-101067"/>
    <x v="384"/>
    <d v="1899-12-30T21:29:00"/>
    <x v="3"/>
    <x v="2"/>
    <x v="2"/>
    <n v="2"/>
    <n v="54137.09"/>
    <n v="5246.39"/>
    <x v="12"/>
    <n v="51"/>
    <x v="2"/>
    <s v="Reembolsada"/>
    <n v="4"/>
  </r>
  <r>
    <s v="RES-101068"/>
    <x v="376"/>
    <d v="1899-12-30T10:36:00"/>
    <x v="0"/>
    <x v="0"/>
    <x v="3"/>
    <n v="5"/>
    <n v="66113.710000000006"/>
    <n v="4133.87"/>
    <x v="18"/>
    <n v="46"/>
    <x v="0"/>
    <s v="Entregada"/>
    <n v="4"/>
  </r>
  <r>
    <s v="RES-101069"/>
    <x v="314"/>
    <d v="1899-12-30T11:43:00"/>
    <x v="1"/>
    <x v="1"/>
    <x v="4"/>
    <n v="6"/>
    <n v="29030.99"/>
    <n v="2114.66"/>
    <x v="0"/>
    <n v="46"/>
    <x v="1"/>
    <s v="Cancelada"/>
    <n v="5"/>
  </r>
  <r>
    <s v="RES-101070"/>
    <x v="385"/>
    <d v="1899-12-30T12:50:00"/>
    <x v="2"/>
    <x v="2"/>
    <x v="0"/>
    <n v="3"/>
    <n v="45911.42"/>
    <n v="6808.52"/>
    <x v="14"/>
    <n v="41"/>
    <x v="2"/>
    <s v="Reembolsada"/>
    <n v="3"/>
  </r>
  <r>
    <s v="RES-101071"/>
    <x v="378"/>
    <d v="1899-12-30T13:57:00"/>
    <x v="3"/>
    <x v="0"/>
    <x v="1"/>
    <n v="6"/>
    <n v="11948.79"/>
    <n v="8395"/>
    <x v="10"/>
    <n v="42"/>
    <x v="0"/>
    <s v="Entregada"/>
    <n v="3"/>
  </r>
  <r>
    <s v="RES-101072"/>
    <x v="317"/>
    <d v="1899-12-30T14:04:00"/>
    <x v="0"/>
    <x v="1"/>
    <x v="2"/>
    <n v="4"/>
    <n v="30107.61"/>
    <n v="4219.03"/>
    <x v="18"/>
    <n v="27"/>
    <x v="1"/>
    <s v="Cancelada"/>
    <n v="5"/>
  </r>
  <r>
    <s v="RES-101073"/>
    <x v="386"/>
    <d v="1899-12-30T15:11:00"/>
    <x v="1"/>
    <x v="2"/>
    <x v="3"/>
    <n v="6"/>
    <n v="49548.07"/>
    <n v="4529.8863157894739"/>
    <x v="2"/>
    <n v="40"/>
    <x v="2"/>
    <s v="Reembolsada"/>
    <n v="3"/>
  </r>
  <r>
    <s v="RES-101074"/>
    <x v="380"/>
    <d v="1899-12-30T16:18:00"/>
    <x v="2"/>
    <x v="0"/>
    <x v="4"/>
    <n v="2"/>
    <n v="52139.93"/>
    <n v="4430.6899999999996"/>
    <x v="14"/>
    <n v="53"/>
    <x v="0"/>
    <s v="Entregada"/>
    <n v="4"/>
  </r>
  <r>
    <s v="RES-101075"/>
    <x v="320"/>
    <d v="1899-12-30T17:25:00"/>
    <x v="3"/>
    <x v="1"/>
    <x v="0"/>
    <n v="3"/>
    <n v="30271.46"/>
    <n v="5198.3900000000003"/>
    <x v="6"/>
    <n v="43"/>
    <x v="1"/>
    <s v="Cancelada"/>
    <n v="4"/>
  </r>
  <r>
    <s v="RES-101076"/>
    <x v="321"/>
    <d v="1899-12-30T18:32:00"/>
    <x v="0"/>
    <x v="2"/>
    <x v="1"/>
    <n v="4"/>
    <n v="47552.41"/>
    <n v="5356.54"/>
    <x v="10"/>
    <n v="29"/>
    <x v="2"/>
    <s v="Reembolsada"/>
    <n v="5"/>
  </r>
  <r>
    <s v="RES-101077"/>
    <x v="322"/>
    <d v="1899-12-30T19:39:00"/>
    <x v="1"/>
    <x v="0"/>
    <x v="2"/>
    <n v="3"/>
    <n v="67443.11"/>
    <n v="4009.47"/>
    <x v="11"/>
    <n v="49"/>
    <x v="0"/>
    <s v="Entregada"/>
    <n v="3"/>
  </r>
  <r>
    <s v="RES-101078"/>
    <x v="323"/>
    <d v="1899-12-30T20:46:00"/>
    <x v="2"/>
    <x v="1"/>
    <x v="3"/>
    <n v="5"/>
    <n v="31413.77"/>
    <n v="7047.89"/>
    <x v="13"/>
    <n v="37"/>
    <x v="1"/>
    <s v="Cancelada"/>
    <n v="4"/>
  </r>
  <r>
    <s v="RES-101079"/>
    <x v="324"/>
    <d v="1899-12-30T21:53:00"/>
    <x v="3"/>
    <x v="2"/>
    <x v="4"/>
    <n v="6"/>
    <n v="46653.97"/>
    <n v="6446.2"/>
    <x v="17"/>
    <n v="46"/>
    <x v="2"/>
    <s v="Reembolsada"/>
    <n v="4"/>
  </r>
  <r>
    <s v="RES-101080"/>
    <x v="325"/>
    <d v="1899-12-30T10:00:00"/>
    <x v="0"/>
    <x v="0"/>
    <x v="0"/>
    <n v="5"/>
    <n v="49398.62"/>
    <n v="7431.78"/>
    <x v="2"/>
    <n v="51"/>
    <x v="0"/>
    <s v="Entregada"/>
    <n v="5"/>
  </r>
  <r>
    <s v="RES-101081"/>
    <x v="326"/>
    <d v="1899-12-30T11:07:00"/>
    <x v="1"/>
    <x v="1"/>
    <x v="1"/>
    <n v="4"/>
    <n v="63159"/>
    <n v="1125.56"/>
    <x v="5"/>
    <n v="47"/>
    <x v="1"/>
    <s v="Cancelada"/>
    <n v="4"/>
  </r>
  <r>
    <s v="RES-101082"/>
    <x v="327"/>
    <d v="1899-12-30T12:14:00"/>
    <x v="2"/>
    <x v="2"/>
    <x v="2"/>
    <n v="6"/>
    <n v="53777.73"/>
    <n v="7192.93"/>
    <x v="11"/>
    <n v="29"/>
    <x v="2"/>
    <s v="Reembolsada"/>
    <n v="4"/>
  </r>
  <r>
    <s v="RES-101083"/>
    <x v="328"/>
    <d v="1899-12-30T13:21:00"/>
    <x v="3"/>
    <x v="0"/>
    <x v="3"/>
    <n v="5"/>
    <n v="48464.38"/>
    <n v="4390.932777777778"/>
    <x v="12"/>
    <n v="49"/>
    <x v="0"/>
    <s v="Entregada"/>
    <n v="3"/>
  </r>
  <r>
    <s v="RES-101084"/>
    <x v="329"/>
    <d v="1899-12-30T14:28:00"/>
    <x v="0"/>
    <x v="1"/>
    <x v="4"/>
    <n v="3"/>
    <n v="43241.83"/>
    <n v="5810.25"/>
    <x v="3"/>
    <n v="45"/>
    <x v="1"/>
    <s v="Cancelada"/>
    <n v="3"/>
  </r>
  <r>
    <s v="RES-101085"/>
    <x v="330"/>
    <d v="1899-12-30T15:35:00"/>
    <x v="1"/>
    <x v="2"/>
    <x v="0"/>
    <n v="2"/>
    <n v="36975.65"/>
    <n v="1696.69"/>
    <x v="8"/>
    <n v="37"/>
    <x v="2"/>
    <s v="Reembolsada"/>
    <n v="5"/>
  </r>
  <r>
    <s v="RES-101086"/>
    <x v="331"/>
    <d v="1899-12-30T16:42:00"/>
    <x v="2"/>
    <x v="0"/>
    <x v="1"/>
    <n v="4"/>
    <n v="37118.44"/>
    <n v="6058.84"/>
    <x v="7"/>
    <n v="25"/>
    <x v="0"/>
    <s v="Entregada"/>
    <n v="5"/>
  </r>
  <r>
    <s v="RES-101087"/>
    <x v="332"/>
    <d v="1899-12-30T17:49:00"/>
    <x v="3"/>
    <x v="1"/>
    <x v="2"/>
    <n v="3"/>
    <n v="61962.86"/>
    <n v="8136.64"/>
    <x v="7"/>
    <n v="41"/>
    <x v="1"/>
    <s v="Cancelada"/>
    <n v="4"/>
  </r>
  <r>
    <s v="RES-101088"/>
    <x v="333"/>
    <d v="1899-12-30T18:56:00"/>
    <x v="0"/>
    <x v="2"/>
    <x v="3"/>
    <n v="3"/>
    <n v="35379.94"/>
    <n v="5633.65"/>
    <x v="9"/>
    <n v="43"/>
    <x v="2"/>
    <s v="Reembolsada"/>
    <n v="3"/>
  </r>
  <r>
    <s v="RES-101089"/>
    <x v="334"/>
    <d v="1899-12-30T19:03:00"/>
    <x v="1"/>
    <x v="0"/>
    <x v="4"/>
    <n v="4"/>
    <n v="49250.07"/>
    <n v="3571.56"/>
    <x v="14"/>
    <n v="40"/>
    <x v="0"/>
    <s v="Entregada"/>
    <n v="3"/>
  </r>
  <r>
    <s v="RES-101090"/>
    <x v="335"/>
    <d v="1899-12-30T20:10:00"/>
    <x v="2"/>
    <x v="1"/>
    <x v="0"/>
    <n v="4"/>
    <n v="56542.12"/>
    <n v="3157.38"/>
    <x v="0"/>
    <n v="27"/>
    <x v="1"/>
    <s v="Cancelada"/>
    <n v="5"/>
  </r>
  <r>
    <s v="RES-101091"/>
    <x v="336"/>
    <d v="1899-12-30T21:17:00"/>
    <x v="3"/>
    <x v="2"/>
    <x v="1"/>
    <n v="2"/>
    <n v="50665.29"/>
    <n v="6193.48"/>
    <x v="17"/>
    <n v="36"/>
    <x v="2"/>
    <s v="Reembolsada"/>
    <n v="3"/>
  </r>
  <r>
    <s v="RES-101092"/>
    <x v="337"/>
    <d v="1899-12-30T10:24:00"/>
    <x v="0"/>
    <x v="0"/>
    <x v="2"/>
    <n v="6"/>
    <n v="33431.32"/>
    <n v="4112.58"/>
    <x v="9"/>
    <n v="47"/>
    <x v="0"/>
    <s v="Entregada"/>
    <n v="5"/>
  </r>
  <r>
    <s v="RES-101093"/>
    <x v="338"/>
    <d v="1899-12-30T11:31:00"/>
    <x v="1"/>
    <x v="1"/>
    <x v="3"/>
    <n v="2"/>
    <n v="26637.24"/>
    <n v="3422.38"/>
    <x v="14"/>
    <n v="42"/>
    <x v="1"/>
    <s v="Cancelada"/>
    <n v="3"/>
  </r>
  <r>
    <s v="RES-101094"/>
    <x v="339"/>
    <d v="1899-12-30T12:38:00"/>
    <x v="2"/>
    <x v="2"/>
    <x v="4"/>
    <n v="3"/>
    <n v="37065.160000000003"/>
    <n v="7049.09"/>
    <x v="4"/>
    <n v="52"/>
    <x v="2"/>
    <s v="Reembolsada"/>
    <n v="4"/>
  </r>
  <r>
    <s v="RES-101095"/>
    <x v="0"/>
    <d v="1899-12-30T13:45:00"/>
    <x v="3"/>
    <x v="0"/>
    <x v="0"/>
    <n v="6"/>
    <n v="61053.03"/>
    <n v="6152.03"/>
    <x v="8"/>
    <n v="48"/>
    <x v="0"/>
    <s v="Entregada"/>
    <n v="4"/>
  </r>
  <r>
    <s v="RES-101096"/>
    <x v="1"/>
    <d v="1899-12-30T14:52:00"/>
    <x v="0"/>
    <x v="1"/>
    <x v="1"/>
    <n v="2"/>
    <n v="58369.279999999999"/>
    <n v="7280.07"/>
    <x v="12"/>
    <n v="32"/>
    <x v="1"/>
    <s v="Cancelada"/>
    <n v="3"/>
  </r>
  <r>
    <s v="RES-101097"/>
    <x v="2"/>
    <d v="1899-12-30T15:59:00"/>
    <x v="1"/>
    <x v="2"/>
    <x v="2"/>
    <n v="4"/>
    <n v="63471.01"/>
    <n v="3252.1"/>
    <x v="9"/>
    <n v="50"/>
    <x v="2"/>
    <s v="Reembolsada"/>
    <n v="4"/>
  </r>
  <r>
    <s v="RES-101098"/>
    <x v="3"/>
    <d v="1899-12-30T16:06:00"/>
    <x v="2"/>
    <x v="0"/>
    <x v="3"/>
    <n v="3"/>
    <n v="67935.199999999997"/>
    <n v="7894.07"/>
    <x v="13"/>
    <n v="52"/>
    <x v="0"/>
    <s v="Entregada"/>
    <n v="4"/>
  </r>
  <r>
    <s v="RES-101099"/>
    <x v="4"/>
    <d v="1899-12-30T17:13:00"/>
    <x v="3"/>
    <x v="1"/>
    <x v="4"/>
    <n v="5"/>
    <n v="32676.41"/>
    <n v="671.36"/>
    <x v="0"/>
    <n v="38"/>
    <x v="1"/>
    <s v="Cancelada"/>
    <n v="3"/>
  </r>
  <r>
    <s v="RES-101100"/>
    <x v="5"/>
    <d v="1899-12-30T18:20:00"/>
    <x v="0"/>
    <x v="2"/>
    <x v="0"/>
    <n v="6"/>
    <n v="38125.58"/>
    <n v="5247.72"/>
    <x v="9"/>
    <n v="38"/>
    <x v="2"/>
    <s v="Reembolsada"/>
    <n v="4"/>
  </r>
  <r>
    <s v="RES-101101"/>
    <x v="6"/>
    <d v="1899-12-30T19:27:00"/>
    <x v="1"/>
    <x v="0"/>
    <x v="1"/>
    <n v="3"/>
    <n v="28365.13"/>
    <n v="6442.9"/>
    <x v="14"/>
    <n v="26"/>
    <x v="0"/>
    <s v="Entregada"/>
    <n v="3"/>
  </r>
  <r>
    <s v="RES-101102"/>
    <x v="7"/>
    <d v="1899-12-30T20:34:00"/>
    <x v="2"/>
    <x v="1"/>
    <x v="2"/>
    <n v="5"/>
    <n v="318737.34999999998"/>
    <n v="1823.43"/>
    <x v="11"/>
    <n v="24"/>
    <x v="1"/>
    <s v="Cancelada"/>
    <n v="3"/>
  </r>
  <r>
    <s v="RES-101103"/>
    <x v="8"/>
    <d v="1899-12-30T21:41:00"/>
    <x v="3"/>
    <x v="2"/>
    <x v="3"/>
    <n v="2"/>
    <n v="62512.85"/>
    <n v="6675.49"/>
    <x v="15"/>
    <n v="40"/>
    <x v="2"/>
    <s v="Reembolsada"/>
    <n v="4"/>
  </r>
  <r>
    <s v="RES-101104"/>
    <x v="9"/>
    <d v="1899-12-30T10:48:00"/>
    <x v="0"/>
    <x v="0"/>
    <x v="4"/>
    <n v="3"/>
    <n v="36343.83"/>
    <n v="6686.41"/>
    <x v="7"/>
    <n v="48"/>
    <x v="0"/>
    <s v="Entregada"/>
    <n v="3"/>
  </r>
  <r>
    <s v="RES-101105"/>
    <x v="10"/>
    <d v="1899-12-30T11:55:00"/>
    <x v="1"/>
    <x v="1"/>
    <x v="0"/>
    <n v="5"/>
    <n v="57464"/>
    <n v="4574.08"/>
    <x v="16"/>
    <n v="29"/>
    <x v="1"/>
    <s v="Cancelada"/>
    <n v="4"/>
  </r>
  <r>
    <s v="RES-101106"/>
    <x v="11"/>
    <d v="1899-12-30T12:02:00"/>
    <x v="2"/>
    <x v="2"/>
    <x v="1"/>
    <n v="3"/>
    <n v="63426.98"/>
    <n v="2347.75"/>
    <x v="12"/>
    <n v="39"/>
    <x v="2"/>
    <s v="Reembolsada"/>
    <n v="3"/>
  </r>
  <r>
    <s v="RES-101107"/>
    <x v="12"/>
    <d v="1899-12-30T13:09:00"/>
    <x v="3"/>
    <x v="0"/>
    <x v="2"/>
    <n v="5"/>
    <n v="54223.54"/>
    <n v="8004.81"/>
    <x v="7"/>
    <n v="44"/>
    <x v="0"/>
    <s v="Entregada"/>
    <n v="3"/>
  </r>
  <r>
    <s v="RES-101108"/>
    <x v="13"/>
    <d v="1899-12-30T14:16:00"/>
    <x v="0"/>
    <x v="1"/>
    <x v="3"/>
    <n v="3"/>
    <n v="63269.04"/>
    <n v="8194.4599999999991"/>
    <x v="1"/>
    <n v="51"/>
    <x v="1"/>
    <s v="Cancelada"/>
    <n v="5"/>
  </r>
  <r>
    <s v="RES-101109"/>
    <x v="14"/>
    <d v="1899-12-30T15:23:00"/>
    <x v="1"/>
    <x v="2"/>
    <x v="4"/>
    <n v="5"/>
    <n v="69452.28"/>
    <n v="2404.33"/>
    <x v="7"/>
    <n v="29"/>
    <x v="2"/>
    <s v="Reembolsada"/>
    <n v="5"/>
  </r>
  <r>
    <s v="RES-101110"/>
    <x v="15"/>
    <d v="1899-12-30T16:30:00"/>
    <x v="2"/>
    <x v="0"/>
    <x v="0"/>
    <n v="2"/>
    <n v="48607.64"/>
    <n v="7806.51"/>
    <x v="11"/>
    <n v="45"/>
    <x v="0"/>
    <s v="Entregada"/>
    <n v="4"/>
  </r>
  <r>
    <s v="RES-101111"/>
    <x v="16"/>
    <d v="1899-12-30T17:37:00"/>
    <x v="3"/>
    <x v="1"/>
    <x v="1"/>
    <n v="5"/>
    <n v="55548.49"/>
    <n v="899.86"/>
    <x v="18"/>
    <n v="27"/>
    <x v="1"/>
    <s v="Cancelada"/>
    <n v="4"/>
  </r>
  <r>
    <s v="RES-101112"/>
    <x v="17"/>
    <d v="1899-12-30T18:44:00"/>
    <x v="0"/>
    <x v="2"/>
    <x v="2"/>
    <n v="3"/>
    <n v="58706.91"/>
    <n v="4017.88"/>
    <x v="8"/>
    <n v="49"/>
    <x v="2"/>
    <s v="Reembolsada"/>
    <n v="3"/>
  </r>
  <r>
    <s v="RES-101113"/>
    <x v="18"/>
    <d v="1899-12-30T19:51:00"/>
    <x v="1"/>
    <x v="0"/>
    <x v="3"/>
    <n v="4"/>
    <n v="35073.29"/>
    <n v="5610.24"/>
    <x v="16"/>
    <n v="28"/>
    <x v="0"/>
    <s v="Entregada"/>
    <n v="4"/>
  </r>
  <r>
    <s v="RES-101114"/>
    <x v="19"/>
    <d v="1899-12-30T20:58:00"/>
    <x v="2"/>
    <x v="1"/>
    <x v="4"/>
    <n v="3"/>
    <n v="62696.65"/>
    <n v="1621.62"/>
    <x v="6"/>
    <n v="35"/>
    <x v="1"/>
    <s v="Cancelada"/>
    <n v="5"/>
  </r>
  <r>
    <s v="RES-101115"/>
    <x v="20"/>
    <d v="1899-12-30T21:05:00"/>
    <x v="3"/>
    <x v="2"/>
    <x v="0"/>
    <n v="4"/>
    <n v="60336.11"/>
    <n v="6128.66"/>
    <x v="10"/>
    <n v="33"/>
    <x v="2"/>
    <s v="Reembolsada"/>
    <n v="5"/>
  </r>
  <r>
    <s v="RES-101116"/>
    <x v="21"/>
    <d v="1899-12-30T10:12:00"/>
    <x v="0"/>
    <x v="0"/>
    <x v="1"/>
    <n v="5"/>
    <n v="41466.050000000003"/>
    <n v="889.59"/>
    <x v="11"/>
    <n v="49"/>
    <x v="0"/>
    <s v="Entregada"/>
    <n v="5"/>
  </r>
  <r>
    <s v="RES-101117"/>
    <x v="22"/>
    <d v="1899-12-30T11:19:00"/>
    <x v="1"/>
    <x v="1"/>
    <x v="2"/>
    <n v="6"/>
    <n v="36208.589999999997"/>
    <n v="6827.58"/>
    <x v="4"/>
    <n v="32"/>
    <x v="1"/>
    <s v="Cancelada"/>
    <n v="5"/>
  </r>
  <r>
    <s v="RES-101118"/>
    <x v="23"/>
    <d v="1899-12-30T12:26:00"/>
    <x v="2"/>
    <x v="2"/>
    <x v="3"/>
    <n v="3"/>
    <n v="27555.48"/>
    <n v="3795.31"/>
    <x v="0"/>
    <n v="46"/>
    <x v="2"/>
    <s v="Reembolsada"/>
    <n v="4"/>
  </r>
  <r>
    <s v="RES-101119"/>
    <x v="24"/>
    <d v="1899-12-30T13:33:00"/>
    <x v="3"/>
    <x v="0"/>
    <x v="4"/>
    <n v="6"/>
    <n v="64518.06"/>
    <n v="4476.1099999999997"/>
    <x v="5"/>
    <n v="44"/>
    <x v="0"/>
    <s v="Entregada"/>
    <n v="4"/>
  </r>
  <r>
    <s v="RES-101120"/>
    <x v="25"/>
    <d v="1899-12-30T14:40:00"/>
    <x v="0"/>
    <x v="1"/>
    <x v="0"/>
    <n v="5"/>
    <n v="41572.120000000003"/>
    <n v="4802.74"/>
    <x v="14"/>
    <n v="40"/>
    <x v="1"/>
    <s v="Cancelada"/>
    <n v="4"/>
  </r>
  <r>
    <s v="RES-101121"/>
    <x v="26"/>
    <d v="1899-12-30T15:47:00"/>
    <x v="1"/>
    <x v="2"/>
    <x v="1"/>
    <n v="6"/>
    <n v="34758.620000000003"/>
    <n v="4546.58"/>
    <x v="11"/>
    <n v="46"/>
    <x v="2"/>
    <s v="Reembolsada"/>
    <n v="4"/>
  </r>
  <r>
    <s v="RES-101122"/>
    <x v="27"/>
    <d v="1899-12-30T16:54:00"/>
    <x v="2"/>
    <x v="0"/>
    <x v="2"/>
    <n v="6"/>
    <n v="63940.53"/>
    <n v="6357.16"/>
    <x v="3"/>
    <n v="37"/>
    <x v="0"/>
    <s v="Entregada"/>
    <n v="3"/>
  </r>
  <r>
    <s v="RES-101123"/>
    <x v="28"/>
    <d v="1899-12-30T17:01:00"/>
    <x v="3"/>
    <x v="1"/>
    <x v="3"/>
    <n v="3"/>
    <n v="46174.6"/>
    <n v="7130.04"/>
    <x v="11"/>
    <n v="31"/>
    <x v="1"/>
    <s v="Cancelada"/>
    <n v="3"/>
  </r>
  <r>
    <s v="RES-101124"/>
    <x v="29"/>
    <d v="1899-12-30T18:08:00"/>
    <x v="0"/>
    <x v="2"/>
    <x v="4"/>
    <n v="6"/>
    <n v="47472.65"/>
    <n v="5024.2"/>
    <x v="3"/>
    <n v="39"/>
    <x v="2"/>
    <s v="Reembolsada"/>
    <n v="4"/>
  </r>
  <r>
    <s v="RES-101125"/>
    <x v="30"/>
    <d v="1899-12-30T19:15:00"/>
    <x v="1"/>
    <x v="0"/>
    <x v="0"/>
    <n v="2"/>
    <n v="48435"/>
    <n v="825.01"/>
    <x v="12"/>
    <n v="32"/>
    <x v="0"/>
    <s v="Entregada"/>
    <n v="3"/>
  </r>
  <r>
    <s v="RES-101126"/>
    <x v="31"/>
    <d v="1899-12-30T20:22:00"/>
    <x v="2"/>
    <x v="1"/>
    <x v="1"/>
    <n v="6"/>
    <n v="59864.53"/>
    <n v="4899.43"/>
    <x v="18"/>
    <n v="51"/>
    <x v="1"/>
    <s v="Cancelada"/>
    <n v="5"/>
  </r>
  <r>
    <s v="RES-101127"/>
    <x v="32"/>
    <d v="1899-12-30T21:29:00"/>
    <x v="3"/>
    <x v="2"/>
    <x v="2"/>
    <n v="4"/>
    <n v="44361.18"/>
    <n v="2670.62"/>
    <x v="0"/>
    <n v="38"/>
    <x v="2"/>
    <s v="Reembolsada"/>
    <n v="5"/>
  </r>
  <r>
    <s v="RES-101128"/>
    <x v="33"/>
    <d v="1899-12-30T10:36:00"/>
    <x v="0"/>
    <x v="0"/>
    <x v="3"/>
    <n v="4"/>
    <n v="54526.36"/>
    <n v="1953.82"/>
    <x v="10"/>
    <n v="30"/>
    <x v="0"/>
    <s v="Entregada"/>
    <n v="3"/>
  </r>
  <r>
    <s v="RES-101129"/>
    <x v="34"/>
    <d v="1899-12-30T11:43:00"/>
    <x v="1"/>
    <x v="1"/>
    <x v="4"/>
    <n v="6"/>
    <n v="41230.58"/>
    <n v="6735.01"/>
    <x v="18"/>
    <n v="33"/>
    <x v="1"/>
    <s v="Cancelada"/>
    <n v="3"/>
  </r>
  <r>
    <s v="RES-101130"/>
    <x v="35"/>
    <d v="1899-12-30T12:50:00"/>
    <x v="2"/>
    <x v="2"/>
    <x v="0"/>
    <n v="2"/>
    <n v="59390.47"/>
    <n v="4402.88"/>
    <x v="1"/>
    <s v="5.4"/>
    <x v="2"/>
    <s v="Reembolsada"/>
    <n v="5"/>
  </r>
  <r>
    <s v="RES-101131"/>
    <x v="36"/>
    <d v="1899-12-30T13:57:00"/>
    <x v="3"/>
    <x v="0"/>
    <x v="1"/>
    <n v="6"/>
    <n v="29332.99"/>
    <n v="1592.73"/>
    <x v="11"/>
    <n v="33"/>
    <x v="0"/>
    <s v="Entregada"/>
    <n v="5"/>
  </r>
  <r>
    <s v="RES-101132"/>
    <x v="37"/>
    <d v="1899-12-30T14:04:00"/>
    <x v="0"/>
    <x v="1"/>
    <x v="2"/>
    <n v="4"/>
    <n v="57276.7"/>
    <n v="6025.68"/>
    <x v="16"/>
    <n v="43"/>
    <x v="1"/>
    <s v="Cancelada"/>
    <n v="3"/>
  </r>
  <r>
    <s v="RES-101133"/>
    <x v="38"/>
    <d v="1899-12-30T15:11:00"/>
    <x v="1"/>
    <x v="2"/>
    <x v="3"/>
    <n v="4"/>
    <n v="47838.86"/>
    <n v="7041.65"/>
    <x v="6"/>
    <n v="43"/>
    <x v="2"/>
    <s v="Reembolsada"/>
    <n v="5"/>
  </r>
  <r>
    <s v="RES-101134"/>
    <x v="39"/>
    <d v="1899-12-30T16:18:00"/>
    <x v="2"/>
    <x v="0"/>
    <x v="4"/>
    <n v="6"/>
    <n v="38798.120000000003"/>
    <n v="5949.21"/>
    <x v="12"/>
    <n v="26"/>
    <x v="0"/>
    <s v="Entregada"/>
    <n v="3"/>
  </r>
  <r>
    <s v="RES-101135"/>
    <x v="40"/>
    <d v="1899-12-30T17:25:00"/>
    <x v="3"/>
    <x v="1"/>
    <x v="0"/>
    <n v="4"/>
    <n v="50803.78"/>
    <n v="2499.59"/>
    <x v="13"/>
    <n v="45"/>
    <x v="1"/>
    <s v="Cancelada"/>
    <n v="3"/>
  </r>
  <r>
    <s v="RES-101136"/>
    <x v="41"/>
    <d v="1899-12-30T18:32:00"/>
    <x v="0"/>
    <x v="2"/>
    <x v="1"/>
    <n v="3"/>
    <n v="56173.42"/>
    <n v="4364.0200000000004"/>
    <x v="1"/>
    <n v="28"/>
    <x v="2"/>
    <s v="Reembolsada"/>
    <n v="4"/>
  </r>
  <r>
    <s v="RES-101137"/>
    <x v="42"/>
    <d v="1899-12-30T19:39:00"/>
    <x v="1"/>
    <x v="0"/>
    <x v="2"/>
    <n v="6"/>
    <n v="47446.720000000001"/>
    <n v="3766.59"/>
    <x v="5"/>
    <n v="40"/>
    <x v="0"/>
    <s v="Entregada"/>
    <n v="5"/>
  </r>
  <r>
    <s v="RES-101138"/>
    <x v="43"/>
    <d v="1899-12-30T20:46:00"/>
    <x v="2"/>
    <x v="1"/>
    <x v="3"/>
    <n v="5"/>
    <n v="58680.15"/>
    <n v="5227.3938888888888"/>
    <x v="4"/>
    <n v="29"/>
    <x v="1"/>
    <s v="Cancelada"/>
    <n v="4"/>
  </r>
  <r>
    <s v="RES-101139"/>
    <x v="44"/>
    <d v="1899-12-30T21:53:00"/>
    <x v="3"/>
    <x v="2"/>
    <x v="4"/>
    <n v="6"/>
    <n v="64967.64"/>
    <n v="3015.01"/>
    <x v="9"/>
    <n v="36"/>
    <x v="2"/>
    <s v="Reembolsada"/>
    <n v="4"/>
  </r>
  <r>
    <s v="RES-101140"/>
    <x v="45"/>
    <d v="1899-12-30T10:00:00"/>
    <x v="0"/>
    <x v="0"/>
    <x v="0"/>
    <n v="5"/>
    <n v="54965.1"/>
    <n v="5427.56"/>
    <x v="7"/>
    <n v="36"/>
    <x v="0"/>
    <s v="Entregada"/>
    <n v="5"/>
  </r>
  <r>
    <s v="RES-101141"/>
    <x v="46"/>
    <d v="1899-12-30T11:07:00"/>
    <x v="1"/>
    <x v="1"/>
    <x v="1"/>
    <n v="6"/>
    <n v="34689.94"/>
    <n v="1534.26"/>
    <x v="4"/>
    <n v="35"/>
    <x v="1"/>
    <s v="Cancelada"/>
    <n v="3"/>
  </r>
  <r>
    <s v="RES-101142"/>
    <x v="47"/>
    <d v="1899-12-30T12:14:00"/>
    <x v="2"/>
    <x v="2"/>
    <x v="2"/>
    <n v="2"/>
    <n v="26732.44"/>
    <n v="1271.1199999999999"/>
    <x v="9"/>
    <n v="37"/>
    <x v="2"/>
    <s v="Reembolsada"/>
    <n v="4"/>
  </r>
  <r>
    <s v="RES-101143"/>
    <x v="48"/>
    <d v="1899-12-30T13:21:00"/>
    <x v="3"/>
    <x v="0"/>
    <x v="3"/>
    <n v="4"/>
    <n v="44587.45"/>
    <n v="4595.71"/>
    <x v="10"/>
    <n v="24"/>
    <x v="0"/>
    <s v="Entregada"/>
    <n v="3"/>
  </r>
  <r>
    <s v="RES-101144"/>
    <x v="49"/>
    <d v="1899-12-30T14:28:00"/>
    <x v="0"/>
    <x v="1"/>
    <x v="4"/>
    <n v="2"/>
    <n v="33492.230000000003"/>
    <n v="758.59"/>
    <x v="7"/>
    <n v="28"/>
    <x v="1"/>
    <s v="Cancelada"/>
    <n v="3"/>
  </r>
  <r>
    <s v="RES-101145"/>
    <x v="50"/>
    <d v="1899-12-30T15:35:00"/>
    <x v="1"/>
    <x v="2"/>
    <x v="0"/>
    <n v="4"/>
    <n v="28036.41"/>
    <n v="8325.6"/>
    <x v="8"/>
    <n v="53"/>
    <x v="2"/>
    <s v="Reembolsada"/>
    <n v="3"/>
  </r>
  <r>
    <s v="RES-101146"/>
    <x v="51"/>
    <d v="1899-12-30T16:42:00"/>
    <x v="2"/>
    <x v="0"/>
    <x v="1"/>
    <n v="4"/>
    <n v="38352.33"/>
    <n v="4123.3500000000004"/>
    <x v="7"/>
    <n v="31"/>
    <x v="0"/>
    <s v="Entregada"/>
    <n v="3"/>
  </r>
  <r>
    <s v="RES-101147"/>
    <x v="52"/>
    <d v="1899-12-30T17:49:00"/>
    <x v="3"/>
    <x v="1"/>
    <x v="2"/>
    <n v="3"/>
    <n v="53954.78"/>
    <n v="7894.01"/>
    <x v="11"/>
    <n v="35"/>
    <x v="1"/>
    <s v="Cancelada"/>
    <n v="4"/>
  </r>
  <r>
    <s v="RES-101148"/>
    <x v="53"/>
    <d v="1899-12-30T18:56:00"/>
    <x v="0"/>
    <x v="2"/>
    <x v="3"/>
    <n v="4"/>
    <n v="38791.050000000003"/>
    <n v="1829.05"/>
    <x v="6"/>
    <n v="33"/>
    <x v="2"/>
    <s v="Reembolsada"/>
    <n v="5"/>
  </r>
  <r>
    <s v="RES-101149"/>
    <x v="54"/>
    <d v="1899-12-30T19:03:00"/>
    <x v="1"/>
    <x v="0"/>
    <x v="4"/>
    <n v="4"/>
    <n v="26536.15"/>
    <n v="3443.18"/>
    <x v="1"/>
    <n v="52"/>
    <x v="0"/>
    <s v="Entregada"/>
    <n v="4"/>
  </r>
  <r>
    <s v="RES-101150"/>
    <x v="55"/>
    <d v="1899-12-30T20:10:00"/>
    <x v="2"/>
    <x v="1"/>
    <x v="0"/>
    <n v="2"/>
    <n v="41050.769999999997"/>
    <n v="8459.39"/>
    <x v="8"/>
    <n v="35"/>
    <x v="1"/>
    <s v="Cancelada"/>
    <n v="3"/>
  </r>
  <r>
    <s v="RES-101151"/>
    <x v="56"/>
    <d v="1899-12-30T21:17:00"/>
    <x v="3"/>
    <x v="2"/>
    <x v="1"/>
    <n v="2"/>
    <n v="41633.69"/>
    <n v="7456.92"/>
    <x v="18"/>
    <n v="33"/>
    <x v="2"/>
    <s v="Reembolsada"/>
    <n v="3"/>
  </r>
  <r>
    <s v="RES-101152"/>
    <x v="57"/>
    <d v="1899-12-30T10:24:00"/>
    <x v="0"/>
    <x v="0"/>
    <x v="2"/>
    <n v="3"/>
    <n v="39342.589999999997"/>
    <n v="4365.9799999999996"/>
    <x v="6"/>
    <n v="48"/>
    <x v="0"/>
    <s v="Entregada"/>
    <n v="5"/>
  </r>
  <r>
    <s v="RES-101153"/>
    <x v="58"/>
    <d v="1899-12-30T11:31:00"/>
    <x v="1"/>
    <x v="1"/>
    <x v="3"/>
    <n v="6"/>
    <n v="57988.97"/>
    <n v="6950.8"/>
    <x v="2"/>
    <n v="24"/>
    <x v="1"/>
    <s v="Cancelada"/>
    <n v="4"/>
  </r>
  <r>
    <s v="RES-101154"/>
    <x v="59"/>
    <d v="1899-12-30T12:38:00"/>
    <x v="2"/>
    <x v="2"/>
    <x v="4"/>
    <n v="4"/>
    <n v="46895.33"/>
    <n v="1089.3499999999999"/>
    <x v="6"/>
    <n v="34"/>
    <x v="2"/>
    <s v="Reembolsada"/>
    <n v="5"/>
  </r>
  <r>
    <s v="RES-101155"/>
    <x v="60"/>
    <d v="1899-12-30T13:45:00"/>
    <x v="3"/>
    <x v="0"/>
    <x v="0"/>
    <n v="3"/>
    <n v="65254.17"/>
    <n v="5170.47"/>
    <x v="3"/>
    <n v="25"/>
    <x v="0"/>
    <s v="Entregada"/>
    <n v="5"/>
  </r>
  <r>
    <s v="RES-101156"/>
    <x v="61"/>
    <d v="1899-12-30T14:52:00"/>
    <x v="0"/>
    <x v="1"/>
    <x v="1"/>
    <n v="4"/>
    <n v="60779.89"/>
    <n v="4952.03"/>
    <x v="3"/>
    <n v="25"/>
    <x v="1"/>
    <s v="Cancelada"/>
    <n v="3"/>
  </r>
  <r>
    <s v="RES-101157"/>
    <x v="62"/>
    <d v="1899-12-30T15:59:00"/>
    <x v="1"/>
    <x v="2"/>
    <x v="2"/>
    <n v="6"/>
    <n v="48160.75"/>
    <n v="5871.35"/>
    <x v="5"/>
    <n v="52"/>
    <x v="2"/>
    <s v="Reembolsada"/>
    <n v="3"/>
  </r>
  <r>
    <s v="RES-101158"/>
    <x v="63"/>
    <d v="1899-12-30T16:06:00"/>
    <x v="2"/>
    <x v="0"/>
    <x v="3"/>
    <n v="3"/>
    <n v="48518.02"/>
    <n v="7275.59"/>
    <x v="2"/>
    <n v="34"/>
    <x v="0"/>
    <s v="Entregada"/>
    <n v="4"/>
  </r>
  <r>
    <s v="RES-101159"/>
    <x v="64"/>
    <d v="1899-12-30T17:13:00"/>
    <x v="3"/>
    <x v="1"/>
    <x v="4"/>
    <n v="6"/>
    <n v="46758.57"/>
    <n v="4179.13"/>
    <x v="12"/>
    <n v="29"/>
    <x v="1"/>
    <s v="Cancelada"/>
    <n v="5"/>
  </r>
  <r>
    <s v="RES-101160"/>
    <x v="65"/>
    <d v="1899-12-30T18:20:00"/>
    <x v="0"/>
    <x v="2"/>
    <x v="0"/>
    <n v="4"/>
    <n v="27842.46"/>
    <n v="4599.46"/>
    <x v="7"/>
    <n v="23"/>
    <x v="2"/>
    <s v="Reembolsada"/>
    <n v="3"/>
  </r>
  <r>
    <s v="RES-101161"/>
    <x v="66"/>
    <d v="1899-12-30T19:27:00"/>
    <x v="1"/>
    <x v="0"/>
    <x v="1"/>
    <n v="3"/>
    <n v="32182.5"/>
    <n v="5175.32"/>
    <x v="2"/>
    <n v="50"/>
    <x v="0"/>
    <s v="Entregada"/>
    <n v="3"/>
  </r>
  <r>
    <s v="RES-101162"/>
    <x v="67"/>
    <d v="1899-12-30T20:34:00"/>
    <x v="2"/>
    <x v="1"/>
    <x v="2"/>
    <n v="5"/>
    <n v="44539.42"/>
    <n v="4028.29"/>
    <x v="16"/>
    <n v="40"/>
    <x v="1"/>
    <s v="Cancelada"/>
    <n v="4"/>
  </r>
  <r>
    <s v="RES-101163"/>
    <x v="68"/>
    <d v="1899-12-30T21:41:00"/>
    <x v="3"/>
    <x v="2"/>
    <x v="3"/>
    <n v="2"/>
    <n v="55821.11"/>
    <n v="5458.39"/>
    <x v="17"/>
    <n v="39"/>
    <x v="2"/>
    <s v="Reembolsada"/>
    <n v="3"/>
  </r>
  <r>
    <s v="RES-101164"/>
    <x v="69"/>
    <d v="1899-12-30T10:48:00"/>
    <x v="0"/>
    <x v="0"/>
    <x v="4"/>
    <n v="5"/>
    <n v="34364.71"/>
    <n v="5879.81"/>
    <x v="1"/>
    <n v="27"/>
    <x v="0"/>
    <s v="Entregada"/>
    <n v="3"/>
  </r>
  <r>
    <s v="RES-101165"/>
    <x v="70"/>
    <d v="1899-12-30T11:55:00"/>
    <x v="1"/>
    <x v="1"/>
    <x v="0"/>
    <n v="4"/>
    <n v="46966.68"/>
    <n v="6751.27"/>
    <x v="18"/>
    <n v="38"/>
    <x v="1"/>
    <s v="Cancelada"/>
    <n v="5"/>
  </r>
  <r>
    <s v="RES-101166"/>
    <x v="71"/>
    <d v="1899-12-30T12:02:00"/>
    <x v="2"/>
    <x v="2"/>
    <x v="1"/>
    <n v="6"/>
    <n v="51432.07"/>
    <n v="6130.62"/>
    <x v="17"/>
    <n v="29"/>
    <x v="2"/>
    <s v="Reembolsada"/>
    <n v="3"/>
  </r>
  <r>
    <s v="RES-101167"/>
    <x v="72"/>
    <d v="1899-12-30T13:09:00"/>
    <x v="3"/>
    <x v="0"/>
    <x v="2"/>
    <n v="4"/>
    <n v="52703.77"/>
    <n v="1440.2"/>
    <x v="2"/>
    <n v="30"/>
    <x v="0"/>
    <s v="Entregada"/>
    <n v="3"/>
  </r>
  <r>
    <s v="RES-101168"/>
    <x v="73"/>
    <d v="1899-12-30T14:16:00"/>
    <x v="0"/>
    <x v="1"/>
    <x v="3"/>
    <n v="5"/>
    <n v="46252.41"/>
    <n v="8336.6200000000008"/>
    <x v="15"/>
    <n v="26"/>
    <x v="1"/>
    <s v="Cancelada"/>
    <n v="3"/>
  </r>
  <r>
    <s v="RES-101169"/>
    <x v="74"/>
    <d v="1899-12-30T15:23:00"/>
    <x v="1"/>
    <x v="2"/>
    <x v="4"/>
    <n v="5"/>
    <n v="67950.94"/>
    <n v="1277.3399999999999"/>
    <x v="13"/>
    <n v="34"/>
    <x v="2"/>
    <s v="Reembolsada"/>
    <n v="4"/>
  </r>
  <r>
    <s v="RES-101170"/>
    <x v="75"/>
    <d v="1899-12-30T16:30:00"/>
    <x v="2"/>
    <x v="0"/>
    <x v="0"/>
    <n v="4"/>
    <n v="42976.67"/>
    <n v="1582.92"/>
    <x v="1"/>
    <n v="51"/>
    <x v="0"/>
    <s v="Entregada"/>
    <n v="3"/>
  </r>
  <r>
    <s v="RES-101171"/>
    <x v="76"/>
    <d v="1899-12-30T17:37:00"/>
    <x v="3"/>
    <x v="1"/>
    <x v="1"/>
    <n v="2"/>
    <n v="50035.55"/>
    <n v="3611.88"/>
    <x v="6"/>
    <n v="31"/>
    <x v="1"/>
    <s v="Cancelada"/>
    <n v="3"/>
  </r>
  <r>
    <s v="RES-101172"/>
    <x v="77"/>
    <d v="1899-12-30T18:44:00"/>
    <x v="0"/>
    <x v="2"/>
    <x v="2"/>
    <n v="2"/>
    <n v="28997.040000000001"/>
    <n v="8019.39"/>
    <x v="4"/>
    <n v="39"/>
    <x v="2"/>
    <s v="Reembolsada"/>
    <n v="3"/>
  </r>
  <r>
    <s v="RES-101173"/>
    <x v="78"/>
    <d v="1899-12-30T19:51:00"/>
    <x v="1"/>
    <x v="0"/>
    <x v="3"/>
    <n v="6"/>
    <n v="33375.81"/>
    <n v="5292.92"/>
    <x v="15"/>
    <n v="46"/>
    <x v="0"/>
    <s v="Entregada"/>
    <n v="5"/>
  </r>
  <r>
    <s v="RES-101174"/>
    <x v="79"/>
    <d v="1899-12-30T20:58:00"/>
    <x v="2"/>
    <x v="1"/>
    <x v="4"/>
    <n v="4"/>
    <n v="37554.28"/>
    <n v="3804.11"/>
    <x v="5"/>
    <n v="42"/>
    <x v="1"/>
    <s v="Cancelada"/>
    <n v="3"/>
  </r>
  <r>
    <s v="RES-101175"/>
    <x v="80"/>
    <d v="1899-12-30T21:05:00"/>
    <x v="3"/>
    <x v="2"/>
    <x v="0"/>
    <n v="4"/>
    <n v="56425.33"/>
    <n v="6082.3342105263173"/>
    <x v="14"/>
    <n v="28"/>
    <x v="2"/>
    <s v="Reembolsada"/>
    <n v="3"/>
  </r>
  <r>
    <s v="RES-101176"/>
    <x v="81"/>
    <d v="1899-12-30T10:12:00"/>
    <x v="0"/>
    <x v="0"/>
    <x v="1"/>
    <n v="5"/>
    <n v="30864.44"/>
    <n v="6601.97"/>
    <x v="6"/>
    <n v="40"/>
    <x v="0"/>
    <s v="Entregada"/>
    <n v="4"/>
  </r>
  <r>
    <s v="RES-101177"/>
    <x v="82"/>
    <d v="1899-12-30T11:19:00"/>
    <x v="1"/>
    <x v="1"/>
    <x v="2"/>
    <n v="2"/>
    <n v="68427.990000000005"/>
    <n v="6006.99"/>
    <x v="6"/>
    <n v="33"/>
    <x v="1"/>
    <s v="Cancelada"/>
    <n v="5"/>
  </r>
  <r>
    <s v="RES-101178"/>
    <x v="83"/>
    <d v="1899-12-30T12:26:00"/>
    <x v="2"/>
    <x v="2"/>
    <x v="3"/>
    <n v="3"/>
    <n v="40676.239999999998"/>
    <n v="1471.82"/>
    <x v="12"/>
    <n v="44"/>
    <x v="2"/>
    <s v="Reembolsada"/>
    <n v="4"/>
  </r>
  <r>
    <s v="RES-101179"/>
    <x v="84"/>
    <d v="1899-12-30T13:33:00"/>
    <x v="3"/>
    <x v="0"/>
    <x v="4"/>
    <n v="2"/>
    <n v="27715.41"/>
    <n v="3014.4"/>
    <x v="4"/>
    <n v="43"/>
    <x v="0"/>
    <s v="Entregada"/>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DC51C2-84C7-4446-96CF-A64F87401509}"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19:E25" firstHeaderRow="1" firstDataRow="1" firstDataCol="1"/>
  <pivotFields count="17">
    <pivotField showAll="0"/>
    <pivotField numFmtId="166" showAll="0">
      <items count="388">
        <item x="340"/>
        <item x="382"/>
        <item x="59"/>
        <item x="89"/>
        <item x="355"/>
        <item x="358"/>
        <item x="383"/>
        <item x="201"/>
        <item x="228"/>
        <item x="369"/>
        <item x="372"/>
        <item x="0"/>
        <item x="1"/>
        <item x="29"/>
        <item x="3"/>
        <item x="4"/>
        <item x="341"/>
        <item x="6"/>
        <item x="7"/>
        <item x="342"/>
        <item x="9"/>
        <item x="10"/>
        <item x="343"/>
        <item x="12"/>
        <item x="13"/>
        <item x="14"/>
        <item x="15"/>
        <item x="16"/>
        <item x="17"/>
        <item x="18"/>
        <item x="19"/>
        <item x="20"/>
        <item x="21"/>
        <item x="22"/>
        <item x="23"/>
        <item x="24"/>
        <item x="25"/>
        <item x="26"/>
        <item x="27"/>
        <item x="28"/>
        <item x="2"/>
        <item x="30"/>
        <item x="31"/>
        <item x="344"/>
        <item x="33"/>
        <item x="34"/>
        <item x="346"/>
        <item x="36"/>
        <item x="37"/>
        <item x="258"/>
        <item x="39"/>
        <item x="40"/>
        <item x="41"/>
        <item x="42"/>
        <item x="43"/>
        <item x="44"/>
        <item x="45"/>
        <item x="46"/>
        <item x="47"/>
        <item x="48"/>
        <item x="49"/>
        <item x="50"/>
        <item x="51"/>
        <item x="52"/>
        <item x="53"/>
        <item x="54"/>
        <item x="55"/>
        <item x="56"/>
        <item x="57"/>
        <item x="58"/>
        <item x="348"/>
        <item x="60"/>
        <item x="61"/>
        <item x="62"/>
        <item x="63"/>
        <item x="64"/>
        <item x="350"/>
        <item x="66"/>
        <item x="67"/>
        <item x="231"/>
        <item x="69"/>
        <item x="70"/>
        <item x="71"/>
        <item x="72"/>
        <item x="73"/>
        <item x="74"/>
        <item x="75"/>
        <item x="76"/>
        <item x="77"/>
        <item x="78"/>
        <item x="79"/>
        <item x="80"/>
        <item x="81"/>
        <item x="82"/>
        <item x="83"/>
        <item x="84"/>
        <item x="85"/>
        <item x="86"/>
        <item x="87"/>
        <item x="88"/>
        <item x="351"/>
        <item x="90"/>
        <item x="32"/>
        <item x="349"/>
        <item x="91"/>
        <item x="92"/>
        <item x="352"/>
        <item x="94"/>
        <item x="95"/>
        <item x="354"/>
        <item x="97"/>
        <item x="98"/>
        <item x="99"/>
        <item x="100"/>
        <item x="101"/>
        <item x="102"/>
        <item x="103"/>
        <item x="104"/>
        <item x="105"/>
        <item x="106"/>
        <item x="107"/>
        <item x="108"/>
        <item x="109"/>
        <item x="110"/>
        <item x="111"/>
        <item x="112"/>
        <item x="113"/>
        <item x="114"/>
        <item x="115"/>
        <item x="116"/>
        <item x="117"/>
        <item x="118"/>
        <item x="5"/>
        <item x="345"/>
        <item x="119"/>
        <item x="120"/>
        <item x="121"/>
        <item x="122"/>
        <item x="123"/>
        <item x="357"/>
        <item x="125"/>
        <item x="126"/>
        <item x="286"/>
        <item x="128"/>
        <item x="129"/>
        <item x="130"/>
        <item x="131"/>
        <item x="132"/>
        <item x="133"/>
        <item x="134"/>
        <item x="135"/>
        <item x="136"/>
        <item x="137"/>
        <item x="138"/>
        <item x="139"/>
        <item x="140"/>
        <item x="141"/>
        <item x="142"/>
        <item x="143"/>
        <item x="144"/>
        <item x="145"/>
        <item x="146"/>
        <item x="147"/>
        <item x="359"/>
        <item x="65"/>
        <item x="93"/>
        <item x="356"/>
        <item x="148"/>
        <item x="149"/>
        <item x="204"/>
        <item x="151"/>
        <item x="152"/>
        <item x="361"/>
        <item x="154"/>
        <item x="155"/>
        <item x="156"/>
        <item x="157"/>
        <item x="158"/>
        <item x="159"/>
        <item x="160"/>
        <item x="161"/>
        <item x="162"/>
        <item x="163"/>
        <item x="164"/>
        <item x="165"/>
        <item x="166"/>
        <item x="167"/>
        <item x="168"/>
        <item x="169"/>
        <item x="170"/>
        <item x="171"/>
        <item x="172"/>
        <item x="173"/>
        <item x="362"/>
        <item x="35"/>
        <item x="174"/>
        <item x="353"/>
        <item x="175"/>
        <item x="176"/>
        <item x="177"/>
        <item x="178"/>
        <item x="179"/>
        <item x="363"/>
        <item x="181"/>
        <item x="182"/>
        <item x="183"/>
        <item x="184"/>
        <item x="185"/>
        <item x="186"/>
        <item x="187"/>
        <item x="188"/>
        <item x="189"/>
        <item x="190"/>
        <item x="191"/>
        <item x="192"/>
        <item x="193"/>
        <item x="194"/>
        <item x="195"/>
        <item x="196"/>
        <item x="197"/>
        <item x="198"/>
        <item x="199"/>
        <item x="200"/>
        <item x="364"/>
        <item x="8"/>
        <item x="202"/>
        <item x="365"/>
        <item x="203"/>
        <item x="124"/>
        <item x="150"/>
        <item x="205"/>
        <item x="206"/>
        <item x="366"/>
        <item x="208"/>
        <item x="209"/>
        <item x="210"/>
        <item x="211"/>
        <item x="212"/>
        <item x="213"/>
        <item x="214"/>
        <item x="215"/>
        <item x="216"/>
        <item x="217"/>
        <item x="218"/>
        <item x="219"/>
        <item x="220"/>
        <item x="221"/>
        <item x="222"/>
        <item x="223"/>
        <item x="224"/>
        <item x="225"/>
        <item x="226"/>
        <item x="227"/>
        <item x="368"/>
        <item x="229"/>
        <item x="230"/>
        <item x="68"/>
        <item x="96"/>
        <item x="232"/>
        <item x="360"/>
        <item x="233"/>
        <item x="207"/>
        <item x="234"/>
        <item x="235"/>
        <item x="236"/>
        <item x="237"/>
        <item x="238"/>
        <item x="239"/>
        <item x="240"/>
        <item x="241"/>
        <item x="242"/>
        <item x="243"/>
        <item x="244"/>
        <item x="245"/>
        <item x="246"/>
        <item x="247"/>
        <item x="248"/>
        <item x="249"/>
        <item x="250"/>
        <item x="251"/>
        <item x="252"/>
        <item x="253"/>
        <item x="254"/>
        <item x="255"/>
        <item x="256"/>
        <item x="257"/>
        <item x="38"/>
        <item x="259"/>
        <item x="260"/>
        <item x="370"/>
        <item x="261"/>
        <item x="180"/>
        <item x="367"/>
        <item x="262"/>
        <item x="263"/>
        <item x="371"/>
        <item x="265"/>
        <item x="266"/>
        <item x="267"/>
        <item x="268"/>
        <item x="269"/>
        <item x="270"/>
        <item x="271"/>
        <item x="272"/>
        <item x="273"/>
        <item x="274"/>
        <item x="275"/>
        <item x="276"/>
        <item x="277"/>
        <item x="278"/>
        <item x="279"/>
        <item x="280"/>
        <item x="281"/>
        <item x="282"/>
        <item x="283"/>
        <item x="11"/>
        <item x="347"/>
        <item x="284"/>
        <item x="285"/>
        <item x="127"/>
        <item x="153"/>
        <item x="287"/>
        <item x="373"/>
        <item x="288"/>
        <item x="264"/>
        <item x="289"/>
        <item x="290"/>
        <item x="291"/>
        <item x="292"/>
        <item x="293"/>
        <item x="294"/>
        <item x="295"/>
        <item x="296"/>
        <item x="297"/>
        <item x="298"/>
        <item x="299"/>
        <item x="300"/>
        <item x="301"/>
        <item x="302"/>
        <item x="303"/>
        <item x="304"/>
        <item x="305"/>
        <item x="306"/>
        <item x="307"/>
        <item x="308"/>
        <item x="309"/>
        <item x="374"/>
        <item x="311"/>
        <item x="312"/>
        <item x="376"/>
        <item x="314"/>
        <item x="315"/>
        <item x="378"/>
        <item x="317"/>
        <item x="318"/>
        <item x="380"/>
        <item x="320"/>
        <item x="321"/>
        <item x="322"/>
        <item x="323"/>
        <item x="324"/>
        <item x="325"/>
        <item x="326"/>
        <item x="327"/>
        <item x="328"/>
        <item x="329"/>
        <item x="330"/>
        <item x="331"/>
        <item x="332"/>
        <item x="333"/>
        <item x="334"/>
        <item x="335"/>
        <item x="336"/>
        <item x="337"/>
        <item x="338"/>
        <item x="339"/>
        <item x="310"/>
        <item x="375"/>
        <item x="384"/>
        <item x="313"/>
        <item x="377"/>
        <item x="385"/>
        <item x="316"/>
        <item x="379"/>
        <item x="386"/>
        <item x="319"/>
        <item x="381"/>
        <item t="default"/>
      </items>
    </pivotField>
    <pivotField numFmtId="20" showAll="0"/>
    <pivotField showAll="0"/>
    <pivotField showAll="0">
      <items count="4">
        <item x="1"/>
        <item x="0"/>
        <item x="2"/>
        <item t="default"/>
      </items>
    </pivotField>
    <pivotField axis="axisRow" showAll="0">
      <items count="6">
        <item x="4"/>
        <item x="0"/>
        <item x="2"/>
        <item x="1"/>
        <item x="3"/>
        <item t="default"/>
      </items>
    </pivotField>
    <pivotField showAll="0"/>
    <pivotField numFmtId="44" showAll="0"/>
    <pivotField dataField="1" numFmtId="44"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6">
    <i>
      <x/>
    </i>
    <i>
      <x v="1"/>
    </i>
    <i>
      <x v="2"/>
    </i>
    <i>
      <x v="3"/>
    </i>
    <i>
      <x v="4"/>
    </i>
    <i t="grand">
      <x/>
    </i>
  </rowItems>
  <colItems count="1">
    <i/>
  </colItems>
  <dataFields count="1">
    <dataField name="Suma de descuento_cup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E1454F-0A8D-49FD-BC08-F06C97B3203F}"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8">
  <location ref="A19:B46" firstHeaderRow="1" firstDataRow="1" firstDataCol="1"/>
  <pivotFields count="17">
    <pivotField showAll="0"/>
    <pivotField axis="axisRow" numFmtId="166" showAll="0">
      <items count="388">
        <item x="340"/>
        <item x="382"/>
        <item x="59"/>
        <item x="89"/>
        <item x="355"/>
        <item x="358"/>
        <item x="383"/>
        <item x="201"/>
        <item x="228"/>
        <item x="369"/>
        <item x="372"/>
        <item x="0"/>
        <item x="1"/>
        <item x="29"/>
        <item x="3"/>
        <item x="4"/>
        <item x="341"/>
        <item x="6"/>
        <item x="7"/>
        <item x="342"/>
        <item x="9"/>
        <item x="10"/>
        <item x="343"/>
        <item x="12"/>
        <item x="13"/>
        <item x="14"/>
        <item x="15"/>
        <item x="16"/>
        <item x="17"/>
        <item x="18"/>
        <item x="19"/>
        <item x="20"/>
        <item x="21"/>
        <item x="22"/>
        <item x="23"/>
        <item x="24"/>
        <item x="25"/>
        <item x="26"/>
        <item x="27"/>
        <item x="28"/>
        <item x="2"/>
        <item x="30"/>
        <item x="31"/>
        <item x="344"/>
        <item x="33"/>
        <item x="34"/>
        <item x="346"/>
        <item x="36"/>
        <item x="37"/>
        <item x="258"/>
        <item x="39"/>
        <item x="40"/>
        <item x="41"/>
        <item x="42"/>
        <item x="43"/>
        <item x="44"/>
        <item x="45"/>
        <item x="46"/>
        <item x="47"/>
        <item x="48"/>
        <item x="49"/>
        <item x="50"/>
        <item x="51"/>
        <item x="52"/>
        <item x="53"/>
        <item x="54"/>
        <item x="55"/>
        <item x="56"/>
        <item x="57"/>
        <item x="58"/>
        <item x="348"/>
        <item x="60"/>
        <item x="61"/>
        <item x="62"/>
        <item x="63"/>
        <item x="64"/>
        <item x="350"/>
        <item x="66"/>
        <item x="67"/>
        <item x="231"/>
        <item x="69"/>
        <item x="70"/>
        <item x="71"/>
        <item x="72"/>
        <item x="73"/>
        <item x="74"/>
        <item x="75"/>
        <item x="76"/>
        <item x="77"/>
        <item x="78"/>
        <item x="79"/>
        <item x="80"/>
        <item x="81"/>
        <item x="82"/>
        <item x="83"/>
        <item x="84"/>
        <item x="85"/>
        <item x="86"/>
        <item x="87"/>
        <item x="88"/>
        <item x="351"/>
        <item x="90"/>
        <item x="32"/>
        <item x="349"/>
        <item x="91"/>
        <item x="92"/>
        <item x="352"/>
        <item x="94"/>
        <item x="95"/>
        <item x="354"/>
        <item x="97"/>
        <item x="98"/>
        <item x="99"/>
        <item x="100"/>
        <item x="101"/>
        <item x="102"/>
        <item x="103"/>
        <item x="104"/>
        <item x="105"/>
        <item x="106"/>
        <item x="107"/>
        <item x="108"/>
        <item x="109"/>
        <item x="110"/>
        <item x="111"/>
        <item x="112"/>
        <item x="113"/>
        <item x="114"/>
        <item x="115"/>
        <item x="116"/>
        <item x="117"/>
        <item x="118"/>
        <item x="5"/>
        <item x="345"/>
        <item x="119"/>
        <item x="120"/>
        <item x="121"/>
        <item x="122"/>
        <item x="123"/>
        <item x="357"/>
        <item x="125"/>
        <item x="126"/>
        <item x="286"/>
        <item x="128"/>
        <item x="129"/>
        <item x="130"/>
        <item x="131"/>
        <item x="132"/>
        <item x="133"/>
        <item x="134"/>
        <item x="135"/>
        <item x="136"/>
        <item x="137"/>
        <item x="138"/>
        <item x="139"/>
        <item x="140"/>
        <item x="141"/>
        <item x="142"/>
        <item x="143"/>
        <item x="144"/>
        <item x="145"/>
        <item x="146"/>
        <item x="147"/>
        <item x="359"/>
        <item x="65"/>
        <item x="93"/>
        <item x="356"/>
        <item x="148"/>
        <item x="149"/>
        <item x="204"/>
        <item x="151"/>
        <item x="152"/>
        <item x="361"/>
        <item x="154"/>
        <item x="155"/>
        <item x="156"/>
        <item x="157"/>
        <item x="158"/>
        <item x="159"/>
        <item x="160"/>
        <item x="161"/>
        <item x="162"/>
        <item x="163"/>
        <item x="164"/>
        <item x="165"/>
        <item x="166"/>
        <item x="167"/>
        <item x="168"/>
        <item x="169"/>
        <item x="170"/>
        <item x="171"/>
        <item x="172"/>
        <item x="173"/>
        <item x="362"/>
        <item x="35"/>
        <item x="174"/>
        <item x="353"/>
        <item x="175"/>
        <item x="176"/>
        <item x="177"/>
        <item x="178"/>
        <item x="179"/>
        <item x="363"/>
        <item x="181"/>
        <item x="182"/>
        <item x="183"/>
        <item x="184"/>
        <item x="185"/>
        <item x="186"/>
        <item x="187"/>
        <item x="188"/>
        <item x="189"/>
        <item x="190"/>
        <item x="191"/>
        <item x="192"/>
        <item x="193"/>
        <item x="194"/>
        <item x="195"/>
        <item x="196"/>
        <item x="197"/>
        <item x="198"/>
        <item x="199"/>
        <item x="200"/>
        <item x="364"/>
        <item x="8"/>
        <item x="202"/>
        <item x="365"/>
        <item x="203"/>
        <item x="124"/>
        <item x="150"/>
        <item x="205"/>
        <item x="206"/>
        <item x="366"/>
        <item x="208"/>
        <item x="209"/>
        <item x="210"/>
        <item x="211"/>
        <item x="212"/>
        <item x="213"/>
        <item x="214"/>
        <item x="215"/>
        <item x="216"/>
        <item x="217"/>
        <item x="218"/>
        <item x="219"/>
        <item x="220"/>
        <item x="221"/>
        <item x="222"/>
        <item x="223"/>
        <item x="224"/>
        <item x="225"/>
        <item x="226"/>
        <item x="227"/>
        <item x="368"/>
        <item x="229"/>
        <item x="230"/>
        <item x="68"/>
        <item x="96"/>
        <item x="232"/>
        <item x="360"/>
        <item x="233"/>
        <item x="207"/>
        <item x="234"/>
        <item x="235"/>
        <item x="236"/>
        <item x="237"/>
        <item x="238"/>
        <item x="239"/>
        <item x="240"/>
        <item x="241"/>
        <item x="242"/>
        <item x="243"/>
        <item x="244"/>
        <item x="245"/>
        <item x="246"/>
        <item x="247"/>
        <item x="248"/>
        <item x="249"/>
        <item x="250"/>
        <item x="251"/>
        <item x="252"/>
        <item x="253"/>
        <item x="254"/>
        <item x="255"/>
        <item x="256"/>
        <item x="257"/>
        <item x="38"/>
        <item x="259"/>
        <item x="260"/>
        <item x="370"/>
        <item x="261"/>
        <item x="180"/>
        <item x="367"/>
        <item x="262"/>
        <item x="263"/>
        <item x="371"/>
        <item x="265"/>
        <item x="266"/>
        <item x="267"/>
        <item x="268"/>
        <item x="269"/>
        <item x="270"/>
        <item x="271"/>
        <item x="272"/>
        <item x="273"/>
        <item x="274"/>
        <item x="275"/>
        <item x="276"/>
        <item x="277"/>
        <item x="278"/>
        <item x="279"/>
        <item x="280"/>
        <item x="281"/>
        <item x="282"/>
        <item x="283"/>
        <item x="11"/>
        <item x="347"/>
        <item x="284"/>
        <item x="285"/>
        <item x="127"/>
        <item x="153"/>
        <item x="287"/>
        <item x="373"/>
        <item x="288"/>
        <item x="264"/>
        <item x="289"/>
        <item x="290"/>
        <item x="291"/>
        <item x="292"/>
        <item x="293"/>
        <item x="294"/>
        <item x="295"/>
        <item x="296"/>
        <item x="297"/>
        <item x="298"/>
        <item x="299"/>
        <item x="300"/>
        <item x="301"/>
        <item x="302"/>
        <item x="303"/>
        <item x="304"/>
        <item x="305"/>
        <item x="306"/>
        <item x="307"/>
        <item x="308"/>
        <item x="309"/>
        <item x="374"/>
        <item x="311"/>
        <item x="312"/>
        <item x="376"/>
        <item x="314"/>
        <item x="315"/>
        <item x="378"/>
        <item x="317"/>
        <item x="318"/>
        <item x="380"/>
        <item x="320"/>
        <item x="321"/>
        <item x="322"/>
        <item x="323"/>
        <item x="324"/>
        <item x="325"/>
        <item x="326"/>
        <item x="327"/>
        <item x="328"/>
        <item x="329"/>
        <item x="330"/>
        <item x="331"/>
        <item x="332"/>
        <item x="333"/>
        <item x="334"/>
        <item x="335"/>
        <item x="336"/>
        <item x="337"/>
        <item x="338"/>
        <item x="339"/>
        <item x="310"/>
        <item x="375"/>
        <item x="384"/>
        <item x="313"/>
        <item x="377"/>
        <item x="385"/>
        <item x="316"/>
        <item x="379"/>
        <item x="386"/>
        <item x="319"/>
        <item x="381"/>
        <item t="default"/>
      </items>
    </pivotField>
    <pivotField numFmtId="20" showAll="0"/>
    <pivotField showAll="0">
      <items count="5">
        <item x="2"/>
        <item x="3"/>
        <item x="0"/>
        <item x="1"/>
        <item t="default"/>
      </items>
    </pivotField>
    <pivotField showAll="0">
      <items count="4">
        <item x="1"/>
        <item x="0"/>
        <item x="2"/>
        <item t="default"/>
      </items>
    </pivotField>
    <pivotField showAll="0">
      <items count="6">
        <item x="4"/>
        <item x="0"/>
        <item x="2"/>
        <item x="1"/>
        <item x="3"/>
        <item t="default"/>
      </items>
    </pivotField>
    <pivotField showAll="0"/>
    <pivotField dataField="1" numFmtId="44" showAll="0"/>
    <pivotField numFmtId="44"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6"/>
    <field x="14"/>
    <field x="1"/>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a de valor_bruto" fld="7" baseField="0" baseItem="0" numFmtId="44"/>
  </dataField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956E6F-CD11-4836-B708-C49B2F851A73}"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0">
  <location ref="A3:F8" firstHeaderRow="1" firstDataRow="2" firstDataCol="1"/>
  <pivotFields count="17">
    <pivotField showAll="0"/>
    <pivotField numFmtId="166" showAll="0">
      <items count="388">
        <item x="340"/>
        <item x="382"/>
        <item x="59"/>
        <item x="89"/>
        <item x="355"/>
        <item x="358"/>
        <item x="383"/>
        <item x="201"/>
        <item x="228"/>
        <item x="369"/>
        <item x="372"/>
        <item x="0"/>
        <item x="1"/>
        <item x="29"/>
        <item x="3"/>
        <item x="4"/>
        <item x="341"/>
        <item x="6"/>
        <item x="7"/>
        <item x="342"/>
        <item x="9"/>
        <item x="10"/>
        <item x="343"/>
        <item x="12"/>
        <item x="13"/>
        <item x="14"/>
        <item x="15"/>
        <item x="16"/>
        <item x="17"/>
        <item x="18"/>
        <item x="19"/>
        <item x="20"/>
        <item x="21"/>
        <item x="22"/>
        <item x="23"/>
        <item x="24"/>
        <item x="25"/>
        <item x="26"/>
        <item x="27"/>
        <item x="28"/>
        <item x="2"/>
        <item x="30"/>
        <item x="31"/>
        <item x="344"/>
        <item x="33"/>
        <item x="34"/>
        <item x="346"/>
        <item x="36"/>
        <item x="37"/>
        <item x="258"/>
        <item x="39"/>
        <item x="40"/>
        <item x="41"/>
        <item x="42"/>
        <item x="43"/>
        <item x="44"/>
        <item x="45"/>
        <item x="46"/>
        <item x="47"/>
        <item x="48"/>
        <item x="49"/>
        <item x="50"/>
        <item x="51"/>
        <item x="52"/>
        <item x="53"/>
        <item x="54"/>
        <item x="55"/>
        <item x="56"/>
        <item x="57"/>
        <item x="58"/>
        <item x="348"/>
        <item x="60"/>
        <item x="61"/>
        <item x="62"/>
        <item x="63"/>
        <item x="64"/>
        <item x="350"/>
        <item x="66"/>
        <item x="67"/>
        <item x="231"/>
        <item x="69"/>
        <item x="70"/>
        <item x="71"/>
        <item x="72"/>
        <item x="73"/>
        <item x="74"/>
        <item x="75"/>
        <item x="76"/>
        <item x="77"/>
        <item x="78"/>
        <item x="79"/>
        <item x="80"/>
        <item x="81"/>
        <item x="82"/>
        <item x="83"/>
        <item x="84"/>
        <item x="85"/>
        <item x="86"/>
        <item x="87"/>
        <item x="88"/>
        <item x="351"/>
        <item x="90"/>
        <item x="32"/>
        <item x="349"/>
        <item x="91"/>
        <item x="92"/>
        <item x="352"/>
        <item x="94"/>
        <item x="95"/>
        <item x="354"/>
        <item x="97"/>
        <item x="98"/>
        <item x="99"/>
        <item x="100"/>
        <item x="101"/>
        <item x="102"/>
        <item x="103"/>
        <item x="104"/>
        <item x="105"/>
        <item x="106"/>
        <item x="107"/>
        <item x="108"/>
        <item x="109"/>
        <item x="110"/>
        <item x="111"/>
        <item x="112"/>
        <item x="113"/>
        <item x="114"/>
        <item x="115"/>
        <item x="116"/>
        <item x="117"/>
        <item x="118"/>
        <item x="5"/>
        <item x="345"/>
        <item x="119"/>
        <item x="120"/>
        <item x="121"/>
        <item x="122"/>
        <item x="123"/>
        <item x="357"/>
        <item x="125"/>
        <item x="126"/>
        <item x="286"/>
        <item x="128"/>
        <item x="129"/>
        <item x="130"/>
        <item x="131"/>
        <item x="132"/>
        <item x="133"/>
        <item x="134"/>
        <item x="135"/>
        <item x="136"/>
        <item x="137"/>
        <item x="138"/>
        <item x="139"/>
        <item x="140"/>
        <item x="141"/>
        <item x="142"/>
        <item x="143"/>
        <item x="144"/>
        <item x="145"/>
        <item x="146"/>
        <item x="147"/>
        <item x="359"/>
        <item x="65"/>
        <item x="93"/>
        <item x="356"/>
        <item x="148"/>
        <item x="149"/>
        <item x="204"/>
        <item x="151"/>
        <item x="152"/>
        <item x="361"/>
        <item x="154"/>
        <item x="155"/>
        <item x="156"/>
        <item x="157"/>
        <item x="158"/>
        <item x="159"/>
        <item x="160"/>
        <item x="161"/>
        <item x="162"/>
        <item x="163"/>
        <item x="164"/>
        <item x="165"/>
        <item x="166"/>
        <item x="167"/>
        <item x="168"/>
        <item x="169"/>
        <item x="170"/>
        <item x="171"/>
        <item x="172"/>
        <item x="173"/>
        <item x="362"/>
        <item x="35"/>
        <item x="174"/>
        <item x="353"/>
        <item x="175"/>
        <item x="176"/>
        <item x="177"/>
        <item x="178"/>
        <item x="179"/>
        <item x="363"/>
        <item x="181"/>
        <item x="182"/>
        <item x="183"/>
        <item x="184"/>
        <item x="185"/>
        <item x="186"/>
        <item x="187"/>
        <item x="188"/>
        <item x="189"/>
        <item x="190"/>
        <item x="191"/>
        <item x="192"/>
        <item x="193"/>
        <item x="194"/>
        <item x="195"/>
        <item x="196"/>
        <item x="197"/>
        <item x="198"/>
        <item x="199"/>
        <item x="200"/>
        <item x="364"/>
        <item x="8"/>
        <item x="202"/>
        <item x="365"/>
        <item x="203"/>
        <item x="124"/>
        <item x="150"/>
        <item x="205"/>
        <item x="206"/>
        <item x="366"/>
        <item x="208"/>
        <item x="209"/>
        <item x="210"/>
        <item x="211"/>
        <item x="212"/>
        <item x="213"/>
        <item x="214"/>
        <item x="215"/>
        <item x="216"/>
        <item x="217"/>
        <item x="218"/>
        <item x="219"/>
        <item x="220"/>
        <item x="221"/>
        <item x="222"/>
        <item x="223"/>
        <item x="224"/>
        <item x="225"/>
        <item x="226"/>
        <item x="227"/>
        <item x="368"/>
        <item x="229"/>
        <item x="230"/>
        <item x="68"/>
        <item x="96"/>
        <item x="232"/>
        <item x="360"/>
        <item x="233"/>
        <item x="207"/>
        <item x="234"/>
        <item x="235"/>
        <item x="236"/>
        <item x="237"/>
        <item x="238"/>
        <item x="239"/>
        <item x="240"/>
        <item x="241"/>
        <item x="242"/>
        <item x="243"/>
        <item x="244"/>
        <item x="245"/>
        <item x="246"/>
        <item x="247"/>
        <item x="248"/>
        <item x="249"/>
        <item x="250"/>
        <item x="251"/>
        <item x="252"/>
        <item x="253"/>
        <item x="254"/>
        <item x="255"/>
        <item x="256"/>
        <item x="257"/>
        <item x="38"/>
        <item x="259"/>
        <item x="260"/>
        <item x="370"/>
        <item x="261"/>
        <item x="180"/>
        <item x="367"/>
        <item x="262"/>
        <item x="263"/>
        <item x="371"/>
        <item x="265"/>
        <item x="266"/>
        <item x="267"/>
        <item x="268"/>
        <item x="269"/>
        <item x="270"/>
        <item x="271"/>
        <item x="272"/>
        <item x="273"/>
        <item x="274"/>
        <item x="275"/>
        <item x="276"/>
        <item x="277"/>
        <item x="278"/>
        <item x="279"/>
        <item x="280"/>
        <item x="281"/>
        <item x="282"/>
        <item x="283"/>
        <item x="11"/>
        <item x="347"/>
        <item x="284"/>
        <item x="285"/>
        <item x="127"/>
        <item x="153"/>
        <item x="287"/>
        <item x="373"/>
        <item x="288"/>
        <item x="264"/>
        <item x="289"/>
        <item x="290"/>
        <item x="291"/>
        <item x="292"/>
        <item x="293"/>
        <item x="294"/>
        <item x="295"/>
        <item x="296"/>
        <item x="297"/>
        <item x="298"/>
        <item x="299"/>
        <item x="300"/>
        <item x="301"/>
        <item x="302"/>
        <item x="303"/>
        <item x="304"/>
        <item x="305"/>
        <item x="306"/>
        <item x="307"/>
        <item x="308"/>
        <item x="309"/>
        <item x="374"/>
        <item x="311"/>
        <item x="312"/>
        <item x="376"/>
        <item x="314"/>
        <item x="315"/>
        <item x="378"/>
        <item x="317"/>
        <item x="318"/>
        <item x="380"/>
        <item x="320"/>
        <item x="321"/>
        <item x="322"/>
        <item x="323"/>
        <item x="324"/>
        <item x="325"/>
        <item x="326"/>
        <item x="327"/>
        <item x="328"/>
        <item x="329"/>
        <item x="330"/>
        <item x="331"/>
        <item x="332"/>
        <item x="333"/>
        <item x="334"/>
        <item x="335"/>
        <item x="336"/>
        <item x="337"/>
        <item x="338"/>
        <item x="339"/>
        <item x="310"/>
        <item x="375"/>
        <item x="384"/>
        <item x="313"/>
        <item x="377"/>
        <item x="385"/>
        <item x="316"/>
        <item x="379"/>
        <item x="386"/>
        <item x="319"/>
        <item x="381"/>
        <item t="default"/>
      </items>
    </pivotField>
    <pivotField numFmtId="20" showAll="0"/>
    <pivotField axis="axisCol" multipleItemSelectionAllowed="1" showAll="0">
      <items count="5">
        <item x="2"/>
        <item x="3"/>
        <item x="0"/>
        <item x="1"/>
        <item t="default"/>
      </items>
    </pivotField>
    <pivotField axis="axisRow" showAll="0">
      <items count="4">
        <item x="1"/>
        <item x="0"/>
        <item x="2"/>
        <item t="default"/>
      </items>
    </pivotField>
    <pivotField showAll="0">
      <items count="6">
        <item x="4"/>
        <item x="0"/>
        <item x="2"/>
        <item x="1"/>
        <item x="3"/>
        <item t="default"/>
      </items>
    </pivotField>
    <pivotField showAll="0"/>
    <pivotField dataField="1" numFmtId="44" showAll="0"/>
    <pivotField numFmtId="4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Fields count="1">
    <field x="3"/>
  </colFields>
  <colItems count="5">
    <i>
      <x/>
    </i>
    <i>
      <x v="1"/>
    </i>
    <i>
      <x v="2"/>
    </i>
    <i>
      <x v="3"/>
    </i>
    <i t="grand">
      <x/>
    </i>
  </colItems>
  <dataFields count="1">
    <dataField name="Suma de valor_bruto" fld="7" baseField="0" baseItem="0" numFmtId="44"/>
  </dataFields>
  <chartFormats count="22">
    <chartFormat chart="41" format="0" series="1">
      <pivotArea type="data" outline="0" fieldPosition="0">
        <references count="2">
          <reference field="4294967294" count="1" selected="0">
            <x v="0"/>
          </reference>
          <reference field="3" count="1" selected="0">
            <x v="0"/>
          </reference>
        </references>
      </pivotArea>
    </chartFormat>
    <chartFormat chart="41" format="1" series="1">
      <pivotArea type="data" outline="0" fieldPosition="0">
        <references count="2">
          <reference field="4294967294" count="1" selected="0">
            <x v="0"/>
          </reference>
          <reference field="3" count="1" selected="0">
            <x v="1"/>
          </reference>
        </references>
      </pivotArea>
    </chartFormat>
    <chartFormat chart="41" format="2" series="1">
      <pivotArea type="data" outline="0" fieldPosition="0">
        <references count="2">
          <reference field="4294967294" count="1" selected="0">
            <x v="0"/>
          </reference>
          <reference field="3" count="1" selected="0">
            <x v="2"/>
          </reference>
        </references>
      </pivotArea>
    </chartFormat>
    <chartFormat chart="41" format="3" series="1">
      <pivotArea type="data" outline="0" fieldPosition="0">
        <references count="2">
          <reference field="4294967294" count="1" selected="0">
            <x v="0"/>
          </reference>
          <reference field="3" count="1" selected="0">
            <x v="3"/>
          </reference>
        </references>
      </pivotArea>
    </chartFormat>
    <chartFormat chart="41" format="4">
      <pivotArea type="data" outline="0" fieldPosition="0">
        <references count="3">
          <reference field="4294967294" count="1" selected="0">
            <x v="0"/>
          </reference>
          <reference field="3" count="1" selected="0">
            <x v="0"/>
          </reference>
          <reference field="4" count="1" selected="0">
            <x v="2"/>
          </reference>
        </references>
      </pivotArea>
    </chartFormat>
    <chartFormat chart="41" format="5">
      <pivotArea type="data" outline="0" fieldPosition="0">
        <references count="3">
          <reference field="4294967294" count="1" selected="0">
            <x v="0"/>
          </reference>
          <reference field="3" count="1" selected="0">
            <x v="0"/>
          </reference>
          <reference field="4" count="1" selected="0">
            <x v="0"/>
          </reference>
        </references>
      </pivotArea>
    </chartFormat>
    <chartFormat chart="46" format="0" series="1">
      <pivotArea type="data" outline="0" fieldPosition="0">
        <references count="2">
          <reference field="4294967294" count="1" selected="0">
            <x v="0"/>
          </reference>
          <reference field="3" count="1" selected="0">
            <x v="0"/>
          </reference>
        </references>
      </pivotArea>
    </chartFormat>
    <chartFormat chart="46" format="1" series="1">
      <pivotArea type="data" outline="0" fieldPosition="0">
        <references count="2">
          <reference field="4294967294" count="1" selected="0">
            <x v="0"/>
          </reference>
          <reference field="3" count="1" selected="0">
            <x v="1"/>
          </reference>
        </references>
      </pivotArea>
    </chartFormat>
    <chartFormat chart="46" format="2" series="1">
      <pivotArea type="data" outline="0" fieldPosition="0">
        <references count="2">
          <reference field="4294967294" count="1" selected="0">
            <x v="0"/>
          </reference>
          <reference field="3" count="1" selected="0">
            <x v="2"/>
          </reference>
        </references>
      </pivotArea>
    </chartFormat>
    <chartFormat chart="46" format="3" series="1">
      <pivotArea type="data" outline="0" fieldPosition="0">
        <references count="2">
          <reference field="4294967294" count="1" selected="0">
            <x v="0"/>
          </reference>
          <reference field="3" count="1" selected="0">
            <x v="3"/>
          </reference>
        </references>
      </pivotArea>
    </chartFormat>
    <chartFormat chart="41" format="6">
      <pivotArea type="data" outline="0" fieldPosition="0">
        <references count="3">
          <reference field="4294967294" count="1" selected="0">
            <x v="0"/>
          </reference>
          <reference field="3" count="1" selected="0">
            <x v="0"/>
          </reference>
          <reference field="4" count="1" selected="0">
            <x v="1"/>
          </reference>
        </references>
      </pivotArea>
    </chartFormat>
    <chartFormat chart="41" format="7">
      <pivotArea type="data" outline="0" fieldPosition="0">
        <references count="3">
          <reference field="4294967294" count="1" selected="0">
            <x v="0"/>
          </reference>
          <reference field="3" count="1" selected="0">
            <x v="1"/>
          </reference>
          <reference field="4" count="1" selected="0">
            <x v="0"/>
          </reference>
        </references>
      </pivotArea>
    </chartFormat>
    <chartFormat chart="41" format="8">
      <pivotArea type="data" outline="0" fieldPosition="0">
        <references count="3">
          <reference field="4294967294" count="1" selected="0">
            <x v="0"/>
          </reference>
          <reference field="3" count="1" selected="0">
            <x v="1"/>
          </reference>
          <reference field="4" count="1" selected="0">
            <x v="1"/>
          </reference>
        </references>
      </pivotArea>
    </chartFormat>
    <chartFormat chart="41" format="9">
      <pivotArea type="data" outline="0" fieldPosition="0">
        <references count="3">
          <reference field="4294967294" count="1" selected="0">
            <x v="0"/>
          </reference>
          <reference field="3" count="1" selected="0">
            <x v="1"/>
          </reference>
          <reference field="4" count="1" selected="0">
            <x v="2"/>
          </reference>
        </references>
      </pivotArea>
    </chartFormat>
    <chartFormat chart="41" format="10">
      <pivotArea type="data" outline="0" fieldPosition="0">
        <references count="3">
          <reference field="4294967294" count="1" selected="0">
            <x v="0"/>
          </reference>
          <reference field="3" count="1" selected="0">
            <x v="2"/>
          </reference>
          <reference field="4" count="1" selected="0">
            <x v="0"/>
          </reference>
        </references>
      </pivotArea>
    </chartFormat>
    <chartFormat chart="41" format="11">
      <pivotArea type="data" outline="0" fieldPosition="0">
        <references count="3">
          <reference field="4294967294" count="1" selected="0">
            <x v="0"/>
          </reference>
          <reference field="3" count="1" selected="0">
            <x v="2"/>
          </reference>
          <reference field="4" count="1" selected="0">
            <x v="1"/>
          </reference>
        </references>
      </pivotArea>
    </chartFormat>
    <chartFormat chart="41" format="12">
      <pivotArea type="data" outline="0" fieldPosition="0">
        <references count="3">
          <reference field="4294967294" count="1" selected="0">
            <x v="0"/>
          </reference>
          <reference field="3" count="1" selected="0">
            <x v="2"/>
          </reference>
          <reference field="4" count="1" selected="0">
            <x v="2"/>
          </reference>
        </references>
      </pivotArea>
    </chartFormat>
    <chartFormat chart="41" format="13">
      <pivotArea type="data" outline="0" fieldPosition="0">
        <references count="3">
          <reference field="4294967294" count="1" selected="0">
            <x v="0"/>
          </reference>
          <reference field="3" count="1" selected="0">
            <x v="3"/>
          </reference>
          <reference field="4" count="1" selected="0">
            <x v="0"/>
          </reference>
        </references>
      </pivotArea>
    </chartFormat>
    <chartFormat chart="41" format="14">
      <pivotArea type="data" outline="0" fieldPosition="0">
        <references count="3">
          <reference field="4294967294" count="1" selected="0">
            <x v="0"/>
          </reference>
          <reference field="3" count="1" selected="0">
            <x v="3"/>
          </reference>
          <reference field="4" count="1" selected="0">
            <x v="1"/>
          </reference>
        </references>
      </pivotArea>
    </chartFormat>
    <chartFormat chart="41" format="15">
      <pivotArea type="data" outline="0" fieldPosition="0">
        <references count="3">
          <reference field="4294967294" count="1" selected="0">
            <x v="0"/>
          </reference>
          <reference field="3" count="1" selected="0">
            <x v="3"/>
          </reference>
          <reference field="4" count="1" selected="0">
            <x v="2"/>
          </reference>
        </references>
      </pivotArea>
    </chartFormat>
    <chartFormat chart="46" format="4" series="1">
      <pivotArea type="data" outline="0" fieldPosition="0">
        <references count="1">
          <reference field="4294967294" count="1" selected="0">
            <x v="0"/>
          </reference>
        </references>
      </pivotArea>
    </chartFormat>
    <chartFormat chart="41"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11A9A5-4CDA-4AEF-A5C6-A41194CD46BC}"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6">
  <location ref="A11:B17" firstHeaderRow="1" firstDataRow="1" firstDataCol="1"/>
  <pivotFields count="17">
    <pivotField showAll="0"/>
    <pivotField numFmtId="166" showAll="0">
      <items count="388">
        <item x="340"/>
        <item x="382"/>
        <item x="59"/>
        <item x="89"/>
        <item x="355"/>
        <item x="358"/>
        <item x="383"/>
        <item x="201"/>
        <item x="228"/>
        <item x="369"/>
        <item x="372"/>
        <item x="0"/>
        <item x="1"/>
        <item x="29"/>
        <item x="3"/>
        <item x="4"/>
        <item x="341"/>
        <item x="6"/>
        <item x="7"/>
        <item x="342"/>
        <item x="9"/>
        <item x="10"/>
        <item x="343"/>
        <item x="12"/>
        <item x="13"/>
        <item x="14"/>
        <item x="15"/>
        <item x="16"/>
        <item x="17"/>
        <item x="18"/>
        <item x="19"/>
        <item x="20"/>
        <item x="21"/>
        <item x="22"/>
        <item x="23"/>
        <item x="24"/>
        <item x="25"/>
        <item x="26"/>
        <item x="27"/>
        <item x="28"/>
        <item x="2"/>
        <item x="30"/>
        <item x="31"/>
        <item x="344"/>
        <item x="33"/>
        <item x="34"/>
        <item x="346"/>
        <item x="36"/>
        <item x="37"/>
        <item x="258"/>
        <item x="39"/>
        <item x="40"/>
        <item x="41"/>
        <item x="42"/>
        <item x="43"/>
        <item x="44"/>
        <item x="45"/>
        <item x="46"/>
        <item x="47"/>
        <item x="48"/>
        <item x="49"/>
        <item x="50"/>
        <item x="51"/>
        <item x="52"/>
        <item x="53"/>
        <item x="54"/>
        <item x="55"/>
        <item x="56"/>
        <item x="57"/>
        <item x="58"/>
        <item x="348"/>
        <item x="60"/>
        <item x="61"/>
        <item x="62"/>
        <item x="63"/>
        <item x="64"/>
        <item x="350"/>
        <item x="66"/>
        <item x="67"/>
        <item x="231"/>
        <item x="69"/>
        <item x="70"/>
        <item x="71"/>
        <item x="72"/>
        <item x="73"/>
        <item x="74"/>
        <item x="75"/>
        <item x="76"/>
        <item x="77"/>
        <item x="78"/>
        <item x="79"/>
        <item x="80"/>
        <item x="81"/>
        <item x="82"/>
        <item x="83"/>
        <item x="84"/>
        <item x="85"/>
        <item x="86"/>
        <item x="87"/>
        <item x="88"/>
        <item x="351"/>
        <item x="90"/>
        <item x="32"/>
        <item x="349"/>
        <item x="91"/>
        <item x="92"/>
        <item x="352"/>
        <item x="94"/>
        <item x="95"/>
        <item x="354"/>
        <item x="97"/>
        <item x="98"/>
        <item x="99"/>
        <item x="100"/>
        <item x="101"/>
        <item x="102"/>
        <item x="103"/>
        <item x="104"/>
        <item x="105"/>
        <item x="106"/>
        <item x="107"/>
        <item x="108"/>
        <item x="109"/>
        <item x="110"/>
        <item x="111"/>
        <item x="112"/>
        <item x="113"/>
        <item x="114"/>
        <item x="115"/>
        <item x="116"/>
        <item x="117"/>
        <item x="118"/>
        <item x="5"/>
        <item x="345"/>
        <item x="119"/>
        <item x="120"/>
        <item x="121"/>
        <item x="122"/>
        <item x="123"/>
        <item x="357"/>
        <item x="125"/>
        <item x="126"/>
        <item x="286"/>
        <item x="128"/>
        <item x="129"/>
        <item x="130"/>
        <item x="131"/>
        <item x="132"/>
        <item x="133"/>
        <item x="134"/>
        <item x="135"/>
        <item x="136"/>
        <item x="137"/>
        <item x="138"/>
        <item x="139"/>
        <item x="140"/>
        <item x="141"/>
        <item x="142"/>
        <item x="143"/>
        <item x="144"/>
        <item x="145"/>
        <item x="146"/>
        <item x="147"/>
        <item x="359"/>
        <item x="65"/>
        <item x="93"/>
        <item x="356"/>
        <item x="148"/>
        <item x="149"/>
        <item x="204"/>
        <item x="151"/>
        <item x="152"/>
        <item x="361"/>
        <item x="154"/>
        <item x="155"/>
        <item x="156"/>
        <item x="157"/>
        <item x="158"/>
        <item x="159"/>
        <item x="160"/>
        <item x="161"/>
        <item x="162"/>
        <item x="163"/>
        <item x="164"/>
        <item x="165"/>
        <item x="166"/>
        <item x="167"/>
        <item x="168"/>
        <item x="169"/>
        <item x="170"/>
        <item x="171"/>
        <item x="172"/>
        <item x="173"/>
        <item x="362"/>
        <item x="35"/>
        <item x="174"/>
        <item x="353"/>
        <item x="175"/>
        <item x="176"/>
        <item x="177"/>
        <item x="178"/>
        <item x="179"/>
        <item x="363"/>
        <item x="181"/>
        <item x="182"/>
        <item x="183"/>
        <item x="184"/>
        <item x="185"/>
        <item x="186"/>
        <item x="187"/>
        <item x="188"/>
        <item x="189"/>
        <item x="190"/>
        <item x="191"/>
        <item x="192"/>
        <item x="193"/>
        <item x="194"/>
        <item x="195"/>
        <item x="196"/>
        <item x="197"/>
        <item x="198"/>
        <item x="199"/>
        <item x="200"/>
        <item x="364"/>
        <item x="8"/>
        <item x="202"/>
        <item x="365"/>
        <item x="203"/>
        <item x="124"/>
        <item x="150"/>
        <item x="205"/>
        <item x="206"/>
        <item x="366"/>
        <item x="208"/>
        <item x="209"/>
        <item x="210"/>
        <item x="211"/>
        <item x="212"/>
        <item x="213"/>
        <item x="214"/>
        <item x="215"/>
        <item x="216"/>
        <item x="217"/>
        <item x="218"/>
        <item x="219"/>
        <item x="220"/>
        <item x="221"/>
        <item x="222"/>
        <item x="223"/>
        <item x="224"/>
        <item x="225"/>
        <item x="226"/>
        <item x="227"/>
        <item x="368"/>
        <item x="229"/>
        <item x="230"/>
        <item x="68"/>
        <item x="96"/>
        <item x="232"/>
        <item x="360"/>
        <item x="233"/>
        <item x="207"/>
        <item x="234"/>
        <item x="235"/>
        <item x="236"/>
        <item x="237"/>
        <item x="238"/>
        <item x="239"/>
        <item x="240"/>
        <item x="241"/>
        <item x="242"/>
        <item x="243"/>
        <item x="244"/>
        <item x="245"/>
        <item x="246"/>
        <item x="247"/>
        <item x="248"/>
        <item x="249"/>
        <item x="250"/>
        <item x="251"/>
        <item x="252"/>
        <item x="253"/>
        <item x="254"/>
        <item x="255"/>
        <item x="256"/>
        <item x="257"/>
        <item x="38"/>
        <item x="259"/>
        <item x="260"/>
        <item x="370"/>
        <item x="261"/>
        <item x="180"/>
        <item x="367"/>
        <item x="262"/>
        <item x="263"/>
        <item x="371"/>
        <item x="265"/>
        <item x="266"/>
        <item x="267"/>
        <item x="268"/>
        <item x="269"/>
        <item x="270"/>
        <item x="271"/>
        <item x="272"/>
        <item x="273"/>
        <item x="274"/>
        <item x="275"/>
        <item x="276"/>
        <item x="277"/>
        <item x="278"/>
        <item x="279"/>
        <item x="280"/>
        <item x="281"/>
        <item x="282"/>
        <item x="283"/>
        <item x="11"/>
        <item x="347"/>
        <item x="284"/>
        <item x="285"/>
        <item x="127"/>
        <item x="153"/>
        <item x="287"/>
        <item x="373"/>
        <item x="288"/>
        <item x="264"/>
        <item x="289"/>
        <item x="290"/>
        <item x="291"/>
        <item x="292"/>
        <item x="293"/>
        <item x="294"/>
        <item x="295"/>
        <item x="296"/>
        <item x="297"/>
        <item x="298"/>
        <item x="299"/>
        <item x="300"/>
        <item x="301"/>
        <item x="302"/>
        <item x="303"/>
        <item x="304"/>
        <item x="305"/>
        <item x="306"/>
        <item x="307"/>
        <item x="308"/>
        <item x="309"/>
        <item x="374"/>
        <item x="311"/>
        <item x="312"/>
        <item x="376"/>
        <item x="314"/>
        <item x="315"/>
        <item x="378"/>
        <item x="317"/>
        <item x="318"/>
        <item x="380"/>
        <item x="320"/>
        <item x="321"/>
        <item x="322"/>
        <item x="323"/>
        <item x="324"/>
        <item x="325"/>
        <item x="326"/>
        <item x="327"/>
        <item x="328"/>
        <item x="329"/>
        <item x="330"/>
        <item x="331"/>
        <item x="332"/>
        <item x="333"/>
        <item x="334"/>
        <item x="335"/>
        <item x="336"/>
        <item x="337"/>
        <item x="338"/>
        <item x="339"/>
        <item x="310"/>
        <item x="375"/>
        <item x="384"/>
        <item x="313"/>
        <item x="377"/>
        <item x="385"/>
        <item x="316"/>
        <item x="379"/>
        <item x="386"/>
        <item x="319"/>
        <item x="381"/>
        <item t="default"/>
      </items>
    </pivotField>
    <pivotField numFmtId="20" showAll="0"/>
    <pivotField showAll="0">
      <items count="5">
        <item x="2"/>
        <item x="3"/>
        <item x="0"/>
        <item x="1"/>
        <item t="default"/>
      </items>
    </pivotField>
    <pivotField showAll="0">
      <items count="4">
        <item x="1"/>
        <item x="0"/>
        <item x="2"/>
        <item t="default"/>
      </items>
    </pivotField>
    <pivotField axis="axisRow" showAll="0"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dataField="1" numFmtId="44" showAll="0"/>
    <pivotField numFmtId="4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4"/>
    </i>
    <i>
      <x v="3"/>
    </i>
    <i>
      <x v="1"/>
    </i>
    <i>
      <x v="2"/>
    </i>
    <i t="grand">
      <x/>
    </i>
  </rowItems>
  <colItems count="1">
    <i/>
  </colItems>
  <dataFields count="1">
    <dataField name="Suma de valor_bruto" fld="7" baseField="0" baseItem="0" numFmtId="44"/>
  </dataField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86D3C4-3ED9-46AB-9536-048601F4C8C7}"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28:E33" firstHeaderRow="1" firstDataRow="1" firstDataCol="1"/>
  <pivotFields count="17">
    <pivotField showAll="0"/>
    <pivotField numFmtId="166" showAll="0">
      <items count="388">
        <item x="340"/>
        <item x="382"/>
        <item x="59"/>
        <item x="89"/>
        <item x="355"/>
        <item x="358"/>
        <item x="383"/>
        <item x="201"/>
        <item x="228"/>
        <item x="369"/>
        <item x="372"/>
        <item x="0"/>
        <item x="1"/>
        <item x="29"/>
        <item x="3"/>
        <item x="4"/>
        <item x="341"/>
        <item x="6"/>
        <item x="7"/>
        <item x="342"/>
        <item x="9"/>
        <item x="10"/>
        <item x="343"/>
        <item x="12"/>
        <item x="13"/>
        <item x="14"/>
        <item x="15"/>
        <item x="16"/>
        <item x="17"/>
        <item x="18"/>
        <item x="19"/>
        <item x="20"/>
        <item x="21"/>
        <item x="22"/>
        <item x="23"/>
        <item x="24"/>
        <item x="25"/>
        <item x="26"/>
        <item x="27"/>
        <item x="28"/>
        <item x="2"/>
        <item x="30"/>
        <item x="31"/>
        <item x="344"/>
        <item x="33"/>
        <item x="34"/>
        <item x="346"/>
        <item x="36"/>
        <item x="37"/>
        <item x="258"/>
        <item x="39"/>
        <item x="40"/>
        <item x="41"/>
        <item x="42"/>
        <item x="43"/>
        <item x="44"/>
        <item x="45"/>
        <item x="46"/>
        <item x="47"/>
        <item x="48"/>
        <item x="49"/>
        <item x="50"/>
        <item x="51"/>
        <item x="52"/>
        <item x="53"/>
        <item x="54"/>
        <item x="55"/>
        <item x="56"/>
        <item x="57"/>
        <item x="58"/>
        <item x="348"/>
        <item x="60"/>
        <item x="61"/>
        <item x="62"/>
        <item x="63"/>
        <item x="64"/>
        <item x="350"/>
        <item x="66"/>
        <item x="67"/>
        <item x="231"/>
        <item x="69"/>
        <item x="70"/>
        <item x="71"/>
        <item x="72"/>
        <item x="73"/>
        <item x="74"/>
        <item x="75"/>
        <item x="76"/>
        <item x="77"/>
        <item x="78"/>
        <item x="79"/>
        <item x="80"/>
        <item x="81"/>
        <item x="82"/>
        <item x="83"/>
        <item x="84"/>
        <item x="85"/>
        <item x="86"/>
        <item x="87"/>
        <item x="88"/>
        <item x="351"/>
        <item x="90"/>
        <item x="32"/>
        <item x="349"/>
        <item x="91"/>
        <item x="92"/>
        <item x="352"/>
        <item x="94"/>
        <item x="95"/>
        <item x="354"/>
        <item x="97"/>
        <item x="98"/>
        <item x="99"/>
        <item x="100"/>
        <item x="101"/>
        <item x="102"/>
        <item x="103"/>
        <item x="104"/>
        <item x="105"/>
        <item x="106"/>
        <item x="107"/>
        <item x="108"/>
        <item x="109"/>
        <item x="110"/>
        <item x="111"/>
        <item x="112"/>
        <item x="113"/>
        <item x="114"/>
        <item x="115"/>
        <item x="116"/>
        <item x="117"/>
        <item x="118"/>
        <item x="5"/>
        <item x="345"/>
        <item x="119"/>
        <item x="120"/>
        <item x="121"/>
        <item x="122"/>
        <item x="123"/>
        <item x="357"/>
        <item x="125"/>
        <item x="126"/>
        <item x="286"/>
        <item x="128"/>
        <item x="129"/>
        <item x="130"/>
        <item x="131"/>
        <item x="132"/>
        <item x="133"/>
        <item x="134"/>
        <item x="135"/>
        <item x="136"/>
        <item x="137"/>
        <item x="138"/>
        <item x="139"/>
        <item x="140"/>
        <item x="141"/>
        <item x="142"/>
        <item x="143"/>
        <item x="144"/>
        <item x="145"/>
        <item x="146"/>
        <item x="147"/>
        <item x="359"/>
        <item x="65"/>
        <item x="93"/>
        <item x="356"/>
        <item x="148"/>
        <item x="149"/>
        <item x="204"/>
        <item x="151"/>
        <item x="152"/>
        <item x="361"/>
        <item x="154"/>
        <item x="155"/>
        <item x="156"/>
        <item x="157"/>
        <item x="158"/>
        <item x="159"/>
        <item x="160"/>
        <item x="161"/>
        <item x="162"/>
        <item x="163"/>
        <item x="164"/>
        <item x="165"/>
        <item x="166"/>
        <item x="167"/>
        <item x="168"/>
        <item x="169"/>
        <item x="170"/>
        <item x="171"/>
        <item x="172"/>
        <item x="173"/>
        <item x="362"/>
        <item x="35"/>
        <item x="174"/>
        <item x="353"/>
        <item x="175"/>
        <item x="176"/>
        <item x="177"/>
        <item x="178"/>
        <item x="179"/>
        <item x="363"/>
        <item x="181"/>
        <item x="182"/>
        <item x="183"/>
        <item x="184"/>
        <item x="185"/>
        <item x="186"/>
        <item x="187"/>
        <item x="188"/>
        <item x="189"/>
        <item x="190"/>
        <item x="191"/>
        <item x="192"/>
        <item x="193"/>
        <item x="194"/>
        <item x="195"/>
        <item x="196"/>
        <item x="197"/>
        <item x="198"/>
        <item x="199"/>
        <item x="200"/>
        <item x="364"/>
        <item x="8"/>
        <item x="202"/>
        <item x="365"/>
        <item x="203"/>
        <item x="124"/>
        <item x="150"/>
        <item x="205"/>
        <item x="206"/>
        <item x="366"/>
        <item x="208"/>
        <item x="209"/>
        <item x="210"/>
        <item x="211"/>
        <item x="212"/>
        <item x="213"/>
        <item x="214"/>
        <item x="215"/>
        <item x="216"/>
        <item x="217"/>
        <item x="218"/>
        <item x="219"/>
        <item x="220"/>
        <item x="221"/>
        <item x="222"/>
        <item x="223"/>
        <item x="224"/>
        <item x="225"/>
        <item x="226"/>
        <item x="227"/>
        <item x="368"/>
        <item x="229"/>
        <item x="230"/>
        <item x="68"/>
        <item x="96"/>
        <item x="232"/>
        <item x="360"/>
        <item x="233"/>
        <item x="207"/>
        <item x="234"/>
        <item x="235"/>
        <item x="236"/>
        <item x="237"/>
        <item x="238"/>
        <item x="239"/>
        <item x="240"/>
        <item x="241"/>
        <item x="242"/>
        <item x="243"/>
        <item x="244"/>
        <item x="245"/>
        <item x="246"/>
        <item x="247"/>
        <item x="248"/>
        <item x="249"/>
        <item x="250"/>
        <item x="251"/>
        <item x="252"/>
        <item x="253"/>
        <item x="254"/>
        <item x="255"/>
        <item x="256"/>
        <item x="257"/>
        <item x="38"/>
        <item x="259"/>
        <item x="260"/>
        <item x="370"/>
        <item x="261"/>
        <item x="180"/>
        <item x="367"/>
        <item x="262"/>
        <item x="263"/>
        <item x="371"/>
        <item x="265"/>
        <item x="266"/>
        <item x="267"/>
        <item x="268"/>
        <item x="269"/>
        <item x="270"/>
        <item x="271"/>
        <item x="272"/>
        <item x="273"/>
        <item x="274"/>
        <item x="275"/>
        <item x="276"/>
        <item x="277"/>
        <item x="278"/>
        <item x="279"/>
        <item x="280"/>
        <item x="281"/>
        <item x="282"/>
        <item x="283"/>
        <item x="11"/>
        <item x="347"/>
        <item x="284"/>
        <item x="285"/>
        <item x="127"/>
        <item x="153"/>
        <item x="287"/>
        <item x="373"/>
        <item x="288"/>
        <item x="264"/>
        <item x="289"/>
        <item x="290"/>
        <item x="291"/>
        <item x="292"/>
        <item x="293"/>
        <item x="294"/>
        <item x="295"/>
        <item x="296"/>
        <item x="297"/>
        <item x="298"/>
        <item x="299"/>
        <item x="300"/>
        <item x="301"/>
        <item x="302"/>
        <item x="303"/>
        <item x="304"/>
        <item x="305"/>
        <item x="306"/>
        <item x="307"/>
        <item x="308"/>
        <item x="309"/>
        <item x="374"/>
        <item x="311"/>
        <item x="312"/>
        <item x="376"/>
        <item x="314"/>
        <item x="315"/>
        <item x="378"/>
        <item x="317"/>
        <item x="318"/>
        <item x="380"/>
        <item x="320"/>
        <item x="321"/>
        <item x="322"/>
        <item x="323"/>
        <item x="324"/>
        <item x="325"/>
        <item x="326"/>
        <item x="327"/>
        <item x="328"/>
        <item x="329"/>
        <item x="330"/>
        <item x="331"/>
        <item x="332"/>
        <item x="333"/>
        <item x="334"/>
        <item x="335"/>
        <item x="336"/>
        <item x="337"/>
        <item x="338"/>
        <item x="339"/>
        <item x="310"/>
        <item x="375"/>
        <item x="384"/>
        <item x="313"/>
        <item x="377"/>
        <item x="385"/>
        <item x="316"/>
        <item x="379"/>
        <item x="386"/>
        <item x="319"/>
        <item x="381"/>
        <item t="default"/>
      </items>
    </pivotField>
    <pivotField numFmtId="20" showAll="0"/>
    <pivotField axis="axisRow" showAll="0">
      <items count="5">
        <item x="2"/>
        <item x="3"/>
        <item x="0"/>
        <item x="1"/>
        <item t="default"/>
      </items>
    </pivotField>
    <pivotField showAll="0"/>
    <pivotField showAll="0">
      <items count="6">
        <item x="4"/>
        <item x="0"/>
        <item x="2"/>
        <item x="1"/>
        <item x="3"/>
        <item t="default"/>
      </items>
    </pivotField>
    <pivotField showAll="0"/>
    <pivotField numFmtId="44" showAll="0"/>
    <pivotField numFmtId="44" showAll="0"/>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a de calificacion"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de" xr10:uid="{EB02A363-D91C-4724-B3A5-F878012F970F}" sourceName="sede">
  <pivotTables>
    <pivotTable tabId="2" name="TablaDinámica1"/>
    <pivotTable tabId="2" name="TablaDinámica2"/>
    <pivotTable tabId="2" name="TablaDinámica3"/>
  </pivotTables>
  <data>
    <tabular pivotCacheId="131398381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servicio" xr10:uid="{44D397D8-D415-4D9C-A68D-35109F948EC1}" sourceName="tipo_servicio">
  <pivotTables>
    <pivotTable tabId="2" name="TablaDinámica1"/>
    <pivotTable tabId="2" name="TablaDinámica2"/>
    <pivotTable tabId="2" name="TablaDinámica3"/>
  </pivotTables>
  <data>
    <tabular pivotCacheId="131398381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_menu" xr10:uid="{7DEE7F8F-D415-440A-9948-39B83EDA2B6D}" sourceName="categoria_menu">
  <pivotTables>
    <pivotTable tabId="2" name="TablaDinámica1"/>
    <pivotTable tabId="2" name="TablaDinámica2"/>
    <pivotTable tabId="2" name="TablaDinámica3"/>
    <pivotTable tabId="2" name="TablaDinámica4"/>
    <pivotTable tabId="2" name="TablaDinámica5"/>
  </pivotTables>
  <data>
    <tabular pivotCacheId="1313983810">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es__fecha_orden" xr10:uid="{28E7D5C7-9BF0-4BA5-A98F-67732AB86A7F}" sourceName="Meses (fecha_orden)">
  <pivotTables>
    <pivotTable tabId="2" name="TablaDinámica1"/>
    <pivotTable tabId="2" name="TablaDinámica2"/>
    <pivotTable tabId="2" name="TablaDinámica3"/>
  </pivotTables>
  <data>
    <tabular pivotCacheId="1313983810">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s__fecha_orden" xr10:uid="{91DFECFF-3B5F-4C14-9737-0A153472B558}" sourceName="Años (fecha_orden)">
  <pivotTables>
    <pivotTable tabId="2" name="TablaDinámica1"/>
    <pivotTable tabId="2" name="TablaDinámica2"/>
    <pivotTable tabId="2" name="TablaDinámica3"/>
  </pivotTables>
  <data>
    <tabular pivotCacheId="1313983810">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de" xr10:uid="{42570AB5-D7E3-4941-88A3-877F8AB9575A}" cache="SegmentaciónDeDatos_sede" caption="sede" style="SlicerStyleLight6" rowHeight="234950"/>
  <slicer name="tipo_servicio" xr10:uid="{50C6EFDE-DCFC-45FB-A19C-EB3F2383807F}" cache="SegmentaciónDeDatos_tipo_servicio" caption="tipo_servicio" style="SlicerStyleLight6" rowHeight="234950"/>
  <slicer name="categoria_menu" xr10:uid="{ECC5FDCD-84BF-4CE2-A7EA-F4771BC16E2E}" cache="SegmentaciónDeDatos_categoria_menu" caption="categoria_menu" style="SlicerStyleLight6" rowHeight="234950"/>
  <slicer name="Meses (fecha_orden)" xr10:uid="{E3177759-DA9D-4A32-BD17-F8E382D0B19D}" cache="SegmentaciónDeDatos_Meses__fecha_orden" caption="Meses (fecha_orden)" style="SlicerStyleLight6" rowHeight="234950"/>
  <slicer name="Años (fecha_orden)" xr10:uid="{4428F36D-AF33-4E60-9CA9-6A3BB7B33F61}" cache="SegmentaciónDeDatos_Años__fecha_orden" caption="Años (fecha_orden)"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D1E05-497B-429A-ADA9-1EDC841ED3F7}" name="Data_Set_2" displayName="Data_Set_2" ref="A1:N1181" totalsRowShown="0" headerRowDxfId="6">
  <autoFilter ref="A1:N1181" xr:uid="{8D8D1E05-497B-429A-ADA9-1EDC841ED3F7}"/>
  <sortState xmlns:xlrd2="http://schemas.microsoft.com/office/spreadsheetml/2017/richdata2" ref="A2:N1181">
    <sortCondition ref="A1:A1181"/>
  </sortState>
  <tableColumns count="14">
    <tableColumn id="1" xr3:uid="{3B0D3914-07AC-4D8A-ADB3-45EDB7958D72}" name="orden_id"/>
    <tableColumn id="2" xr3:uid="{372C69A8-5831-422B-B72A-5F4CA2853688}" name="fecha_orden" dataDxfId="5"/>
    <tableColumn id="3" xr3:uid="{BC839402-CCD8-437B-9707-86AECDF596E4}" name="hora_orden" dataDxfId="4"/>
    <tableColumn id="4" xr3:uid="{A81687F1-FB5C-4566-9427-EB2674F2F60B}" name="sede"/>
    <tableColumn id="5" xr3:uid="{B4AC4F7C-045B-468C-802C-7C3C4AF7807D}" name="tipo_servicio"/>
    <tableColumn id="6" xr3:uid="{A459AD7D-7E2C-43F8-900A-E8BDCB3C9FB5}" name="categoria_menu"/>
    <tableColumn id="7" xr3:uid="{ABA2ED90-2A6E-4053-BC74-F19627F1CCE4}" name="items"/>
    <tableColumn id="8" xr3:uid="{E65EC068-7E4C-4E7F-9C56-615D32E7C30F}" name="valor_bruto"/>
    <tableColumn id="9" xr3:uid="{48407DB0-7846-41E5-BE03-78EF1824B92E}" name="descuento_cupon"/>
    <tableColumn id="10" xr3:uid="{31A415DE-CDB7-4024-9CC3-5C63FAA7BE0E}" name="tiempo_preparacion_min"/>
    <tableColumn id="11" xr3:uid="{515986DA-05DB-4AC6-82FE-CD62C1F20097}" name="tiempo_entrega_min"/>
    <tableColumn id="12" xr3:uid="{71B11EA9-7BA6-4FAE-866F-1BD16159D389}" name="medio_pago"/>
    <tableColumn id="13" xr3:uid="{0F3B7A12-E0C7-4B83-9BC7-16480E25A12B}" name="estado"/>
    <tableColumn id="14" xr3:uid="{850CFCEA-F156-4BD7-B1B1-61A7E52A5E97}" name="calificac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E222C4-1682-4964-9511-9166E3342B91}" name="Tabla3" displayName="Tabla3" ref="V2:W4" totalsRowShown="0">
  <autoFilter ref="V2:W4" xr:uid="{FCE222C4-1682-4964-9511-9166E3342B91}"/>
  <tableColumns count="2">
    <tableColumn id="1" xr3:uid="{D8D72838-42A9-4339-A597-2AE78095C731}" name="TOTAL ESP. BLANCO"/>
    <tableColumn id="2" xr3:uid="{AFDB129C-A957-48AD-AFF9-F572A2CD9A03}" name="TOTAL REGISTRO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E5256E-8096-481D-A0C8-5AE1848C277E}" name="Tabla2" displayName="Tabla2" ref="R1:S5" totalsRowShown="0" headerRowDxfId="3">
  <autoFilter ref="R1:S5" xr:uid="{E0E5256E-8096-481D-A0C8-5AE1848C277E}"/>
  <tableColumns count="2">
    <tableColumn id="1" xr3:uid="{1D53E281-8342-42FA-A50D-392DD6A14FA0}" name="TIPO" dataDxfId="2"/>
    <tableColumn id="2" xr3:uid="{18AEB571-1150-4445-A1E7-9F7F693F06C7}" name="DATOS TOTAL"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0DBDF-4F5A-40D3-B352-56E8DB47DEE8}">
  <dimension ref="A1:AO1182"/>
  <sheetViews>
    <sheetView zoomScaleNormal="100" workbookViewId="0">
      <selection activeCell="A2" sqref="A2"/>
    </sheetView>
  </sheetViews>
  <sheetFormatPr defaultColWidth="11.5546875" defaultRowHeight="14.4" x14ac:dyDescent="0.3"/>
  <cols>
    <col min="2" max="2" width="13.5546875" customWidth="1"/>
    <col min="3" max="3" width="12.77734375" customWidth="1"/>
    <col min="5" max="5" width="13.5546875" customWidth="1"/>
    <col min="6" max="6" width="16.5546875" customWidth="1"/>
    <col min="7" max="7" width="7.109375" customWidth="1"/>
    <col min="8" max="8" width="17.6640625" customWidth="1"/>
    <col min="9" max="9" width="16.5546875" customWidth="1"/>
    <col min="10" max="10" width="9.5546875" customWidth="1"/>
    <col min="11" max="11" width="8" customWidth="1"/>
    <col min="12" max="12" width="13.44140625" customWidth="1"/>
    <col min="14" max="14" width="12.21875" customWidth="1"/>
    <col min="15" max="16" width="13.6640625" customWidth="1"/>
    <col min="18" max="18" width="16.5546875" customWidth="1"/>
    <col min="19" max="19" width="14.5546875" customWidth="1"/>
    <col min="20" max="20" width="20.21875" customWidth="1"/>
    <col min="21" max="21" width="18.109375" customWidth="1"/>
    <col min="22" max="22" width="20.33203125" bestFit="1" customWidth="1"/>
    <col min="23" max="23" width="12.77734375" bestFit="1" customWidth="1"/>
    <col min="25" max="25" width="19.33203125" bestFit="1" customWidth="1"/>
    <col min="26" max="26" width="16.33203125" customWidth="1"/>
  </cols>
  <sheetData>
    <row r="1" spans="1:41" ht="43.2" x14ac:dyDescent="0.3">
      <c r="A1" s="3" t="s">
        <v>0</v>
      </c>
      <c r="B1" s="3" t="s">
        <v>1</v>
      </c>
      <c r="C1" s="3" t="s">
        <v>2</v>
      </c>
      <c r="D1" s="3" t="s">
        <v>3</v>
      </c>
      <c r="E1" s="3" t="s">
        <v>4</v>
      </c>
      <c r="F1" s="3" t="s">
        <v>5</v>
      </c>
      <c r="G1" s="3" t="s">
        <v>6</v>
      </c>
      <c r="H1" s="3" t="s">
        <v>7</v>
      </c>
      <c r="I1" s="3" t="s">
        <v>8</v>
      </c>
      <c r="J1" s="3" t="s">
        <v>9</v>
      </c>
      <c r="K1" s="3" t="s">
        <v>10</v>
      </c>
      <c r="L1" s="3" t="s">
        <v>11</v>
      </c>
      <c r="M1" s="3" t="s">
        <v>12</v>
      </c>
      <c r="N1" s="3" t="s">
        <v>13</v>
      </c>
      <c r="P1" s="11" t="s">
        <v>1265</v>
      </c>
      <c r="Q1" s="11" t="s">
        <v>1266</v>
      </c>
      <c r="R1" s="11" t="s">
        <v>1232</v>
      </c>
      <c r="S1" s="11" t="s">
        <v>1231</v>
      </c>
    </row>
    <row r="2" spans="1:41" x14ac:dyDescent="0.3">
      <c r="A2" t="s">
        <v>14</v>
      </c>
      <c r="B2" s="8">
        <v>45689</v>
      </c>
      <c r="C2" s="2">
        <v>0.41666666666666669</v>
      </c>
      <c r="D2" t="s">
        <v>15</v>
      </c>
      <c r="E2" t="s">
        <v>16</v>
      </c>
      <c r="F2" t="s">
        <v>17</v>
      </c>
      <c r="G2">
        <v>4</v>
      </c>
      <c r="H2" s="6">
        <v>35015.65</v>
      </c>
      <c r="I2" s="6">
        <v>2390.69</v>
      </c>
      <c r="J2">
        <v>19</v>
      </c>
      <c r="K2">
        <v>49</v>
      </c>
      <c r="L2" t="s">
        <v>18</v>
      </c>
      <c r="M2" t="s">
        <v>19</v>
      </c>
      <c r="N2">
        <v>5</v>
      </c>
      <c r="O2" s="4"/>
      <c r="P2" s="4" t="str">
        <f>IF(Data_Set_2[[#This Row],[valor_bruto]]&gt;$W$13,"OUTLIER+","")</f>
        <v/>
      </c>
      <c r="Q2" s="4" t="str">
        <f>IF(Data_Set_2[[#This Row],[valor_bruto]]&lt;$W$14,"OUTLIER-","")</f>
        <v/>
      </c>
      <c r="R2" s="12" t="s">
        <v>1233</v>
      </c>
      <c r="S2" s="4">
        <f>COUNTIF(Q2:Q1181,"OUTLIER-")</f>
        <v>3</v>
      </c>
      <c r="T2"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456890,416666666666667LaurelesMesaComida rapida435015,652390,691949TarjetaEntregada5</v>
      </c>
      <c r="U2" t="e">
        <f>EXACT(T2,#REF!)</f>
        <v>#REF!</v>
      </c>
      <c r="V2" t="s">
        <v>1221</v>
      </c>
      <c r="W2" t="s">
        <v>1222</v>
      </c>
      <c r="AB2" t="str" cm="1">
        <f t="array" ref="AB2:AO1181">_xlfn.UNIQUE(Data_Set_2[],0,1)</f>
        <v>RES-100000</v>
      </c>
      <c r="AC2">
        <v>45689</v>
      </c>
      <c r="AD2">
        <v>0.41666666666666669</v>
      </c>
      <c r="AE2" t="str">
        <v>Laureles</v>
      </c>
      <c r="AF2" t="str">
        <v>Mesa</v>
      </c>
      <c r="AG2" t="str">
        <v>Comida rapida</v>
      </c>
      <c r="AH2">
        <v>4</v>
      </c>
      <c r="AI2">
        <v>35015.65</v>
      </c>
      <c r="AJ2">
        <v>2390.69</v>
      </c>
      <c r="AK2">
        <v>19</v>
      </c>
      <c r="AL2">
        <v>49</v>
      </c>
      <c r="AM2" t="str">
        <v>Tarjeta</v>
      </c>
      <c r="AN2" t="str">
        <v>Entregada</v>
      </c>
      <c r="AO2">
        <v>5</v>
      </c>
    </row>
    <row r="3" spans="1:41" x14ac:dyDescent="0.3">
      <c r="A3" t="s">
        <v>20</v>
      </c>
      <c r="B3" s="8">
        <v>45690</v>
      </c>
      <c r="C3" s="2">
        <v>0.46319444444444446</v>
      </c>
      <c r="D3" t="s">
        <v>21</v>
      </c>
      <c r="E3" t="s">
        <v>22</v>
      </c>
      <c r="F3" t="s">
        <v>23</v>
      </c>
      <c r="G3">
        <v>4</v>
      </c>
      <c r="H3" s="6">
        <v>58285.75</v>
      </c>
      <c r="I3" s="6">
        <v>2913.21</v>
      </c>
      <c r="J3">
        <v>14</v>
      </c>
      <c r="K3">
        <v>51</v>
      </c>
      <c r="L3" t="s">
        <v>24</v>
      </c>
      <c r="M3" t="s">
        <v>25</v>
      </c>
      <c r="N3">
        <v>3</v>
      </c>
      <c r="O3" s="4"/>
      <c r="P3" s="4" t="str">
        <f>IF(Data_Set_2[[#This Row],[valor_bruto]]&gt;$W$13,"OUTLIER+","")</f>
        <v/>
      </c>
      <c r="Q3" s="4" t="str">
        <f>IF(Data_Set_2[[#This Row],[valor_bruto]]&lt;$W$14,"OUTLIER-","")</f>
        <v/>
      </c>
      <c r="R3" s="12" t="s">
        <v>1234</v>
      </c>
      <c r="S3" s="4">
        <f>COUNTIF(P2:Q1181,"")</f>
        <v>2357</v>
      </c>
      <c r="T3"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456900,463194444444444PobladoDomicilioPasta458285,752913,211451EfectivoCancelada3</v>
      </c>
      <c r="U3" t="e">
        <f>EXACT(T3,#REF!)</f>
        <v>#REF!</v>
      </c>
      <c r="V3">
        <v>54</v>
      </c>
      <c r="W3">
        <v>16746</v>
      </c>
      <c r="AB3" t="str">
        <v>RES-100001</v>
      </c>
      <c r="AC3">
        <v>45690</v>
      </c>
      <c r="AD3">
        <v>0.46319444444444446</v>
      </c>
      <c r="AE3" t="str">
        <v>Poblado</v>
      </c>
      <c r="AF3" t="str">
        <v>Domicilio</v>
      </c>
      <c r="AG3" t="str">
        <v>Pasta</v>
      </c>
      <c r="AH3">
        <v>4</v>
      </c>
      <c r="AI3">
        <v>58285.75</v>
      </c>
      <c r="AJ3">
        <v>2913.21</v>
      </c>
      <c r="AK3">
        <v>14</v>
      </c>
      <c r="AL3">
        <v>51</v>
      </c>
      <c r="AM3" t="str">
        <v>Efectivo</v>
      </c>
      <c r="AN3" t="str">
        <v>Cancelada</v>
      </c>
      <c r="AO3">
        <v>3</v>
      </c>
    </row>
    <row r="4" spans="1:41" x14ac:dyDescent="0.3">
      <c r="A4" t="s">
        <v>26</v>
      </c>
      <c r="B4" s="8">
        <v>45718</v>
      </c>
      <c r="C4" s="2">
        <v>0.50972222222222219</v>
      </c>
      <c r="D4" t="s">
        <v>27</v>
      </c>
      <c r="E4" t="s">
        <v>28</v>
      </c>
      <c r="F4" t="s">
        <v>29</v>
      </c>
      <c r="G4">
        <v>2</v>
      </c>
      <c r="H4" s="6">
        <v>65402.45</v>
      </c>
      <c r="I4" s="6">
        <v>5233.8999999999996</v>
      </c>
      <c r="J4">
        <v>24</v>
      </c>
      <c r="K4">
        <v>44</v>
      </c>
      <c r="L4" t="s">
        <v>30</v>
      </c>
      <c r="M4" t="s">
        <v>31</v>
      </c>
      <c r="N4">
        <v>5</v>
      </c>
      <c r="O4" s="4"/>
      <c r="P4" s="4" t="str">
        <f>IF(Data_Set_2[[#This Row],[valor_bruto]]&gt;$W$13,"OUTLIER+","")</f>
        <v/>
      </c>
      <c r="Q4" s="4" t="str">
        <f>IF(Data_Set_2[[#This Row],[valor_bruto]]&lt;$W$14,"OUTLIER-","")</f>
        <v/>
      </c>
      <c r="R4" s="12" t="s">
        <v>1235</v>
      </c>
      <c r="S4" s="4">
        <f>COUNTIF(P2:P1181,"OUTLIER+")</f>
        <v>0</v>
      </c>
      <c r="T4"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457180,509722222222222CentroRecogeParrilla265402,455233,92444AppReembolsada5</v>
      </c>
      <c r="U4" t="e">
        <f>EXACT(T4,#REF!)</f>
        <v>#REF!</v>
      </c>
      <c r="V4" t="s">
        <v>1223</v>
      </c>
      <c r="W4" s="7">
        <v>3.2246506628448583E-3</v>
      </c>
      <c r="AB4" t="str">
        <v>RES-100002</v>
      </c>
      <c r="AC4">
        <v>45718</v>
      </c>
      <c r="AD4">
        <v>0.50972222222222219</v>
      </c>
      <c r="AE4" t="str">
        <v>Centro</v>
      </c>
      <c r="AF4" t="str">
        <v>Recoge</v>
      </c>
      <c r="AG4" t="str">
        <v>Parrilla</v>
      </c>
      <c r="AH4">
        <v>2</v>
      </c>
      <c r="AI4">
        <v>65402.45</v>
      </c>
      <c r="AJ4">
        <v>5233.8999999999996</v>
      </c>
      <c r="AK4">
        <v>24</v>
      </c>
      <c r="AL4">
        <v>44</v>
      </c>
      <c r="AM4" t="str">
        <v>App</v>
      </c>
      <c r="AN4" t="str">
        <v>Reembolsada</v>
      </c>
      <c r="AO4">
        <v>5</v>
      </c>
    </row>
    <row r="5" spans="1:41" x14ac:dyDescent="0.3">
      <c r="A5" t="s">
        <v>32</v>
      </c>
      <c r="B5" s="8">
        <v>45692</v>
      </c>
      <c r="C5" s="2">
        <v>0.55625000000000002</v>
      </c>
      <c r="D5" t="s">
        <v>33</v>
      </c>
      <c r="E5" t="s">
        <v>16</v>
      </c>
      <c r="F5" t="s">
        <v>34</v>
      </c>
      <c r="G5">
        <v>2</v>
      </c>
      <c r="H5" s="6">
        <v>54936.24</v>
      </c>
      <c r="I5" s="6">
        <v>2319.9499999999998</v>
      </c>
      <c r="J5">
        <v>24</v>
      </c>
      <c r="K5">
        <v>26</v>
      </c>
      <c r="L5" t="s">
        <v>18</v>
      </c>
      <c r="M5" t="s">
        <v>19</v>
      </c>
      <c r="N5">
        <v>5</v>
      </c>
      <c r="O5" s="4"/>
      <c r="P5" s="4" t="str">
        <f>IF(Data_Set_2[[#This Row],[valor_bruto]]&gt;$W$13,"OUTLIER+","")</f>
        <v/>
      </c>
      <c r="Q5" s="4" t="str">
        <f>IF(Data_Set_2[[#This Row],[valor_bruto]]&lt;$W$14,"OUTLIER-","")</f>
        <v/>
      </c>
      <c r="R5" s="12" t="s">
        <v>1236</v>
      </c>
      <c r="S5" s="4">
        <f>COUNT(Data_Set_2[calificacion])</f>
        <v>1180</v>
      </c>
      <c r="T5"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456920,55625EnvigadoMesaVegano254936,242319,952426TarjetaEntregada5</v>
      </c>
      <c r="U5" t="e">
        <f>EXACT(T5,#REF!)</f>
        <v>#REF!</v>
      </c>
      <c r="AB5" t="str">
        <v>RES-100003</v>
      </c>
      <c r="AC5">
        <v>45692</v>
      </c>
      <c r="AD5">
        <v>0.55625000000000002</v>
      </c>
      <c r="AE5" t="str">
        <v>Envigado</v>
      </c>
      <c r="AF5" t="str">
        <v>Mesa</v>
      </c>
      <c r="AG5" t="str">
        <v>Vegano</v>
      </c>
      <c r="AH5">
        <v>2</v>
      </c>
      <c r="AI5">
        <v>54936.24</v>
      </c>
      <c r="AJ5">
        <v>2319.9499999999998</v>
      </c>
      <c r="AK5">
        <v>24</v>
      </c>
      <c r="AL5">
        <v>26</v>
      </c>
      <c r="AM5" t="str">
        <v>Tarjeta</v>
      </c>
      <c r="AN5" t="str">
        <v>Entregada</v>
      </c>
      <c r="AO5">
        <v>5</v>
      </c>
    </row>
    <row r="6" spans="1:41" x14ac:dyDescent="0.3">
      <c r="A6" t="s">
        <v>35</v>
      </c>
      <c r="B6" s="8">
        <v>45693</v>
      </c>
      <c r="C6" s="2">
        <v>0.60277777777777775</v>
      </c>
      <c r="D6" t="s">
        <v>15</v>
      </c>
      <c r="E6" t="s">
        <v>22</v>
      </c>
      <c r="F6" t="s">
        <v>36</v>
      </c>
      <c r="G6">
        <v>4</v>
      </c>
      <c r="H6" s="6">
        <v>43421.04</v>
      </c>
      <c r="I6" s="6">
        <v>5699.85</v>
      </c>
      <c r="J6">
        <v>25</v>
      </c>
      <c r="K6">
        <v>49</v>
      </c>
      <c r="L6" t="s">
        <v>24</v>
      </c>
      <c r="M6" t="s">
        <v>25</v>
      </c>
      <c r="N6">
        <v>3</v>
      </c>
      <c r="O6" s="4"/>
      <c r="P6" s="4" t="str">
        <f>IF(Data_Set_2[[#This Row],[valor_bruto]]&gt;$W$13,"OUTLIER+","")</f>
        <v/>
      </c>
      <c r="Q6" s="4" t="str">
        <f>IF(Data_Set_2[[#This Row],[valor_bruto]]&lt;$W$14,"OUTLIER-","")</f>
        <v/>
      </c>
      <c r="R6" s="12"/>
      <c r="S6" s="4"/>
      <c r="T6"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456930,602777777777778LaurelesDomicilioBebidas443421,045699,852549EfectivoCancelada3</v>
      </c>
      <c r="U6" t="e">
        <f>EXACT(T6,#REF!)</f>
        <v>#REF!</v>
      </c>
      <c r="V6" t="s">
        <v>1268</v>
      </c>
      <c r="Y6" t="s">
        <v>1267</v>
      </c>
      <c r="AB6" t="str">
        <v>RES-100004</v>
      </c>
      <c r="AC6">
        <v>45693</v>
      </c>
      <c r="AD6">
        <v>0.60277777777777775</v>
      </c>
      <c r="AE6" t="str">
        <v>Laureles</v>
      </c>
      <c r="AF6" t="str">
        <v>Domicilio</v>
      </c>
      <c r="AG6" t="str">
        <v>Bebidas</v>
      </c>
      <c r="AH6">
        <v>4</v>
      </c>
      <c r="AI6">
        <v>43421.04</v>
      </c>
      <c r="AJ6">
        <v>5699.85</v>
      </c>
      <c r="AK6">
        <v>25</v>
      </c>
      <c r="AL6">
        <v>49</v>
      </c>
      <c r="AM6" t="str">
        <v>Efectivo</v>
      </c>
      <c r="AN6" t="str">
        <v>Cancelada</v>
      </c>
      <c r="AO6">
        <v>3</v>
      </c>
    </row>
    <row r="7" spans="1:41" x14ac:dyDescent="0.3">
      <c r="A7" t="s">
        <v>37</v>
      </c>
      <c r="B7" s="8">
        <v>45810</v>
      </c>
      <c r="C7" s="2">
        <v>0.64930555555555558</v>
      </c>
      <c r="D7" t="s">
        <v>21</v>
      </c>
      <c r="E7" t="s">
        <v>28</v>
      </c>
      <c r="F7" t="s">
        <v>17</v>
      </c>
      <c r="G7">
        <v>6</v>
      </c>
      <c r="H7" s="6">
        <v>39092.199999999997</v>
      </c>
      <c r="I7" s="6">
        <v>7563.39</v>
      </c>
      <c r="J7">
        <v>15</v>
      </c>
      <c r="K7">
        <v>29</v>
      </c>
      <c r="L7" t="s">
        <v>30</v>
      </c>
      <c r="M7" t="s">
        <v>31</v>
      </c>
      <c r="N7">
        <v>4</v>
      </c>
      <c r="O7" s="4"/>
      <c r="P7" s="4" t="str">
        <f>IF(Data_Set_2[[#This Row],[valor_bruto]]&gt;$W$13,"OUTLIER+","")</f>
        <v/>
      </c>
      <c r="Q7" s="4" t="str">
        <f>IF(Data_Set_2[[#This Row],[valor_bruto]]&lt;$W$14,"OUTLIER-","")</f>
        <v/>
      </c>
      <c r="R7" s="13" t="s">
        <v>1239</v>
      </c>
      <c r="S7" s="14" t="s">
        <v>1240</v>
      </c>
      <c r="T7"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458100,649305555555556PobladoRecogeComida rapida639092,27563,391529AppReembolsada4</v>
      </c>
      <c r="U7" t="e">
        <f>EXACT(T7,#REF!)</f>
        <v>#REF!</v>
      </c>
      <c r="V7" s="11" t="s">
        <v>1227</v>
      </c>
      <c r="W7" s="6">
        <f>AVERAGE(Data_Set_2[valor_bruto])</f>
        <v>48270.765930393522</v>
      </c>
      <c r="Y7" s="11" t="s">
        <v>1227</v>
      </c>
      <c r="Z7" s="6">
        <v>49266.726966101662</v>
      </c>
      <c r="AB7" t="str">
        <v>RES-100005</v>
      </c>
      <c r="AC7">
        <v>45810</v>
      </c>
      <c r="AD7">
        <v>0.64930555555555558</v>
      </c>
      <c r="AE7" t="str">
        <v>Poblado</v>
      </c>
      <c r="AF7" t="str">
        <v>Recoge</v>
      </c>
      <c r="AG7" t="str">
        <v>Comida rapida</v>
      </c>
      <c r="AH7">
        <v>6</v>
      </c>
      <c r="AI7">
        <v>39092.199999999997</v>
      </c>
      <c r="AJ7">
        <v>7563.39</v>
      </c>
      <c r="AK7">
        <v>15</v>
      </c>
      <c r="AL7">
        <v>29</v>
      </c>
      <c r="AM7" t="str">
        <v>App</v>
      </c>
      <c r="AN7" t="str">
        <v>Reembolsada</v>
      </c>
      <c r="AO7">
        <v>4</v>
      </c>
    </row>
    <row r="8" spans="1:41" x14ac:dyDescent="0.3">
      <c r="A8" t="s">
        <v>38</v>
      </c>
      <c r="B8" s="8">
        <v>45695</v>
      </c>
      <c r="C8" s="2">
        <v>0.6958333333333333</v>
      </c>
      <c r="D8" t="s">
        <v>27</v>
      </c>
      <c r="E8" t="s">
        <v>16</v>
      </c>
      <c r="F8" t="s">
        <v>23</v>
      </c>
      <c r="G8">
        <v>4</v>
      </c>
      <c r="H8" s="6">
        <v>51180.2</v>
      </c>
      <c r="I8" s="6">
        <v>2556.65</v>
      </c>
      <c r="J8">
        <v>23</v>
      </c>
      <c r="K8">
        <v>32</v>
      </c>
      <c r="L8" t="s">
        <v>18</v>
      </c>
      <c r="M8" t="s">
        <v>19</v>
      </c>
      <c r="N8">
        <v>5</v>
      </c>
      <c r="O8" s="4"/>
      <c r="P8" s="4" t="str">
        <f>IF(Data_Set_2[[#This Row],[valor_bruto]]&gt;$W$13,"OUTLIER+","")</f>
        <v/>
      </c>
      <c r="Q8" s="4" t="str">
        <f>IF(Data_Set_2[[#This Row],[valor_bruto]]&lt;$W$14,"OUTLIER-","")</f>
        <v/>
      </c>
      <c r="R8" s="15" t="s">
        <v>1237</v>
      </c>
      <c r="S8" s="16">
        <f>S2+S4</f>
        <v>3</v>
      </c>
      <c r="T8"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456950,695833333333333CentroMesaPasta451180,22556,652332TarjetaEntregada5</v>
      </c>
      <c r="U8" t="e">
        <f>EXACT(T8,#REF!)</f>
        <v>#REF!</v>
      </c>
      <c r="V8" s="11" t="s">
        <v>1224</v>
      </c>
      <c r="W8" s="6">
        <f>_xlfn.STDEV.S(Data_Set_2[valor_bruto])</f>
        <v>12970.047376823373</v>
      </c>
      <c r="Y8" s="11" t="s">
        <v>1224</v>
      </c>
      <c r="Z8" s="6">
        <v>22066.990696183253</v>
      </c>
      <c r="AB8" t="str">
        <v>RES-100006</v>
      </c>
      <c r="AC8">
        <v>45695</v>
      </c>
      <c r="AD8">
        <v>0.6958333333333333</v>
      </c>
      <c r="AE8" t="str">
        <v>Centro</v>
      </c>
      <c r="AF8" t="str">
        <v>Mesa</v>
      </c>
      <c r="AG8" t="str">
        <v>Pasta</v>
      </c>
      <c r="AH8">
        <v>4</v>
      </c>
      <c r="AI8">
        <v>51180.2</v>
      </c>
      <c r="AJ8">
        <v>2556.65</v>
      </c>
      <c r="AK8">
        <v>23</v>
      </c>
      <c r="AL8">
        <v>32</v>
      </c>
      <c r="AM8" t="str">
        <v>Tarjeta</v>
      </c>
      <c r="AN8" t="str">
        <v>Entregada</v>
      </c>
      <c r="AO8">
        <v>5</v>
      </c>
    </row>
    <row r="9" spans="1:41" x14ac:dyDescent="0.3">
      <c r="A9" t="s">
        <v>39</v>
      </c>
      <c r="B9" s="8">
        <v>45696</v>
      </c>
      <c r="C9" s="2">
        <v>0.74236111111111114</v>
      </c>
      <c r="D9" t="s">
        <v>33</v>
      </c>
      <c r="E9" t="s">
        <v>22</v>
      </c>
      <c r="F9" t="s">
        <v>29</v>
      </c>
      <c r="G9">
        <v>2</v>
      </c>
      <c r="H9" s="6">
        <v>36889.83</v>
      </c>
      <c r="I9" s="6">
        <v>1317.26</v>
      </c>
      <c r="J9">
        <v>31</v>
      </c>
      <c r="K9">
        <v>32</v>
      </c>
      <c r="L9" t="s">
        <v>24</v>
      </c>
      <c r="M9" t="s">
        <v>25</v>
      </c>
      <c r="N9">
        <v>5</v>
      </c>
      <c r="O9" s="4"/>
      <c r="P9" s="4" t="str">
        <f>IF(Data_Set_2[[#This Row],[valor_bruto]]&gt;$W$13,"OUTLIER+","")</f>
        <v/>
      </c>
      <c r="Q9" s="4" t="str">
        <f>IF(Data_Set_2[[#This Row],[valor_bruto]]&lt;$W$14,"OUTLIER-","")</f>
        <v/>
      </c>
      <c r="R9" s="17" t="s">
        <v>1238</v>
      </c>
      <c r="S9" s="22">
        <f>S8/S5</f>
        <v>2.542372881355932E-3</v>
      </c>
      <c r="T9"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456960,742361111111111EnvigadoDomicilioParrilla236889,831317,263132EfectivoCancelada5</v>
      </c>
      <c r="U9" t="e">
        <f>EXACT(T9,#REF!)</f>
        <v>#REF!</v>
      </c>
      <c r="V9" s="11" t="s">
        <v>1225</v>
      </c>
      <c r="W9" s="6">
        <f>MAX(Data_Set_2[valor_bruto])</f>
        <v>69998.77</v>
      </c>
      <c r="Y9" s="11" t="s">
        <v>1225</v>
      </c>
      <c r="Z9" s="6">
        <v>456058.93</v>
      </c>
      <c r="AB9" t="str">
        <v>RES-100007</v>
      </c>
      <c r="AC9">
        <v>45696</v>
      </c>
      <c r="AD9">
        <v>0.74236111111111114</v>
      </c>
      <c r="AE9" t="str">
        <v>Envigado</v>
      </c>
      <c r="AF9" t="str">
        <v>Domicilio</v>
      </c>
      <c r="AG9" t="str">
        <v>Parrilla</v>
      </c>
      <c r="AH9">
        <v>2</v>
      </c>
      <c r="AI9">
        <v>36889.83</v>
      </c>
      <c r="AJ9">
        <v>1317.26</v>
      </c>
      <c r="AK9">
        <v>31</v>
      </c>
      <c r="AL9">
        <v>32</v>
      </c>
      <c r="AM9" t="str">
        <v>Efectivo</v>
      </c>
      <c r="AN9" t="str">
        <v>Cancelada</v>
      </c>
      <c r="AO9">
        <v>5</v>
      </c>
    </row>
    <row r="10" spans="1:41" x14ac:dyDescent="0.3">
      <c r="A10" t="s">
        <v>40</v>
      </c>
      <c r="B10" s="8">
        <v>45902</v>
      </c>
      <c r="C10" s="2">
        <v>0.78888888888888886</v>
      </c>
      <c r="D10" t="s">
        <v>15</v>
      </c>
      <c r="E10" t="s">
        <v>28</v>
      </c>
      <c r="F10" t="s">
        <v>34</v>
      </c>
      <c r="G10">
        <v>5</v>
      </c>
      <c r="H10" s="6">
        <v>51316.9</v>
      </c>
      <c r="I10" s="6">
        <v>4102.1000000000004</v>
      </c>
      <c r="J10">
        <v>28</v>
      </c>
      <c r="K10">
        <v>51</v>
      </c>
      <c r="L10" t="s">
        <v>30</v>
      </c>
      <c r="M10" t="s">
        <v>31</v>
      </c>
      <c r="N10">
        <v>3</v>
      </c>
      <c r="O10" s="4"/>
      <c r="P10" s="4" t="str">
        <f>IF(Data_Set_2[[#This Row],[valor_bruto]]&gt;$W$13,"OUTLIER+","")</f>
        <v/>
      </c>
      <c r="Q10" s="4" t="str">
        <f>IF(Data_Set_2[[#This Row],[valor_bruto]]&lt;$W$14,"OUTLIER-","")</f>
        <v/>
      </c>
      <c r="R10" s="4"/>
      <c r="S10" s="4"/>
      <c r="T10"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459020,788888888888889LaurelesRecogeVegano551316,94102,12851AppReembolsada3</v>
      </c>
      <c r="U10" t="e">
        <f>EXACT(T10,#REF!)</f>
        <v>#REF!</v>
      </c>
      <c r="V10" s="11" t="s">
        <v>1226</v>
      </c>
      <c r="W10" s="6">
        <f>MIN(Data_Set_2[valor_bruto])</f>
        <v>5356.85</v>
      </c>
      <c r="Y10" s="11" t="s">
        <v>1226</v>
      </c>
      <c r="Z10" s="6">
        <v>5356.85</v>
      </c>
      <c r="AB10" t="str">
        <v>RES-100008</v>
      </c>
      <c r="AC10">
        <v>45902</v>
      </c>
      <c r="AD10">
        <v>0.78888888888888886</v>
      </c>
      <c r="AE10" t="str">
        <v>Laureles</v>
      </c>
      <c r="AF10" t="str">
        <v>Recoge</v>
      </c>
      <c r="AG10" t="str">
        <v>Vegano</v>
      </c>
      <c r="AH10">
        <v>5</v>
      </c>
      <c r="AI10">
        <v>51316.9</v>
      </c>
      <c r="AJ10">
        <v>4102.1000000000004</v>
      </c>
      <c r="AK10">
        <v>28</v>
      </c>
      <c r="AL10">
        <v>51</v>
      </c>
      <c r="AM10" t="str">
        <v>App</v>
      </c>
      <c r="AN10" t="str">
        <v>Reembolsada</v>
      </c>
      <c r="AO10">
        <v>3</v>
      </c>
    </row>
    <row r="11" spans="1:41" x14ac:dyDescent="0.3">
      <c r="A11" t="s">
        <v>41</v>
      </c>
      <c r="B11" s="8">
        <v>45698</v>
      </c>
      <c r="C11" s="2">
        <v>0.79374999999999996</v>
      </c>
      <c r="D11" t="s">
        <v>21</v>
      </c>
      <c r="E11" t="s">
        <v>16</v>
      </c>
      <c r="F11" t="s">
        <v>36</v>
      </c>
      <c r="G11">
        <v>3</v>
      </c>
      <c r="H11" s="6">
        <v>50797.440000000002</v>
      </c>
      <c r="I11" s="6">
        <v>1257.25</v>
      </c>
      <c r="J11">
        <v>18</v>
      </c>
      <c r="K11">
        <v>49</v>
      </c>
      <c r="L11" t="s">
        <v>18</v>
      </c>
      <c r="M11" t="s">
        <v>19</v>
      </c>
      <c r="N11">
        <v>3</v>
      </c>
      <c r="O11" s="4"/>
      <c r="P11" s="4" t="str">
        <f>IF(Data_Set_2[[#This Row],[valor_bruto]]&gt;$W$13,"OUTLIER+","")</f>
        <v/>
      </c>
      <c r="Q11" s="4" t="str">
        <f>IF(Data_Set_2[[#This Row],[valor_bruto]]&lt;$W$14,"OUTLIER-","")</f>
        <v/>
      </c>
      <c r="R11" s="4"/>
      <c r="S11" s="4"/>
      <c r="T11"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456980,79375PobladoMesaBebidas350797,441257,251849TarjetaEntregada3</v>
      </c>
      <c r="U11" t="e">
        <f>EXACT(T11,#REF!)</f>
        <v>#REF!</v>
      </c>
      <c r="V11" s="11" t="s">
        <v>1228</v>
      </c>
      <c r="W11" s="9">
        <f>W8/W7</f>
        <v>0.26869363116231032</v>
      </c>
      <c r="Y11" s="11" t="s">
        <v>1228</v>
      </c>
      <c r="Z11" s="9">
        <v>0.44790859988256598</v>
      </c>
      <c r="AB11" t="str">
        <v>RES-100009</v>
      </c>
      <c r="AC11">
        <v>45698</v>
      </c>
      <c r="AD11">
        <v>0.79374999999999996</v>
      </c>
      <c r="AE11" t="str">
        <v>Poblado</v>
      </c>
      <c r="AF11" t="str">
        <v>Mesa</v>
      </c>
      <c r="AG11" t="str">
        <v>Bebidas</v>
      </c>
      <c r="AH11">
        <v>3</v>
      </c>
      <c r="AI11">
        <v>50797.440000000002</v>
      </c>
      <c r="AJ11">
        <v>1257.25</v>
      </c>
      <c r="AK11">
        <v>18</v>
      </c>
      <c r="AL11">
        <v>49</v>
      </c>
      <c r="AM11" t="str">
        <v>Tarjeta</v>
      </c>
      <c r="AN11" t="str">
        <v>Entregada</v>
      </c>
      <c r="AO11">
        <v>3</v>
      </c>
    </row>
    <row r="12" spans="1:41" x14ac:dyDescent="0.3">
      <c r="A12" t="s">
        <v>42</v>
      </c>
      <c r="B12" s="8">
        <v>45699</v>
      </c>
      <c r="C12" s="2">
        <v>0.84027777777777779</v>
      </c>
      <c r="D12" t="s">
        <v>27</v>
      </c>
      <c r="E12" t="s">
        <v>22</v>
      </c>
      <c r="F12" t="s">
        <v>17</v>
      </c>
      <c r="G12">
        <v>4</v>
      </c>
      <c r="H12" s="6">
        <v>29941.33</v>
      </c>
      <c r="I12" s="6">
        <v>8371.39</v>
      </c>
      <c r="J12">
        <v>31</v>
      </c>
      <c r="K12">
        <v>51</v>
      </c>
      <c r="L12" t="s">
        <v>24</v>
      </c>
      <c r="M12" t="s">
        <v>25</v>
      </c>
      <c r="N12">
        <v>4</v>
      </c>
      <c r="O12" s="4"/>
      <c r="P12" s="4" t="str">
        <f>IF(Data_Set_2[[#This Row],[valor_bruto]]&gt;$W$13,"OUTLIER+","")</f>
        <v/>
      </c>
      <c r="Q12" s="4" t="str">
        <f>IF(Data_Set_2[[#This Row],[valor_bruto]]&lt;$W$14,"OUTLIER-","")</f>
        <v/>
      </c>
      <c r="R12" s="4"/>
      <c r="S12" s="4"/>
      <c r="T12"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456990,840277777777778CentroDomicilioComida rapida429941,338371,393151EfectivoCancelada4</v>
      </c>
      <c r="U12" t="e">
        <f>EXACT(T12,#REF!)</f>
        <v>#REF!</v>
      </c>
      <c r="AB12" t="str">
        <v>RES-100010</v>
      </c>
      <c r="AC12">
        <v>45699</v>
      </c>
      <c r="AD12">
        <v>0.84027777777777779</v>
      </c>
      <c r="AE12" t="str">
        <v>Centro</v>
      </c>
      <c r="AF12" t="str">
        <v>Domicilio</v>
      </c>
      <c r="AG12" t="str">
        <v>Comida rapida</v>
      </c>
      <c r="AH12">
        <v>4</v>
      </c>
      <c r="AI12">
        <v>29941.33</v>
      </c>
      <c r="AJ12">
        <v>8371.39</v>
      </c>
      <c r="AK12">
        <v>31</v>
      </c>
      <c r="AL12">
        <v>51</v>
      </c>
      <c r="AM12" t="str">
        <v>Efectivo</v>
      </c>
      <c r="AN12" t="str">
        <v>Cancelada</v>
      </c>
      <c r="AO12">
        <v>4</v>
      </c>
    </row>
    <row r="13" spans="1:41" x14ac:dyDescent="0.3">
      <c r="A13" t="s">
        <v>43</v>
      </c>
      <c r="B13" s="8">
        <v>45993</v>
      </c>
      <c r="C13" s="2">
        <v>0.88680555555555551</v>
      </c>
      <c r="D13" t="s">
        <v>33</v>
      </c>
      <c r="E13" t="s">
        <v>28</v>
      </c>
      <c r="F13" t="s">
        <v>23</v>
      </c>
      <c r="G13">
        <v>2</v>
      </c>
      <c r="H13" s="6">
        <v>29518.31</v>
      </c>
      <c r="I13" s="6">
        <v>8270.49</v>
      </c>
      <c r="J13">
        <v>15</v>
      </c>
      <c r="K13">
        <v>47</v>
      </c>
      <c r="L13" t="s">
        <v>30</v>
      </c>
      <c r="M13" t="s">
        <v>31</v>
      </c>
      <c r="N13">
        <v>3</v>
      </c>
      <c r="O13" s="4"/>
      <c r="P13" s="4" t="str">
        <f>IF(Data_Set_2[[#This Row],[valor_bruto]]&gt;$W$13,"OUTLIER+","")</f>
        <v/>
      </c>
      <c r="Q13" s="4" t="str">
        <f>IF(Data_Set_2[[#This Row],[valor_bruto]]&lt;$W$14,"OUTLIER-","")</f>
        <v/>
      </c>
      <c r="R13" s="4"/>
      <c r="S13" s="4"/>
      <c r="T13"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459930,886805555555556EnvigadoRecogePasta229518,318270,491547AppReembolsada3</v>
      </c>
      <c r="U13" t="e">
        <f>EXACT(T13,#REF!)</f>
        <v>#REF!</v>
      </c>
      <c r="V13" s="11" t="s">
        <v>1229</v>
      </c>
      <c r="W13" s="10">
        <f>W7+(2*W8)</f>
        <v>74210.860684040264</v>
      </c>
      <c r="Y13" s="11" t="s">
        <v>1229</v>
      </c>
      <c r="Z13" s="10">
        <v>93400.708358468168</v>
      </c>
      <c r="AB13" t="str">
        <v>RES-100011</v>
      </c>
      <c r="AC13">
        <v>45993</v>
      </c>
      <c r="AD13">
        <v>0.88680555555555551</v>
      </c>
      <c r="AE13" t="str">
        <v>Envigado</v>
      </c>
      <c r="AF13" t="str">
        <v>Recoge</v>
      </c>
      <c r="AG13" t="str">
        <v>Pasta</v>
      </c>
      <c r="AH13">
        <v>2</v>
      </c>
      <c r="AI13">
        <v>29518.31</v>
      </c>
      <c r="AJ13">
        <v>8270.49</v>
      </c>
      <c r="AK13">
        <v>15</v>
      </c>
      <c r="AL13">
        <v>47</v>
      </c>
      <c r="AM13" t="str">
        <v>App</v>
      </c>
      <c r="AN13" t="str">
        <v>Reembolsada</v>
      </c>
      <c r="AO13">
        <v>3</v>
      </c>
    </row>
    <row r="14" spans="1:41" x14ac:dyDescent="0.3">
      <c r="A14" t="s">
        <v>44</v>
      </c>
      <c r="B14" s="8">
        <v>45701</v>
      </c>
      <c r="C14" s="2">
        <v>0.43333333333333335</v>
      </c>
      <c r="D14" t="s">
        <v>15</v>
      </c>
      <c r="E14" t="s">
        <v>16</v>
      </c>
      <c r="F14" t="s">
        <v>29</v>
      </c>
      <c r="G14">
        <v>6</v>
      </c>
      <c r="H14" s="6">
        <v>57474.78</v>
      </c>
      <c r="I14" s="6">
        <v>4519.57</v>
      </c>
      <c r="J14">
        <v>13</v>
      </c>
      <c r="K14">
        <v>41</v>
      </c>
      <c r="L14" t="s">
        <v>18</v>
      </c>
      <c r="M14" t="s">
        <v>19</v>
      </c>
      <c r="N14">
        <v>4</v>
      </c>
      <c r="O14" s="4"/>
      <c r="P14" s="4" t="str">
        <f>IF(Data_Set_2[[#This Row],[valor_bruto]]&gt;$W$13,"OUTLIER+","")</f>
        <v/>
      </c>
      <c r="Q14" s="4" t="str">
        <f>IF(Data_Set_2[[#This Row],[valor_bruto]]&lt;$W$14,"OUTLIER-","")</f>
        <v/>
      </c>
      <c r="R14" s="21" t="s">
        <v>1259</v>
      </c>
      <c r="S14" s="21" t="s">
        <v>1260</v>
      </c>
      <c r="T14"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457010,433333333333333LaurelesMesaParrilla657474,784519,571341TarjetaEntregada4</v>
      </c>
      <c r="U14" t="e">
        <f>EXACT(T14,#REF!)</f>
        <v>#REF!</v>
      </c>
      <c r="V14" s="11" t="s">
        <v>1230</v>
      </c>
      <c r="W14" s="10">
        <f>W7-(2*W8)</f>
        <v>22330.671176746775</v>
      </c>
      <c r="Y14" s="11" t="s">
        <v>1230</v>
      </c>
      <c r="Z14" s="10">
        <v>5132.7455737351556</v>
      </c>
      <c r="AB14" t="str">
        <v>RES-100012</v>
      </c>
      <c r="AC14">
        <v>45701</v>
      </c>
      <c r="AD14">
        <v>0.43333333333333335</v>
      </c>
      <c r="AE14" t="str">
        <v>Laureles</v>
      </c>
      <c r="AF14" t="str">
        <v>Mesa</v>
      </c>
      <c r="AG14" t="str">
        <v>Parrilla</v>
      </c>
      <c r="AH14">
        <v>6</v>
      </c>
      <c r="AI14">
        <v>57474.78</v>
      </c>
      <c r="AJ14">
        <v>4519.57</v>
      </c>
      <c r="AK14">
        <v>13</v>
      </c>
      <c r="AL14">
        <v>41</v>
      </c>
      <c r="AM14" t="str">
        <v>Tarjeta</v>
      </c>
      <c r="AN14" t="str">
        <v>Entregada</v>
      </c>
      <c r="AO14">
        <v>4</v>
      </c>
    </row>
    <row r="15" spans="1:41" x14ac:dyDescent="0.3">
      <c r="A15" t="s">
        <v>45</v>
      </c>
      <c r="B15" s="8">
        <v>45702</v>
      </c>
      <c r="C15" s="2">
        <v>0.47986111111111113</v>
      </c>
      <c r="D15" t="s">
        <v>21</v>
      </c>
      <c r="E15" t="s">
        <v>22</v>
      </c>
      <c r="F15" t="s">
        <v>34</v>
      </c>
      <c r="G15">
        <v>5</v>
      </c>
      <c r="H15" s="6">
        <v>40351.9</v>
      </c>
      <c r="I15" s="6">
        <v>5423.65</v>
      </c>
      <c r="J15">
        <v>27</v>
      </c>
      <c r="K15">
        <v>43</v>
      </c>
      <c r="L15" t="s">
        <v>24</v>
      </c>
      <c r="M15" t="s">
        <v>25</v>
      </c>
      <c r="N15">
        <v>4</v>
      </c>
      <c r="O15" s="4"/>
      <c r="P15" s="4" t="str">
        <f>IF(Data_Set_2[[#This Row],[valor_bruto]]&gt;$W$13,"OUTLIER+","")</f>
        <v/>
      </c>
      <c r="Q15" s="4" t="str">
        <f>IF(Data_Set_2[[#This Row],[valor_bruto]]&lt;$W$14,"OUTLIER-","")</f>
        <v/>
      </c>
      <c r="R15" s="4">
        <f>QUARTILE(Data_Set_2[valor_bruto],1)</f>
        <v>37271.615000000005</v>
      </c>
      <c r="S15" s="4">
        <f>QUARTILE(Data_Set_2[valor_bruto],3)</f>
        <v>59561.352500000001</v>
      </c>
      <c r="T15"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457020,479861111111111PobladoDomicilioVegano540351,95423,652743EfectivoCancelada4</v>
      </c>
      <c r="U15" t="e">
        <f>EXACT(T15,#REF!)</f>
        <v>#REF!</v>
      </c>
      <c r="V15" s="25" t="s">
        <v>1264</v>
      </c>
      <c r="W15" s="25"/>
      <c r="Y15" s="25" t="s">
        <v>1264</v>
      </c>
      <c r="Z15" s="25"/>
      <c r="AB15" t="str">
        <v>RES-100013</v>
      </c>
      <c r="AC15">
        <v>45702</v>
      </c>
      <c r="AD15">
        <v>0.47986111111111113</v>
      </c>
      <c r="AE15" t="str">
        <v>Poblado</v>
      </c>
      <c r="AF15" t="str">
        <v>Domicilio</v>
      </c>
      <c r="AG15" t="str">
        <v>Vegano</v>
      </c>
      <c r="AH15">
        <v>5</v>
      </c>
      <c r="AI15">
        <v>40351.9</v>
      </c>
      <c r="AJ15">
        <v>5423.65</v>
      </c>
      <c r="AK15">
        <v>27</v>
      </c>
      <c r="AL15">
        <v>43</v>
      </c>
      <c r="AM15" t="str">
        <v>Efectivo</v>
      </c>
      <c r="AN15" t="str">
        <v>Cancelada</v>
      </c>
      <c r="AO15">
        <v>4</v>
      </c>
    </row>
    <row r="16" spans="1:41" x14ac:dyDescent="0.3">
      <c r="A16" t="s">
        <v>46</v>
      </c>
      <c r="B16" s="8">
        <v>45703</v>
      </c>
      <c r="C16" s="2">
        <v>0.52638888888888891</v>
      </c>
      <c r="D16" t="s">
        <v>27</v>
      </c>
      <c r="E16" t="s">
        <v>28</v>
      </c>
      <c r="F16" t="s">
        <v>36</v>
      </c>
      <c r="G16">
        <v>3</v>
      </c>
      <c r="H16" s="6">
        <v>54881.82</v>
      </c>
      <c r="I16" s="6">
        <v>2213.2600000000002</v>
      </c>
      <c r="J16">
        <v>23</v>
      </c>
      <c r="K16">
        <v>52</v>
      </c>
      <c r="L16" t="s">
        <v>30</v>
      </c>
      <c r="M16" t="s">
        <v>31</v>
      </c>
      <c r="N16">
        <v>3</v>
      </c>
      <c r="O16" s="4"/>
      <c r="P16" s="4" t="str">
        <f>IF(Data_Set_2[[#This Row],[valor_bruto]]&gt;$W$13,"OUTLIER+","")</f>
        <v/>
      </c>
      <c r="Q16" s="4" t="str">
        <f>IF(Data_Set_2[[#This Row],[valor_bruto]]&lt;$W$14,"OUTLIER-","")</f>
        <v/>
      </c>
      <c r="R16" s="4"/>
      <c r="S16" s="4"/>
      <c r="T16"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457030,526388888888889CentroRecogeBebidas354881,822213,262352AppReembolsada3</v>
      </c>
      <c r="U16" t="e">
        <f>EXACT(T16,#REF!)</f>
        <v>#REF!</v>
      </c>
      <c r="V16" s="25"/>
      <c r="W16" s="25"/>
      <c r="Y16" s="25"/>
      <c r="Z16" s="25"/>
      <c r="AB16" t="str">
        <v>RES-100014</v>
      </c>
      <c r="AC16">
        <v>45703</v>
      </c>
      <c r="AD16">
        <v>0.52638888888888891</v>
      </c>
      <c r="AE16" t="str">
        <v>Centro</v>
      </c>
      <c r="AF16" t="str">
        <v>Recoge</v>
      </c>
      <c r="AG16" t="str">
        <v>Bebidas</v>
      </c>
      <c r="AH16">
        <v>3</v>
      </c>
      <c r="AI16">
        <v>54881.82</v>
      </c>
      <c r="AJ16">
        <v>2213.2600000000002</v>
      </c>
      <c r="AK16">
        <v>23</v>
      </c>
      <c r="AL16">
        <v>52</v>
      </c>
      <c r="AM16" t="str">
        <v>App</v>
      </c>
      <c r="AN16" t="str">
        <v>Reembolsada</v>
      </c>
      <c r="AO16">
        <v>3</v>
      </c>
    </row>
    <row r="17" spans="1:41" x14ac:dyDescent="0.3">
      <c r="A17" t="s">
        <v>47</v>
      </c>
      <c r="B17" s="8">
        <v>45704</v>
      </c>
      <c r="C17" s="2">
        <v>0.57291666666666663</v>
      </c>
      <c r="D17" t="s">
        <v>33</v>
      </c>
      <c r="E17" t="s">
        <v>16</v>
      </c>
      <c r="F17" t="s">
        <v>17</v>
      </c>
      <c r="G17">
        <v>3</v>
      </c>
      <c r="H17" s="6">
        <v>34184.18</v>
      </c>
      <c r="I17" s="6">
        <v>2124.44</v>
      </c>
      <c r="J17">
        <v>28</v>
      </c>
      <c r="K17">
        <v>53</v>
      </c>
      <c r="L17" t="s">
        <v>18</v>
      </c>
      <c r="M17" t="s">
        <v>19</v>
      </c>
      <c r="N17">
        <v>5</v>
      </c>
      <c r="O17" s="4"/>
      <c r="P17" s="4" t="str">
        <f>IF(Data_Set_2[[#This Row],[valor_bruto]]&gt;$W$13,"OUTLIER+","")</f>
        <v/>
      </c>
      <c r="Q17" s="4" t="str">
        <f>IF(Data_Set_2[[#This Row],[valor_bruto]]&lt;$W$14,"OUTLIER-","")</f>
        <v/>
      </c>
      <c r="R17" s="21" t="s">
        <v>1261</v>
      </c>
      <c r="S17" s="4"/>
      <c r="T17"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457040,572916666666667EnvigadoMesaComida rapida334184,182124,442853TarjetaEntregada5</v>
      </c>
      <c r="U17" t="e">
        <f>EXACT(T17,#REF!)</f>
        <v>#REF!</v>
      </c>
      <c r="V17" s="25"/>
      <c r="W17" s="25"/>
      <c r="Y17" s="25"/>
      <c r="Z17" s="25"/>
      <c r="AB17" t="str">
        <v>RES-100015</v>
      </c>
      <c r="AC17">
        <v>45704</v>
      </c>
      <c r="AD17">
        <v>0.57291666666666663</v>
      </c>
      <c r="AE17" t="str">
        <v>Envigado</v>
      </c>
      <c r="AF17" t="str">
        <v>Mesa</v>
      </c>
      <c r="AG17" t="str">
        <v>Comida rapida</v>
      </c>
      <c r="AH17">
        <v>3</v>
      </c>
      <c r="AI17">
        <v>34184.18</v>
      </c>
      <c r="AJ17">
        <v>2124.44</v>
      </c>
      <c r="AK17">
        <v>28</v>
      </c>
      <c r="AL17">
        <v>53</v>
      </c>
      <c r="AM17" t="str">
        <v>Tarjeta</v>
      </c>
      <c r="AN17" t="str">
        <v>Entregada</v>
      </c>
      <c r="AO17">
        <v>5</v>
      </c>
    </row>
    <row r="18" spans="1:41" x14ac:dyDescent="0.3">
      <c r="A18" t="s">
        <v>48</v>
      </c>
      <c r="B18" s="8">
        <v>45705</v>
      </c>
      <c r="C18" s="2">
        <v>0.61944444444444446</v>
      </c>
      <c r="D18" t="s">
        <v>15</v>
      </c>
      <c r="E18" t="s">
        <v>22</v>
      </c>
      <c r="F18" t="s">
        <v>23</v>
      </c>
      <c r="G18">
        <v>3</v>
      </c>
      <c r="H18" s="6">
        <v>68862.94</v>
      </c>
      <c r="I18" s="6">
        <v>7452.35</v>
      </c>
      <c r="J18">
        <v>13</v>
      </c>
      <c r="K18">
        <v>46</v>
      </c>
      <c r="L18" t="s">
        <v>24</v>
      </c>
      <c r="M18" t="s">
        <v>25</v>
      </c>
      <c r="N18">
        <v>5</v>
      </c>
      <c r="O18" s="4"/>
      <c r="P18" s="4" t="str">
        <f>IF(Data_Set_2[[#This Row],[valor_bruto]]&gt;$W$13,"OUTLIER+","")</f>
        <v/>
      </c>
      <c r="Q18" s="4" t="str">
        <f>IF(Data_Set_2[[#This Row],[valor_bruto]]&lt;$W$14,"OUTLIER-","")</f>
        <v/>
      </c>
      <c r="R18" s="4">
        <f>S15-R15</f>
        <v>22289.737499999996</v>
      </c>
      <c r="S18" s="4"/>
      <c r="T18"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457050,619444444444444LaurelesDomicilioPasta368862,947452,351346EfectivoCancelada5</v>
      </c>
      <c r="U18" t="e">
        <f>EXACT(T18,#REF!)</f>
        <v>#REF!</v>
      </c>
      <c r="V18" s="25"/>
      <c r="W18" s="25"/>
      <c r="Y18" s="25"/>
      <c r="Z18" s="25"/>
      <c r="AB18" t="str">
        <v>RES-100016</v>
      </c>
      <c r="AC18">
        <v>45705</v>
      </c>
      <c r="AD18">
        <v>0.61944444444444446</v>
      </c>
      <c r="AE18" t="str">
        <v>Laureles</v>
      </c>
      <c r="AF18" t="str">
        <v>Domicilio</v>
      </c>
      <c r="AG18" t="str">
        <v>Pasta</v>
      </c>
      <c r="AH18">
        <v>3</v>
      </c>
      <c r="AI18">
        <v>68862.94</v>
      </c>
      <c r="AJ18">
        <v>7452.35</v>
      </c>
      <c r="AK18">
        <v>13</v>
      </c>
      <c r="AL18">
        <v>46</v>
      </c>
      <c r="AM18" t="str">
        <v>Efectivo</v>
      </c>
      <c r="AN18" t="str">
        <v>Cancelada</v>
      </c>
      <c r="AO18">
        <v>5</v>
      </c>
    </row>
    <row r="19" spans="1:41" x14ac:dyDescent="0.3">
      <c r="A19" t="s">
        <v>49</v>
      </c>
      <c r="B19" s="8">
        <v>45706</v>
      </c>
      <c r="C19" s="2">
        <v>0.66597222222222219</v>
      </c>
      <c r="D19" t="s">
        <v>21</v>
      </c>
      <c r="E19" t="s">
        <v>28</v>
      </c>
      <c r="F19" t="s">
        <v>29</v>
      </c>
      <c r="G19">
        <v>4</v>
      </c>
      <c r="H19" s="6">
        <v>46692.2</v>
      </c>
      <c r="I19" s="6">
        <v>6814.09</v>
      </c>
      <c r="J19">
        <v>22</v>
      </c>
      <c r="K19">
        <v>43</v>
      </c>
      <c r="L19" t="s">
        <v>30</v>
      </c>
      <c r="M19" t="s">
        <v>31</v>
      </c>
      <c r="N19">
        <v>5</v>
      </c>
      <c r="O19" s="4"/>
      <c r="P19" s="4" t="str">
        <f>IF(Data_Set_2[[#This Row],[valor_bruto]]&gt;$W$13,"OUTLIER+","")</f>
        <v/>
      </c>
      <c r="Q19" s="4" t="str">
        <f>IF(Data_Set_2[[#This Row],[valor_bruto]]&lt;$W$14,"OUTLIER-","")</f>
        <v/>
      </c>
      <c r="R19" s="4"/>
      <c r="S19" s="4"/>
      <c r="T19"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457060,665972222222222PobladoRecogeParrilla446692,26814,092243AppReembolsada5</v>
      </c>
      <c r="U19" t="e">
        <f>EXACT(T19,#REF!)</f>
        <v>#REF!</v>
      </c>
      <c r="AB19" t="str">
        <v>RES-100017</v>
      </c>
      <c r="AC19">
        <v>45706</v>
      </c>
      <c r="AD19">
        <v>0.66597222222222219</v>
      </c>
      <c r="AE19" t="str">
        <v>Poblado</v>
      </c>
      <c r="AF19" t="str">
        <v>Recoge</v>
      </c>
      <c r="AG19" t="str">
        <v>Parrilla</v>
      </c>
      <c r="AH19">
        <v>4</v>
      </c>
      <c r="AI19">
        <v>46692.2</v>
      </c>
      <c r="AJ19">
        <v>6814.09</v>
      </c>
      <c r="AK19">
        <v>22</v>
      </c>
      <c r="AL19">
        <v>43</v>
      </c>
      <c r="AM19" t="str">
        <v>App</v>
      </c>
      <c r="AN19" t="str">
        <v>Reembolsada</v>
      </c>
      <c r="AO19">
        <v>5</v>
      </c>
    </row>
    <row r="20" spans="1:41" x14ac:dyDescent="0.3">
      <c r="A20" t="s">
        <v>50</v>
      </c>
      <c r="B20" s="8">
        <v>45707</v>
      </c>
      <c r="C20" s="2">
        <v>0.67083333333333328</v>
      </c>
      <c r="D20" t="s">
        <v>27</v>
      </c>
      <c r="E20" t="s">
        <v>16</v>
      </c>
      <c r="F20" t="s">
        <v>34</v>
      </c>
      <c r="G20">
        <v>5</v>
      </c>
      <c r="H20" s="6">
        <v>42490.9</v>
      </c>
      <c r="I20" s="6">
        <v>6732.03</v>
      </c>
      <c r="J20">
        <v>23</v>
      </c>
      <c r="K20">
        <v>39</v>
      </c>
      <c r="L20" t="s">
        <v>18</v>
      </c>
      <c r="M20" t="s">
        <v>19</v>
      </c>
      <c r="N20">
        <v>5</v>
      </c>
      <c r="O20" s="4"/>
      <c r="P20" s="4" t="str">
        <f>IF(Data_Set_2[[#This Row],[valor_bruto]]&gt;$W$13,"OUTLIER+","")</f>
        <v/>
      </c>
      <c r="Q20" s="4" t="str">
        <f>IF(Data_Set_2[[#This Row],[valor_bruto]]&lt;$W$14,"OUTLIER-","")</f>
        <v/>
      </c>
      <c r="R20" s="21" t="s">
        <v>1262</v>
      </c>
      <c r="S20" s="4">
        <f>S15+(1.5*R18)</f>
        <v>92995.958749999991</v>
      </c>
      <c r="T20"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457070,670833333333333CentroMesaVegano542490,96732,032339TarjetaEntregada5</v>
      </c>
      <c r="U20" t="e">
        <f>EXACT(T20,#REF!)</f>
        <v>#REF!</v>
      </c>
      <c r="AB20" t="str">
        <v>RES-100018</v>
      </c>
      <c r="AC20">
        <v>45707</v>
      </c>
      <c r="AD20">
        <v>0.67083333333333328</v>
      </c>
      <c r="AE20" t="str">
        <v>Centro</v>
      </c>
      <c r="AF20" t="str">
        <v>Mesa</v>
      </c>
      <c r="AG20" t="str">
        <v>Vegano</v>
      </c>
      <c r="AH20">
        <v>5</v>
      </c>
      <c r="AI20">
        <v>42490.9</v>
      </c>
      <c r="AJ20">
        <v>6732.03</v>
      </c>
      <c r="AK20">
        <v>23</v>
      </c>
      <c r="AL20">
        <v>39</v>
      </c>
      <c r="AM20" t="str">
        <v>Tarjeta</v>
      </c>
      <c r="AN20" t="str">
        <v>Entregada</v>
      </c>
      <c r="AO20">
        <v>5</v>
      </c>
    </row>
    <row r="21" spans="1:41" x14ac:dyDescent="0.3">
      <c r="A21" t="s">
        <v>51</v>
      </c>
      <c r="B21" s="8">
        <v>45708</v>
      </c>
      <c r="C21" s="2">
        <v>0.71736111111111112</v>
      </c>
      <c r="D21" t="s">
        <v>33</v>
      </c>
      <c r="E21" t="s">
        <v>22</v>
      </c>
      <c r="F21" t="s">
        <v>36</v>
      </c>
      <c r="G21">
        <v>4</v>
      </c>
      <c r="H21" s="6">
        <v>63386.65</v>
      </c>
      <c r="I21" s="6">
        <v>5609.76</v>
      </c>
      <c r="J21">
        <v>23</v>
      </c>
      <c r="K21">
        <v>45</v>
      </c>
      <c r="L21" t="s">
        <v>24</v>
      </c>
      <c r="M21" t="s">
        <v>25</v>
      </c>
      <c r="N21">
        <v>4</v>
      </c>
      <c r="O21" s="4"/>
      <c r="P21" s="4" t="str">
        <f>IF(Data_Set_2[[#This Row],[valor_bruto]]&gt;$W$13,"OUTLIER+","")</f>
        <v/>
      </c>
      <c r="Q21" s="4" t="str">
        <f>IF(Data_Set_2[[#This Row],[valor_bruto]]&lt;$W$14,"OUTLIER-","")</f>
        <v/>
      </c>
      <c r="R21" s="21" t="s">
        <v>1263</v>
      </c>
      <c r="S21" s="4">
        <f>R15-(1.5*R18)</f>
        <v>3837.0087500000081</v>
      </c>
      <c r="T21" t="str">
        <f>CONCATENATE(Data_Set_2[[#This Row],[fecha_orden]],Data_Set_2[[#This Row],[hora_orden]],Data_Set_2[[#This Row],[sede]],Data_Set_2[[#This Row],[tipo_servicio]],Data_Set_2[[#This Row],[categoria_menu]],Data_Set_2[[#This Row],[items]],Data_Set_2[[#This Row],[valor_bruto]],Data_Set_2[[#This Row],[descuento_cupon]],Data_Set_2[[#This Row],[tiempo_preparacion_min]],Data_Set_2[[#This Row],[tiempo_entrega_min]],Data_Set_2[[#This Row],[medio_pago]],Data_Set_2[[#This Row],[estado]],Data_Set_2[[#This Row],[calificacion]])</f>
        <v>457080,717361111111111EnvigadoDomicilioBebidas463386,655609,762345EfectivoCancelada4</v>
      </c>
      <c r="U21" t="e">
        <f>EXACT(T21,#REF!)</f>
        <v>#REF!</v>
      </c>
      <c r="AB21" t="str">
        <v>RES-100019</v>
      </c>
      <c r="AC21">
        <v>45708</v>
      </c>
      <c r="AD21">
        <v>0.71736111111111112</v>
      </c>
      <c r="AE21" t="str">
        <v>Envigado</v>
      </c>
      <c r="AF21" t="str">
        <v>Domicilio</v>
      </c>
      <c r="AG21" t="str">
        <v>Bebidas</v>
      </c>
      <c r="AH21">
        <v>4</v>
      </c>
      <c r="AI21">
        <v>63386.65</v>
      </c>
      <c r="AJ21">
        <v>5609.76</v>
      </c>
      <c r="AK21">
        <v>23</v>
      </c>
      <c r="AL21">
        <v>45</v>
      </c>
      <c r="AM21" t="str">
        <v>Efectivo</v>
      </c>
      <c r="AN21" t="str">
        <v>Cancelada</v>
      </c>
      <c r="AO21">
        <v>4</v>
      </c>
    </row>
    <row r="22" spans="1:41" x14ac:dyDescent="0.3">
      <c r="A22" t="s">
        <v>52</v>
      </c>
      <c r="B22" s="8">
        <v>45709</v>
      </c>
      <c r="C22" s="2">
        <v>0.76388888888888884</v>
      </c>
      <c r="D22" t="s">
        <v>15</v>
      </c>
      <c r="E22" t="s">
        <v>28</v>
      </c>
      <c r="F22" t="s">
        <v>17</v>
      </c>
      <c r="G22">
        <v>4</v>
      </c>
      <c r="H22" s="6">
        <v>42900.67</v>
      </c>
      <c r="I22" s="6">
        <v>3087.07</v>
      </c>
      <c r="J22">
        <v>21</v>
      </c>
      <c r="K22">
        <v>37</v>
      </c>
      <c r="L22" t="s">
        <v>30</v>
      </c>
      <c r="M22" t="s">
        <v>31</v>
      </c>
      <c r="N22">
        <v>5</v>
      </c>
      <c r="O22" s="4"/>
      <c r="P22" s="4" t="str">
        <f>IF(Data_Set_2[[#This Row],[valor_bruto]]&gt;$W$13,"OUTLIER+","")</f>
        <v/>
      </c>
      <c r="Q22" s="4" t="str">
        <f>IF(Data_Set_2[[#This Row],[valor_bruto]]&lt;$W$14,"OUTLIER-","")</f>
        <v/>
      </c>
      <c r="R22" s="4"/>
      <c r="S22" s="4"/>
      <c r="AB22" t="str">
        <v>RES-100020</v>
      </c>
      <c r="AC22">
        <v>45709</v>
      </c>
      <c r="AD22">
        <v>0.76388888888888884</v>
      </c>
      <c r="AE22" t="str">
        <v>Laureles</v>
      </c>
      <c r="AF22" t="str">
        <v>Recoge</v>
      </c>
      <c r="AG22" t="str">
        <v>Comida rapida</v>
      </c>
      <c r="AH22">
        <v>4</v>
      </c>
      <c r="AI22">
        <v>42900.67</v>
      </c>
      <c r="AJ22">
        <v>3087.07</v>
      </c>
      <c r="AK22">
        <v>21</v>
      </c>
      <c r="AL22">
        <v>37</v>
      </c>
      <c r="AM22" t="str">
        <v>App</v>
      </c>
      <c r="AN22" t="str">
        <v>Reembolsada</v>
      </c>
      <c r="AO22">
        <v>5</v>
      </c>
    </row>
    <row r="23" spans="1:41" x14ac:dyDescent="0.3">
      <c r="A23" t="s">
        <v>53</v>
      </c>
      <c r="B23" s="8">
        <v>45710</v>
      </c>
      <c r="C23" s="2">
        <v>0.81041666666666667</v>
      </c>
      <c r="D23" t="s">
        <v>21</v>
      </c>
      <c r="E23" t="s">
        <v>16</v>
      </c>
      <c r="F23" t="s">
        <v>23</v>
      </c>
      <c r="G23">
        <v>5</v>
      </c>
      <c r="H23" s="6">
        <v>41845.410000000003</v>
      </c>
      <c r="I23" s="6">
        <v>1243.95</v>
      </c>
      <c r="J23">
        <v>27</v>
      </c>
      <c r="K23">
        <v>44</v>
      </c>
      <c r="L23" t="s">
        <v>18</v>
      </c>
      <c r="M23" t="s">
        <v>19</v>
      </c>
      <c r="N23">
        <v>3</v>
      </c>
      <c r="O23" s="4"/>
      <c r="P23" s="4" t="str">
        <f>IF(Data_Set_2[[#This Row],[valor_bruto]]&gt;$W$13,"OUTLIER+","")</f>
        <v/>
      </c>
      <c r="Q23" s="4" t="str">
        <f>IF(Data_Set_2[[#This Row],[valor_bruto]]&lt;$W$14,"OUTLIER-","")</f>
        <v/>
      </c>
      <c r="R23" s="4"/>
      <c r="S23" s="4"/>
      <c r="AB23" t="str">
        <v>RES-100021</v>
      </c>
      <c r="AC23">
        <v>45710</v>
      </c>
      <c r="AD23">
        <v>0.81041666666666667</v>
      </c>
      <c r="AE23" t="str">
        <v>Poblado</v>
      </c>
      <c r="AF23" t="str">
        <v>Mesa</v>
      </c>
      <c r="AG23" t="str">
        <v>Pasta</v>
      </c>
      <c r="AH23">
        <v>5</v>
      </c>
      <c r="AI23">
        <v>41845.410000000003</v>
      </c>
      <c r="AJ23">
        <v>1243.95</v>
      </c>
      <c r="AK23">
        <v>27</v>
      </c>
      <c r="AL23">
        <v>44</v>
      </c>
      <c r="AM23" t="str">
        <v>Tarjeta</v>
      </c>
      <c r="AN23" t="str">
        <v>Entregada</v>
      </c>
      <c r="AO23">
        <v>3</v>
      </c>
    </row>
    <row r="24" spans="1:41" x14ac:dyDescent="0.3">
      <c r="A24" t="s">
        <v>54</v>
      </c>
      <c r="B24" s="8">
        <v>45711</v>
      </c>
      <c r="C24" s="2">
        <v>0.8569444444444444</v>
      </c>
      <c r="D24" t="s">
        <v>27</v>
      </c>
      <c r="E24" t="s">
        <v>22</v>
      </c>
      <c r="F24" t="s">
        <v>29</v>
      </c>
      <c r="G24">
        <v>3</v>
      </c>
      <c r="H24" s="6">
        <v>52781.66</v>
      </c>
      <c r="I24" s="6">
        <v>3274.31</v>
      </c>
      <c r="J24">
        <v>25</v>
      </c>
      <c r="K24">
        <v>38</v>
      </c>
      <c r="L24" t="s">
        <v>24</v>
      </c>
      <c r="M24" t="s">
        <v>25</v>
      </c>
      <c r="N24">
        <v>3</v>
      </c>
      <c r="O24" s="4"/>
      <c r="P24" s="4" t="str">
        <f>IF(Data_Set_2[[#This Row],[valor_bruto]]&gt;$W$13,"OUTLIER+","")</f>
        <v/>
      </c>
      <c r="Q24" s="4" t="str">
        <f>IF(Data_Set_2[[#This Row],[valor_bruto]]&lt;$W$14,"OUTLIER-","")</f>
        <v/>
      </c>
      <c r="R24" s="4"/>
      <c r="S24" s="4"/>
      <c r="AB24" t="str">
        <v>RES-100022</v>
      </c>
      <c r="AC24">
        <v>45711</v>
      </c>
      <c r="AD24">
        <v>0.8569444444444444</v>
      </c>
      <c r="AE24" t="str">
        <v>Centro</v>
      </c>
      <c r="AF24" t="str">
        <v>Domicilio</v>
      </c>
      <c r="AG24" t="str">
        <v>Parrilla</v>
      </c>
      <c r="AH24">
        <v>3</v>
      </c>
      <c r="AI24">
        <v>52781.66</v>
      </c>
      <c r="AJ24">
        <v>3274.31</v>
      </c>
      <c r="AK24">
        <v>25</v>
      </c>
      <c r="AL24">
        <v>38</v>
      </c>
      <c r="AM24" t="str">
        <v>Efectivo</v>
      </c>
      <c r="AN24" t="str">
        <v>Cancelada</v>
      </c>
      <c r="AO24">
        <v>3</v>
      </c>
    </row>
    <row r="25" spans="1:41" x14ac:dyDescent="0.3">
      <c r="A25" t="s">
        <v>55</v>
      </c>
      <c r="B25" s="8">
        <v>45712</v>
      </c>
      <c r="C25" s="2">
        <v>0.90347222222222223</v>
      </c>
      <c r="D25" t="s">
        <v>33</v>
      </c>
      <c r="E25" t="s">
        <v>28</v>
      </c>
      <c r="F25" t="s">
        <v>34</v>
      </c>
      <c r="G25">
        <v>4</v>
      </c>
      <c r="H25" s="6">
        <v>57929.31</v>
      </c>
      <c r="I25" s="6">
        <v>782.37</v>
      </c>
      <c r="J25">
        <v>29</v>
      </c>
      <c r="K25">
        <v>46</v>
      </c>
      <c r="L25" t="s">
        <v>30</v>
      </c>
      <c r="M25" t="s">
        <v>31</v>
      </c>
      <c r="N25">
        <v>4</v>
      </c>
      <c r="O25" s="4"/>
      <c r="P25" s="4" t="str">
        <f>IF(Data_Set_2[[#This Row],[valor_bruto]]&gt;$W$13,"OUTLIER+","")</f>
        <v/>
      </c>
      <c r="Q25" s="4" t="str">
        <f>IF(Data_Set_2[[#This Row],[valor_bruto]]&lt;$W$14,"OUTLIER-","")</f>
        <v/>
      </c>
      <c r="R25" s="4"/>
      <c r="S25" s="4"/>
      <c r="AB25" t="str">
        <v>RES-100023</v>
      </c>
      <c r="AC25">
        <v>45712</v>
      </c>
      <c r="AD25">
        <v>0.90347222222222223</v>
      </c>
      <c r="AE25" t="str">
        <v>Envigado</v>
      </c>
      <c r="AF25" t="str">
        <v>Recoge</v>
      </c>
      <c r="AG25" t="str">
        <v>Vegano</v>
      </c>
      <c r="AH25">
        <v>4</v>
      </c>
      <c r="AI25">
        <v>57929.31</v>
      </c>
      <c r="AJ25">
        <v>782.37</v>
      </c>
      <c r="AK25">
        <v>29</v>
      </c>
      <c r="AL25">
        <v>46</v>
      </c>
      <c r="AM25" t="str">
        <v>App</v>
      </c>
      <c r="AN25" t="str">
        <v>Reembolsada</v>
      </c>
      <c r="AO25">
        <v>4</v>
      </c>
    </row>
    <row r="26" spans="1:41" x14ac:dyDescent="0.3">
      <c r="A26" t="s">
        <v>56</v>
      </c>
      <c r="B26" s="8">
        <v>45713</v>
      </c>
      <c r="C26" s="2">
        <v>0.45</v>
      </c>
      <c r="D26" t="s">
        <v>15</v>
      </c>
      <c r="E26" t="s">
        <v>16</v>
      </c>
      <c r="F26" t="s">
        <v>36</v>
      </c>
      <c r="G26">
        <v>2</v>
      </c>
      <c r="H26" s="6">
        <v>62295.89</v>
      </c>
      <c r="I26" s="6">
        <v>1339.42</v>
      </c>
      <c r="J26">
        <v>24</v>
      </c>
      <c r="K26">
        <v>49</v>
      </c>
      <c r="L26" t="s">
        <v>18</v>
      </c>
      <c r="M26" t="s">
        <v>19</v>
      </c>
      <c r="N26">
        <v>4</v>
      </c>
      <c r="O26" s="4"/>
      <c r="P26" s="4" t="str">
        <f>IF(Data_Set_2[[#This Row],[valor_bruto]]&gt;$W$13,"OUTLIER+","")</f>
        <v/>
      </c>
      <c r="Q26" s="4" t="str">
        <f>IF(Data_Set_2[[#This Row],[valor_bruto]]&lt;$W$14,"OUTLIER-","")</f>
        <v/>
      </c>
      <c r="R26" s="4"/>
      <c r="S26" s="4"/>
      <c r="AB26" t="str">
        <v>RES-100024</v>
      </c>
      <c r="AC26">
        <v>45713</v>
      </c>
      <c r="AD26">
        <v>0.45</v>
      </c>
      <c r="AE26" t="str">
        <v>Laureles</v>
      </c>
      <c r="AF26" t="str">
        <v>Mesa</v>
      </c>
      <c r="AG26" t="str">
        <v>Bebidas</v>
      </c>
      <c r="AH26">
        <v>2</v>
      </c>
      <c r="AI26">
        <v>62295.89</v>
      </c>
      <c r="AJ26">
        <v>1339.42</v>
      </c>
      <c r="AK26">
        <v>24</v>
      </c>
      <c r="AL26">
        <v>49</v>
      </c>
      <c r="AM26" t="str">
        <v>Tarjeta</v>
      </c>
      <c r="AN26" t="str">
        <v>Entregada</v>
      </c>
      <c r="AO26">
        <v>4</v>
      </c>
    </row>
    <row r="27" spans="1:41" x14ac:dyDescent="0.3">
      <c r="A27" t="s">
        <v>57</v>
      </c>
      <c r="B27" s="8">
        <v>45714</v>
      </c>
      <c r="C27" s="2">
        <v>0.49652777777777779</v>
      </c>
      <c r="D27" t="s">
        <v>21</v>
      </c>
      <c r="E27" t="s">
        <v>22</v>
      </c>
      <c r="F27" t="s">
        <v>17</v>
      </c>
      <c r="G27">
        <v>2</v>
      </c>
      <c r="H27" s="6">
        <v>29329.5</v>
      </c>
      <c r="I27" s="6">
        <v>6975.3</v>
      </c>
      <c r="J27">
        <v>29</v>
      </c>
      <c r="K27">
        <v>26</v>
      </c>
      <c r="L27" t="s">
        <v>24</v>
      </c>
      <c r="M27" t="s">
        <v>25</v>
      </c>
      <c r="N27">
        <v>5</v>
      </c>
      <c r="O27" s="4"/>
      <c r="P27" s="4" t="str">
        <f>IF(Data_Set_2[[#This Row],[valor_bruto]]&gt;$W$13,"OUTLIER+","")</f>
        <v/>
      </c>
      <c r="Q27" s="4" t="str">
        <f>IF(Data_Set_2[[#This Row],[valor_bruto]]&lt;$W$14,"OUTLIER-","")</f>
        <v/>
      </c>
      <c r="R27" s="4"/>
      <c r="S27" s="4"/>
      <c r="AB27" t="str">
        <v>RES-100025</v>
      </c>
      <c r="AC27">
        <v>45714</v>
      </c>
      <c r="AD27">
        <v>0.49652777777777779</v>
      </c>
      <c r="AE27" t="str">
        <v>Poblado</v>
      </c>
      <c r="AF27" t="str">
        <v>Domicilio</v>
      </c>
      <c r="AG27" t="str">
        <v>Comida rapida</v>
      </c>
      <c r="AH27">
        <v>2</v>
      </c>
      <c r="AI27">
        <v>29329.5</v>
      </c>
      <c r="AJ27">
        <v>6975.3</v>
      </c>
      <c r="AK27">
        <v>29</v>
      </c>
      <c r="AL27">
        <v>26</v>
      </c>
      <c r="AM27" t="str">
        <v>Efectivo</v>
      </c>
      <c r="AN27" t="str">
        <v>Cancelada</v>
      </c>
      <c r="AO27">
        <v>5</v>
      </c>
    </row>
    <row r="28" spans="1:41" x14ac:dyDescent="0.3">
      <c r="A28" t="s">
        <v>58</v>
      </c>
      <c r="B28" s="8">
        <v>45715</v>
      </c>
      <c r="C28" s="2">
        <v>0.50138888888888888</v>
      </c>
      <c r="D28" t="s">
        <v>27</v>
      </c>
      <c r="E28" t="s">
        <v>28</v>
      </c>
      <c r="F28" t="s">
        <v>23</v>
      </c>
      <c r="G28">
        <v>2</v>
      </c>
      <c r="H28" s="6">
        <v>45506.16</v>
      </c>
      <c r="I28" s="6">
        <v>1184.02</v>
      </c>
      <c r="J28">
        <v>21</v>
      </c>
      <c r="K28">
        <v>33</v>
      </c>
      <c r="L28" t="s">
        <v>30</v>
      </c>
      <c r="M28" t="s">
        <v>31</v>
      </c>
      <c r="N28">
        <v>5</v>
      </c>
      <c r="O28" s="4"/>
      <c r="P28" s="4" t="str">
        <f>IF(Data_Set_2[[#This Row],[valor_bruto]]&gt;$W$13,"OUTLIER+","")</f>
        <v/>
      </c>
      <c r="Q28" s="4" t="str">
        <f>IF(Data_Set_2[[#This Row],[valor_bruto]]&lt;$W$14,"OUTLIER-","")</f>
        <v/>
      </c>
      <c r="R28" s="4"/>
      <c r="S28" s="4"/>
      <c r="AB28" t="str">
        <v>RES-100026</v>
      </c>
      <c r="AC28">
        <v>45715</v>
      </c>
      <c r="AD28">
        <v>0.50138888888888888</v>
      </c>
      <c r="AE28" t="str">
        <v>Centro</v>
      </c>
      <c r="AF28" t="str">
        <v>Recoge</v>
      </c>
      <c r="AG28" t="str">
        <v>Pasta</v>
      </c>
      <c r="AH28">
        <v>2</v>
      </c>
      <c r="AI28">
        <v>45506.16</v>
      </c>
      <c r="AJ28">
        <v>1184.02</v>
      </c>
      <c r="AK28">
        <v>21</v>
      </c>
      <c r="AL28">
        <v>33</v>
      </c>
      <c r="AM28" t="str">
        <v>App</v>
      </c>
      <c r="AN28" t="str">
        <v>Reembolsada</v>
      </c>
      <c r="AO28">
        <v>5</v>
      </c>
    </row>
    <row r="29" spans="1:41" x14ac:dyDescent="0.3">
      <c r="A29" t="s">
        <v>59</v>
      </c>
      <c r="B29" s="8">
        <v>45716</v>
      </c>
      <c r="C29" s="2">
        <v>0.54791666666666672</v>
      </c>
      <c r="D29" t="s">
        <v>33</v>
      </c>
      <c r="E29" t="s">
        <v>16</v>
      </c>
      <c r="F29" t="s">
        <v>29</v>
      </c>
      <c r="G29">
        <v>4</v>
      </c>
      <c r="H29" s="6">
        <v>69698.679999999993</v>
      </c>
      <c r="I29" s="6">
        <v>3669.67</v>
      </c>
      <c r="J29">
        <v>18</v>
      </c>
      <c r="K29">
        <v>32</v>
      </c>
      <c r="L29" t="s">
        <v>18</v>
      </c>
      <c r="M29" t="s">
        <v>19</v>
      </c>
      <c r="N29">
        <v>3</v>
      </c>
      <c r="O29" s="4"/>
      <c r="P29" s="4" t="str">
        <f>IF(Data_Set_2[[#This Row],[valor_bruto]]&gt;$W$13,"OUTLIER+","")</f>
        <v/>
      </c>
      <c r="Q29" s="4" t="str">
        <f>IF(Data_Set_2[[#This Row],[valor_bruto]]&lt;$W$14,"OUTLIER-","")</f>
        <v/>
      </c>
      <c r="R29" s="4"/>
      <c r="S29" s="4"/>
      <c r="AB29" t="str">
        <v>RES-100027</v>
      </c>
      <c r="AC29">
        <v>45716</v>
      </c>
      <c r="AD29">
        <v>0.54791666666666672</v>
      </c>
      <c r="AE29" t="str">
        <v>Envigado</v>
      </c>
      <c r="AF29" t="str">
        <v>Mesa</v>
      </c>
      <c r="AG29" t="str">
        <v>Parrilla</v>
      </c>
      <c r="AH29">
        <v>4</v>
      </c>
      <c r="AI29">
        <v>69698.679999999993</v>
      </c>
      <c r="AJ29">
        <v>3669.67</v>
      </c>
      <c r="AK29">
        <v>18</v>
      </c>
      <c r="AL29">
        <v>32</v>
      </c>
      <c r="AM29" t="str">
        <v>Tarjeta</v>
      </c>
      <c r="AN29" t="str">
        <v>Entregada</v>
      </c>
      <c r="AO29">
        <v>3</v>
      </c>
    </row>
    <row r="30" spans="1:41" x14ac:dyDescent="0.3">
      <c r="A30" t="s">
        <v>60</v>
      </c>
      <c r="B30" s="8">
        <v>45717</v>
      </c>
      <c r="C30" s="2">
        <v>0.59444444444444444</v>
      </c>
      <c r="D30" t="s">
        <v>15</v>
      </c>
      <c r="E30" t="s">
        <v>22</v>
      </c>
      <c r="F30" t="s">
        <v>34</v>
      </c>
      <c r="G30">
        <v>3</v>
      </c>
      <c r="H30" s="6">
        <v>56314.18</v>
      </c>
      <c r="I30" s="6">
        <v>7270.55</v>
      </c>
      <c r="J30">
        <v>20</v>
      </c>
      <c r="K30">
        <v>43</v>
      </c>
      <c r="L30" t="s">
        <v>24</v>
      </c>
      <c r="M30" t="s">
        <v>25</v>
      </c>
      <c r="N30">
        <v>5</v>
      </c>
      <c r="O30" s="4"/>
      <c r="P30" s="4" t="str">
        <f>IF(Data_Set_2[[#This Row],[valor_bruto]]&gt;$W$13,"OUTLIER+","")</f>
        <v/>
      </c>
      <c r="Q30" s="4" t="str">
        <f>IF(Data_Set_2[[#This Row],[valor_bruto]]&lt;$W$14,"OUTLIER-","")</f>
        <v/>
      </c>
      <c r="R30" s="4"/>
      <c r="S30" s="4"/>
      <c r="AB30" t="str">
        <v>RES-100028</v>
      </c>
      <c r="AC30">
        <v>45717</v>
      </c>
      <c r="AD30">
        <v>0.59444444444444444</v>
      </c>
      <c r="AE30" t="str">
        <v>Laureles</v>
      </c>
      <c r="AF30" t="str">
        <v>Domicilio</v>
      </c>
      <c r="AG30" t="str">
        <v>Vegano</v>
      </c>
      <c r="AH30">
        <v>3</v>
      </c>
      <c r="AI30">
        <v>56314.18</v>
      </c>
      <c r="AJ30">
        <v>7270.55</v>
      </c>
      <c r="AK30">
        <v>20</v>
      </c>
      <c r="AL30">
        <v>43</v>
      </c>
      <c r="AM30" t="str">
        <v>Efectivo</v>
      </c>
      <c r="AN30" t="str">
        <v>Cancelada</v>
      </c>
      <c r="AO30">
        <v>5</v>
      </c>
    </row>
    <row r="31" spans="1:41" x14ac:dyDescent="0.3">
      <c r="A31" t="s">
        <v>61</v>
      </c>
      <c r="B31" s="8">
        <v>45691</v>
      </c>
      <c r="C31" s="2">
        <v>0.64097222222222228</v>
      </c>
      <c r="D31" t="s">
        <v>21</v>
      </c>
      <c r="E31" t="s">
        <v>28</v>
      </c>
      <c r="F31" t="s">
        <v>36</v>
      </c>
      <c r="G31">
        <v>4</v>
      </c>
      <c r="H31" s="6">
        <v>39528.83</v>
      </c>
      <c r="I31" s="6">
        <v>6744.04</v>
      </c>
      <c r="J31">
        <v>17</v>
      </c>
      <c r="K31">
        <v>47</v>
      </c>
      <c r="L31" t="s">
        <v>30</v>
      </c>
      <c r="M31" t="s">
        <v>31</v>
      </c>
      <c r="N31">
        <v>5</v>
      </c>
      <c r="O31" s="4"/>
      <c r="P31" s="4" t="str">
        <f>IF(Data_Set_2[[#This Row],[valor_bruto]]&gt;$W$13,"OUTLIER+","")</f>
        <v/>
      </c>
      <c r="Q31" s="4" t="str">
        <f>IF(Data_Set_2[[#This Row],[valor_bruto]]&lt;$W$14,"OUTLIER-","")</f>
        <v/>
      </c>
      <c r="R31" s="4"/>
      <c r="S31" s="4"/>
      <c r="AB31" t="str">
        <v>RES-100029</v>
      </c>
      <c r="AC31">
        <v>45691</v>
      </c>
      <c r="AD31">
        <v>0.64097222222222228</v>
      </c>
      <c r="AE31" t="str">
        <v>Poblado</v>
      </c>
      <c r="AF31" t="str">
        <v>Recoge</v>
      </c>
      <c r="AG31" t="str">
        <v>Bebidas</v>
      </c>
      <c r="AH31">
        <v>4</v>
      </c>
      <c r="AI31">
        <v>39528.83</v>
      </c>
      <c r="AJ31">
        <v>6744.04</v>
      </c>
      <c r="AK31">
        <v>17</v>
      </c>
      <c r="AL31">
        <v>47</v>
      </c>
      <c r="AM31" t="str">
        <v>App</v>
      </c>
      <c r="AN31" t="str">
        <v>Reembolsada</v>
      </c>
      <c r="AO31">
        <v>5</v>
      </c>
    </row>
    <row r="32" spans="1:41" x14ac:dyDescent="0.3">
      <c r="A32" t="s">
        <v>62</v>
      </c>
      <c r="B32" s="8">
        <v>45719</v>
      </c>
      <c r="C32" s="2">
        <v>0.6875</v>
      </c>
      <c r="D32" t="s">
        <v>27</v>
      </c>
      <c r="E32" t="s">
        <v>16</v>
      </c>
      <c r="F32" t="s">
        <v>17</v>
      </c>
      <c r="G32">
        <v>5</v>
      </c>
      <c r="H32" s="6">
        <v>56407.82</v>
      </c>
      <c r="I32" s="6">
        <v>6744.08</v>
      </c>
      <c r="J32">
        <v>17</v>
      </c>
      <c r="K32">
        <v>36</v>
      </c>
      <c r="L32" t="s">
        <v>18</v>
      </c>
      <c r="M32" t="s">
        <v>19</v>
      </c>
      <c r="N32">
        <v>3</v>
      </c>
      <c r="O32" s="4"/>
      <c r="P32" s="4" t="str">
        <f>IF(Data_Set_2[[#This Row],[valor_bruto]]&gt;$W$13,"OUTLIER+","")</f>
        <v/>
      </c>
      <c r="Q32" s="4" t="str">
        <f>IF(Data_Set_2[[#This Row],[valor_bruto]]&lt;$W$14,"OUTLIER-","")</f>
        <v/>
      </c>
      <c r="R32" s="4"/>
      <c r="S32" s="4"/>
      <c r="AB32" t="str">
        <v>RES-100030</v>
      </c>
      <c r="AC32">
        <v>45719</v>
      </c>
      <c r="AD32">
        <v>0.6875</v>
      </c>
      <c r="AE32" t="str">
        <v>Centro</v>
      </c>
      <c r="AF32" t="str">
        <v>Mesa</v>
      </c>
      <c r="AG32" t="str">
        <v>Comida rapida</v>
      </c>
      <c r="AH32">
        <v>5</v>
      </c>
      <c r="AI32">
        <v>56407.82</v>
      </c>
      <c r="AJ32">
        <v>6744.08</v>
      </c>
      <c r="AK32">
        <v>17</v>
      </c>
      <c r="AL32">
        <v>36</v>
      </c>
      <c r="AM32" t="str">
        <v>Tarjeta</v>
      </c>
      <c r="AN32" t="str">
        <v>Entregada</v>
      </c>
      <c r="AO32">
        <v>3</v>
      </c>
    </row>
    <row r="33" spans="1:41" x14ac:dyDescent="0.3">
      <c r="A33" t="s">
        <v>63</v>
      </c>
      <c r="B33" s="8">
        <v>45720</v>
      </c>
      <c r="C33" s="2">
        <v>0.73402777777777772</v>
      </c>
      <c r="D33" t="s">
        <v>33</v>
      </c>
      <c r="E33" t="s">
        <v>22</v>
      </c>
      <c r="F33" t="s">
        <v>23</v>
      </c>
      <c r="G33">
        <v>5</v>
      </c>
      <c r="H33" s="6">
        <v>44663.09</v>
      </c>
      <c r="I33" s="6">
        <v>8336.58</v>
      </c>
      <c r="J33">
        <v>27</v>
      </c>
      <c r="K33">
        <v>23</v>
      </c>
      <c r="L33" t="s">
        <v>24</v>
      </c>
      <c r="M33" t="s">
        <v>25</v>
      </c>
      <c r="N33">
        <v>5</v>
      </c>
      <c r="O33" s="4"/>
      <c r="P33" s="4" t="str">
        <f>IF(Data_Set_2[[#This Row],[valor_bruto]]&gt;$W$13,"OUTLIER+","")</f>
        <v/>
      </c>
      <c r="Q33" s="4" t="str">
        <f>IF(Data_Set_2[[#This Row],[valor_bruto]]&lt;$W$14,"OUTLIER-","")</f>
        <v/>
      </c>
      <c r="R33" s="4"/>
      <c r="S33" s="4"/>
      <c r="AB33" t="str">
        <v>RES-100031</v>
      </c>
      <c r="AC33">
        <v>45720</v>
      </c>
      <c r="AD33">
        <v>0.73402777777777772</v>
      </c>
      <c r="AE33" t="str">
        <v>Envigado</v>
      </c>
      <c r="AF33" t="str">
        <v>Domicilio</v>
      </c>
      <c r="AG33" t="str">
        <v>Pasta</v>
      </c>
      <c r="AH33">
        <v>5</v>
      </c>
      <c r="AI33">
        <v>44663.09</v>
      </c>
      <c r="AJ33">
        <v>8336.58</v>
      </c>
      <c r="AK33">
        <v>27</v>
      </c>
      <c r="AL33">
        <v>23</v>
      </c>
      <c r="AM33" t="str">
        <v>Efectivo</v>
      </c>
      <c r="AN33" t="str">
        <v>Cancelada</v>
      </c>
      <c r="AO33">
        <v>5</v>
      </c>
    </row>
    <row r="34" spans="1:41" x14ac:dyDescent="0.3">
      <c r="A34" t="s">
        <v>64</v>
      </c>
      <c r="B34" s="8">
        <v>45780</v>
      </c>
      <c r="C34" s="2">
        <v>0.78055555555555556</v>
      </c>
      <c r="D34" t="s">
        <v>15</v>
      </c>
      <c r="E34" t="s">
        <v>28</v>
      </c>
      <c r="F34" t="s">
        <v>29</v>
      </c>
      <c r="G34">
        <v>2</v>
      </c>
      <c r="H34" s="6">
        <v>32025.78</v>
      </c>
      <c r="I34" s="6">
        <v>3999.53</v>
      </c>
      <c r="J34">
        <v>16</v>
      </c>
      <c r="K34">
        <v>36</v>
      </c>
      <c r="L34" t="s">
        <v>30</v>
      </c>
      <c r="M34" t="s">
        <v>31</v>
      </c>
      <c r="N34">
        <v>3</v>
      </c>
      <c r="O34" s="4"/>
      <c r="P34" s="4" t="str">
        <f>IF(Data_Set_2[[#This Row],[valor_bruto]]&gt;$W$13,"OUTLIER+","")</f>
        <v/>
      </c>
      <c r="Q34" s="4" t="str">
        <f>IF(Data_Set_2[[#This Row],[valor_bruto]]&lt;$W$14,"OUTLIER-","")</f>
        <v/>
      </c>
      <c r="R34" s="4"/>
      <c r="S34" s="4"/>
      <c r="AB34" t="str">
        <v>RES-100032</v>
      </c>
      <c r="AC34">
        <v>45780</v>
      </c>
      <c r="AD34">
        <v>0.78055555555555556</v>
      </c>
      <c r="AE34" t="str">
        <v>Laureles</v>
      </c>
      <c r="AF34" t="str">
        <v>Recoge</v>
      </c>
      <c r="AG34" t="str">
        <v>Parrilla</v>
      </c>
      <c r="AH34">
        <v>2</v>
      </c>
      <c r="AI34">
        <v>32025.78</v>
      </c>
      <c r="AJ34">
        <v>3999.53</v>
      </c>
      <c r="AK34">
        <v>16</v>
      </c>
      <c r="AL34">
        <v>36</v>
      </c>
      <c r="AM34" t="str">
        <v>App</v>
      </c>
      <c r="AN34" t="str">
        <v>Reembolsada</v>
      </c>
      <c r="AO34">
        <v>3</v>
      </c>
    </row>
    <row r="35" spans="1:41" x14ac:dyDescent="0.3">
      <c r="A35" t="s">
        <v>65</v>
      </c>
      <c r="B35" s="8">
        <v>45722</v>
      </c>
      <c r="C35" s="2">
        <v>0.82708333333333328</v>
      </c>
      <c r="D35" t="s">
        <v>21</v>
      </c>
      <c r="E35" t="s">
        <v>16</v>
      </c>
      <c r="F35" t="s">
        <v>34</v>
      </c>
      <c r="G35">
        <v>4</v>
      </c>
      <c r="H35" s="6">
        <v>31138.48</v>
      </c>
      <c r="I35" s="6">
        <v>7447.1</v>
      </c>
      <c r="J35">
        <v>26</v>
      </c>
      <c r="K35">
        <v>43</v>
      </c>
      <c r="L35" t="s">
        <v>18</v>
      </c>
      <c r="M35" t="s">
        <v>19</v>
      </c>
      <c r="N35">
        <v>3</v>
      </c>
      <c r="O35" s="4"/>
      <c r="P35" s="4" t="str">
        <f>IF(Data_Set_2[[#This Row],[valor_bruto]]&gt;$W$13,"OUTLIER+","")</f>
        <v/>
      </c>
      <c r="Q35" s="4" t="str">
        <f>IF(Data_Set_2[[#This Row],[valor_bruto]]&lt;$W$14,"OUTLIER-","")</f>
        <v/>
      </c>
      <c r="R35" s="4"/>
      <c r="S35" s="4"/>
      <c r="AB35" t="str">
        <v>RES-100033</v>
      </c>
      <c r="AC35">
        <v>45722</v>
      </c>
      <c r="AD35">
        <v>0.82708333333333328</v>
      </c>
      <c r="AE35" t="str">
        <v>Poblado</v>
      </c>
      <c r="AF35" t="str">
        <v>Mesa</v>
      </c>
      <c r="AG35" t="str">
        <v>Vegano</v>
      </c>
      <c r="AH35">
        <v>4</v>
      </c>
      <c r="AI35">
        <v>31138.48</v>
      </c>
      <c r="AJ35">
        <v>7447.1</v>
      </c>
      <c r="AK35">
        <v>26</v>
      </c>
      <c r="AL35">
        <v>43</v>
      </c>
      <c r="AM35" t="str">
        <v>Tarjeta</v>
      </c>
      <c r="AN35" t="str">
        <v>Entregada</v>
      </c>
      <c r="AO35">
        <v>3</v>
      </c>
    </row>
    <row r="36" spans="1:41" x14ac:dyDescent="0.3">
      <c r="A36" t="s">
        <v>66</v>
      </c>
      <c r="B36" s="8">
        <v>45723</v>
      </c>
      <c r="C36" s="2">
        <v>0.87361111111111112</v>
      </c>
      <c r="D36" t="s">
        <v>27</v>
      </c>
      <c r="E36" t="s">
        <v>22</v>
      </c>
      <c r="F36" t="s">
        <v>36</v>
      </c>
      <c r="G36">
        <v>4</v>
      </c>
      <c r="H36" s="6">
        <v>37945.21</v>
      </c>
      <c r="I36" s="6">
        <v>5334.97</v>
      </c>
      <c r="J36">
        <v>29</v>
      </c>
      <c r="K36">
        <v>30</v>
      </c>
      <c r="L36" t="s">
        <v>24</v>
      </c>
      <c r="M36" t="s">
        <v>25</v>
      </c>
      <c r="N36">
        <v>4</v>
      </c>
      <c r="O36" s="4"/>
      <c r="P36" s="4" t="str">
        <f>IF(Data_Set_2[[#This Row],[valor_bruto]]&gt;$W$13,"OUTLIER+","")</f>
        <v/>
      </c>
      <c r="Q36" s="4" t="str">
        <f>IF(Data_Set_2[[#This Row],[valor_bruto]]&lt;$W$14,"OUTLIER-","")</f>
        <v/>
      </c>
      <c r="R36" s="4"/>
      <c r="S36" s="4"/>
      <c r="AB36" t="str">
        <v>RES-100034</v>
      </c>
      <c r="AC36">
        <v>45723</v>
      </c>
      <c r="AD36">
        <v>0.87361111111111112</v>
      </c>
      <c r="AE36" t="str">
        <v>Centro</v>
      </c>
      <c r="AF36" t="str">
        <v>Domicilio</v>
      </c>
      <c r="AG36" t="str">
        <v>Bebidas</v>
      </c>
      <c r="AH36">
        <v>4</v>
      </c>
      <c r="AI36">
        <v>37945.21</v>
      </c>
      <c r="AJ36">
        <v>5334.97</v>
      </c>
      <c r="AK36">
        <v>29</v>
      </c>
      <c r="AL36">
        <v>30</v>
      </c>
      <c r="AM36" t="str">
        <v>Efectivo</v>
      </c>
      <c r="AN36" t="str">
        <v>Cancelada</v>
      </c>
      <c r="AO36">
        <v>4</v>
      </c>
    </row>
    <row r="37" spans="1:41" x14ac:dyDescent="0.3">
      <c r="A37" t="s">
        <v>67</v>
      </c>
      <c r="B37" s="8">
        <v>45872</v>
      </c>
      <c r="C37" s="2">
        <v>0.87847222222222221</v>
      </c>
      <c r="D37" t="s">
        <v>33</v>
      </c>
      <c r="E37" t="s">
        <v>28</v>
      </c>
      <c r="F37" t="s">
        <v>17</v>
      </c>
      <c r="G37">
        <v>3</v>
      </c>
      <c r="H37" s="6">
        <v>51315.57</v>
      </c>
      <c r="I37" s="6">
        <v>7990.14</v>
      </c>
      <c r="J37">
        <v>30</v>
      </c>
      <c r="K37">
        <v>45</v>
      </c>
      <c r="L37" t="s">
        <v>30</v>
      </c>
      <c r="M37" t="s">
        <v>31</v>
      </c>
      <c r="N37">
        <v>5</v>
      </c>
      <c r="O37" s="4"/>
      <c r="P37" s="4" t="str">
        <f>IF(Data_Set_2[[#This Row],[valor_bruto]]&gt;$W$13,"OUTLIER+","")</f>
        <v/>
      </c>
      <c r="Q37" s="4" t="str">
        <f>IF(Data_Set_2[[#This Row],[valor_bruto]]&lt;$W$14,"OUTLIER-","")</f>
        <v/>
      </c>
      <c r="R37" s="4"/>
      <c r="S37" s="4"/>
      <c r="AB37" t="str">
        <v>RES-100035</v>
      </c>
      <c r="AC37">
        <v>45872</v>
      </c>
      <c r="AD37">
        <v>0.87847222222222221</v>
      </c>
      <c r="AE37" t="str">
        <v>Envigado</v>
      </c>
      <c r="AF37" t="str">
        <v>Recoge</v>
      </c>
      <c r="AG37" t="str">
        <v>Comida rapida</v>
      </c>
      <c r="AH37">
        <v>3</v>
      </c>
      <c r="AI37">
        <v>51315.57</v>
      </c>
      <c r="AJ37">
        <v>7990.14</v>
      </c>
      <c r="AK37">
        <v>30</v>
      </c>
      <c r="AL37">
        <v>45</v>
      </c>
      <c r="AM37" t="str">
        <v>App</v>
      </c>
      <c r="AN37" t="str">
        <v>Reembolsada</v>
      </c>
      <c r="AO37">
        <v>5</v>
      </c>
    </row>
    <row r="38" spans="1:41" x14ac:dyDescent="0.3">
      <c r="A38" t="s">
        <v>68</v>
      </c>
      <c r="B38" s="8">
        <v>45725</v>
      </c>
      <c r="C38" s="2">
        <v>0.42499999999999999</v>
      </c>
      <c r="D38" t="s">
        <v>15</v>
      </c>
      <c r="E38" t="s">
        <v>16</v>
      </c>
      <c r="F38" t="s">
        <v>23</v>
      </c>
      <c r="G38">
        <v>4</v>
      </c>
      <c r="H38" s="6">
        <v>54998.64</v>
      </c>
      <c r="I38" s="6">
        <v>5828.73</v>
      </c>
      <c r="J38">
        <v>22</v>
      </c>
      <c r="K38">
        <v>45</v>
      </c>
      <c r="L38" t="s">
        <v>18</v>
      </c>
      <c r="M38" t="s">
        <v>19</v>
      </c>
      <c r="N38">
        <v>3</v>
      </c>
      <c r="O38" s="4"/>
      <c r="P38" s="4" t="str">
        <f>IF(Data_Set_2[[#This Row],[valor_bruto]]&gt;$W$13,"OUTLIER+","")</f>
        <v/>
      </c>
      <c r="Q38" s="4" t="str">
        <f>IF(Data_Set_2[[#This Row],[valor_bruto]]&lt;$W$14,"OUTLIER-","")</f>
        <v/>
      </c>
      <c r="R38" s="4"/>
      <c r="S38" s="4"/>
      <c r="AB38" t="str">
        <v>RES-100036</v>
      </c>
      <c r="AC38">
        <v>45725</v>
      </c>
      <c r="AD38">
        <v>0.42499999999999999</v>
      </c>
      <c r="AE38" t="str">
        <v>Laureles</v>
      </c>
      <c r="AF38" t="str">
        <v>Mesa</v>
      </c>
      <c r="AG38" t="str">
        <v>Pasta</v>
      </c>
      <c r="AH38">
        <v>4</v>
      </c>
      <c r="AI38">
        <v>54998.64</v>
      </c>
      <c r="AJ38">
        <v>5828.73</v>
      </c>
      <c r="AK38">
        <v>22</v>
      </c>
      <c r="AL38">
        <v>45</v>
      </c>
      <c r="AM38" t="str">
        <v>Tarjeta</v>
      </c>
      <c r="AN38" t="str">
        <v>Entregada</v>
      </c>
      <c r="AO38">
        <v>3</v>
      </c>
    </row>
    <row r="39" spans="1:41" x14ac:dyDescent="0.3">
      <c r="A39" t="s">
        <v>69</v>
      </c>
      <c r="B39" s="8">
        <v>45726</v>
      </c>
      <c r="C39" s="2">
        <v>0.47152777777777777</v>
      </c>
      <c r="D39" t="s">
        <v>21</v>
      </c>
      <c r="E39" t="s">
        <v>22</v>
      </c>
      <c r="F39" t="s">
        <v>29</v>
      </c>
      <c r="G39">
        <v>6</v>
      </c>
      <c r="H39" s="6">
        <v>36105.870000000003</v>
      </c>
      <c r="I39" s="6">
        <v>7143.24</v>
      </c>
      <c r="J39">
        <v>20</v>
      </c>
      <c r="K39">
        <v>34</v>
      </c>
      <c r="L39" t="s">
        <v>24</v>
      </c>
      <c r="M39" t="s">
        <v>25</v>
      </c>
      <c r="N39">
        <v>4</v>
      </c>
      <c r="O39" s="4"/>
      <c r="P39" s="4" t="str">
        <f>IF(Data_Set_2[[#This Row],[valor_bruto]]&gt;$W$13,"OUTLIER+","")</f>
        <v/>
      </c>
      <c r="Q39" s="4" t="str">
        <f>IF(Data_Set_2[[#This Row],[valor_bruto]]&lt;$W$14,"OUTLIER-","")</f>
        <v/>
      </c>
      <c r="R39" s="4"/>
      <c r="S39" s="4"/>
      <c r="AB39" t="str">
        <v>RES-100037</v>
      </c>
      <c r="AC39">
        <v>45726</v>
      </c>
      <c r="AD39">
        <v>0.47152777777777777</v>
      </c>
      <c r="AE39" t="str">
        <v>Poblado</v>
      </c>
      <c r="AF39" t="str">
        <v>Domicilio</v>
      </c>
      <c r="AG39" t="str">
        <v>Parrilla</v>
      </c>
      <c r="AH39">
        <v>6</v>
      </c>
      <c r="AI39">
        <v>36105.870000000003</v>
      </c>
      <c r="AJ39">
        <v>7143.24</v>
      </c>
      <c r="AK39">
        <v>20</v>
      </c>
      <c r="AL39">
        <v>34</v>
      </c>
      <c r="AM39" t="str">
        <v>Efectivo</v>
      </c>
      <c r="AN39" t="str">
        <v>Cancelada</v>
      </c>
      <c r="AO39">
        <v>4</v>
      </c>
    </row>
    <row r="40" spans="1:41" x14ac:dyDescent="0.3">
      <c r="A40" t="s">
        <v>70</v>
      </c>
      <c r="B40" s="8">
        <v>45964</v>
      </c>
      <c r="C40" s="2">
        <v>0.5180555555555556</v>
      </c>
      <c r="D40" t="s">
        <v>27</v>
      </c>
      <c r="E40" t="s">
        <v>28</v>
      </c>
      <c r="F40" t="s">
        <v>34</v>
      </c>
      <c r="G40">
        <v>5</v>
      </c>
      <c r="H40" s="6">
        <v>63069.68</v>
      </c>
      <c r="I40" s="6">
        <v>7747.42</v>
      </c>
      <c r="J40">
        <v>14</v>
      </c>
      <c r="K40">
        <v>26</v>
      </c>
      <c r="L40" t="s">
        <v>30</v>
      </c>
      <c r="M40" t="s">
        <v>31</v>
      </c>
      <c r="N40">
        <v>5</v>
      </c>
      <c r="O40" s="4"/>
      <c r="P40" s="4" t="str">
        <f>IF(Data_Set_2[[#This Row],[valor_bruto]]&gt;$W$13,"OUTLIER+","")</f>
        <v/>
      </c>
      <c r="Q40" s="4" t="str">
        <f>IF(Data_Set_2[[#This Row],[valor_bruto]]&lt;$W$14,"OUTLIER-","")</f>
        <v/>
      </c>
      <c r="R40" s="4"/>
      <c r="S40" s="4"/>
      <c r="AB40" t="str">
        <v>RES-100038</v>
      </c>
      <c r="AC40">
        <v>45964</v>
      </c>
      <c r="AD40">
        <v>0.5180555555555556</v>
      </c>
      <c r="AE40" t="str">
        <v>Centro</v>
      </c>
      <c r="AF40" t="str">
        <v>Recoge</v>
      </c>
      <c r="AG40" t="str">
        <v>Vegano</v>
      </c>
      <c r="AH40">
        <v>5</v>
      </c>
      <c r="AI40">
        <v>63069.68</v>
      </c>
      <c r="AJ40">
        <v>7747.42</v>
      </c>
      <c r="AK40">
        <v>14</v>
      </c>
      <c r="AL40">
        <v>26</v>
      </c>
      <c r="AM40" t="str">
        <v>App</v>
      </c>
      <c r="AN40" t="str">
        <v>Reembolsada</v>
      </c>
      <c r="AO40">
        <v>5</v>
      </c>
    </row>
    <row r="41" spans="1:41" x14ac:dyDescent="0.3">
      <c r="A41" t="s">
        <v>71</v>
      </c>
      <c r="B41" s="8">
        <v>45728</v>
      </c>
      <c r="C41" s="2">
        <v>0.56458333333333333</v>
      </c>
      <c r="D41" t="s">
        <v>33</v>
      </c>
      <c r="E41" t="s">
        <v>16</v>
      </c>
      <c r="F41" t="s">
        <v>36</v>
      </c>
      <c r="G41">
        <v>3</v>
      </c>
      <c r="H41" s="6">
        <v>63651.07</v>
      </c>
      <c r="I41" s="6">
        <v>8086.99</v>
      </c>
      <c r="J41">
        <v>18</v>
      </c>
      <c r="K41">
        <v>37</v>
      </c>
      <c r="L41" t="s">
        <v>18</v>
      </c>
      <c r="M41" t="s">
        <v>19</v>
      </c>
      <c r="N41">
        <v>5</v>
      </c>
      <c r="O41" s="4"/>
      <c r="P41" s="4" t="str">
        <f>IF(Data_Set_2[[#This Row],[valor_bruto]]&gt;$W$13,"OUTLIER+","")</f>
        <v/>
      </c>
      <c r="Q41" s="4" t="str">
        <f>IF(Data_Set_2[[#This Row],[valor_bruto]]&lt;$W$14,"OUTLIER-","")</f>
        <v/>
      </c>
      <c r="R41" s="4"/>
      <c r="S41" s="4"/>
      <c r="AB41" t="str">
        <v>RES-100039</v>
      </c>
      <c r="AC41">
        <v>45728</v>
      </c>
      <c r="AD41">
        <v>0.56458333333333333</v>
      </c>
      <c r="AE41" t="str">
        <v>Envigado</v>
      </c>
      <c r="AF41" t="str">
        <v>Mesa</v>
      </c>
      <c r="AG41" t="str">
        <v>Bebidas</v>
      </c>
      <c r="AH41">
        <v>3</v>
      </c>
      <c r="AI41">
        <v>63651.07</v>
      </c>
      <c r="AJ41">
        <v>8086.99</v>
      </c>
      <c r="AK41">
        <v>18</v>
      </c>
      <c r="AL41">
        <v>37</v>
      </c>
      <c r="AM41" t="str">
        <v>Tarjeta</v>
      </c>
      <c r="AN41" t="str">
        <v>Entregada</v>
      </c>
      <c r="AO41">
        <v>5</v>
      </c>
    </row>
    <row r="42" spans="1:41" x14ac:dyDescent="0.3">
      <c r="A42" t="s">
        <v>72</v>
      </c>
      <c r="B42" s="8">
        <v>45729</v>
      </c>
      <c r="C42" s="2">
        <v>0.61111111111111116</v>
      </c>
      <c r="D42" t="s">
        <v>15</v>
      </c>
      <c r="E42" t="s">
        <v>22</v>
      </c>
      <c r="F42" t="s">
        <v>17</v>
      </c>
      <c r="G42">
        <v>6</v>
      </c>
      <c r="H42" s="6">
        <v>67873.27</v>
      </c>
      <c r="I42" s="6">
        <v>2650.88</v>
      </c>
      <c r="J42">
        <v>31</v>
      </c>
      <c r="K42">
        <v>47</v>
      </c>
      <c r="L42" t="s">
        <v>24</v>
      </c>
      <c r="M42" t="s">
        <v>25</v>
      </c>
      <c r="N42">
        <v>4</v>
      </c>
      <c r="O42" s="4"/>
      <c r="P42" s="4" t="str">
        <f>IF(Data_Set_2[[#This Row],[valor_bruto]]&gt;$W$13,"OUTLIER+","")</f>
        <v/>
      </c>
      <c r="Q42" s="4" t="str">
        <f>IF(Data_Set_2[[#This Row],[valor_bruto]]&lt;$W$14,"OUTLIER-","")</f>
        <v/>
      </c>
      <c r="R42" s="4"/>
      <c r="S42" s="4"/>
      <c r="AB42" t="str">
        <v>RES-100040</v>
      </c>
      <c r="AC42">
        <v>45729</v>
      </c>
      <c r="AD42">
        <v>0.61111111111111116</v>
      </c>
      <c r="AE42" t="str">
        <v>Laureles</v>
      </c>
      <c r="AF42" t="str">
        <v>Domicilio</v>
      </c>
      <c r="AG42" t="str">
        <v>Comida rapida</v>
      </c>
      <c r="AH42">
        <v>6</v>
      </c>
      <c r="AI42">
        <v>67873.27</v>
      </c>
      <c r="AJ42">
        <v>2650.88</v>
      </c>
      <c r="AK42">
        <v>31</v>
      </c>
      <c r="AL42">
        <v>47</v>
      </c>
      <c r="AM42" t="str">
        <v>Efectivo</v>
      </c>
      <c r="AN42" t="str">
        <v>Cancelada</v>
      </c>
      <c r="AO42">
        <v>4</v>
      </c>
    </row>
    <row r="43" spans="1:41" x14ac:dyDescent="0.3">
      <c r="A43" t="s">
        <v>73</v>
      </c>
      <c r="B43" s="8">
        <v>45730</v>
      </c>
      <c r="C43" s="2">
        <v>0.65763888888888888</v>
      </c>
      <c r="D43" t="s">
        <v>21</v>
      </c>
      <c r="E43" t="s">
        <v>28</v>
      </c>
      <c r="F43" t="s">
        <v>23</v>
      </c>
      <c r="G43">
        <v>2</v>
      </c>
      <c r="H43" s="6">
        <v>53435.14</v>
      </c>
      <c r="I43" s="6">
        <v>3072.54</v>
      </c>
      <c r="J43">
        <v>31</v>
      </c>
      <c r="K43">
        <v>42</v>
      </c>
      <c r="L43" t="s">
        <v>30</v>
      </c>
      <c r="M43" t="s">
        <v>31</v>
      </c>
      <c r="N43">
        <v>4</v>
      </c>
      <c r="O43" s="4"/>
      <c r="P43" s="4" t="str">
        <f>IF(Data_Set_2[[#This Row],[valor_bruto]]&gt;$W$13,"OUTLIER+","")</f>
        <v/>
      </c>
      <c r="Q43" s="4" t="str">
        <f>IF(Data_Set_2[[#This Row],[valor_bruto]]&lt;$W$14,"OUTLIER-","")</f>
        <v/>
      </c>
      <c r="R43" s="4"/>
      <c r="S43" s="4"/>
      <c r="AB43" t="str">
        <v>RES-100041</v>
      </c>
      <c r="AC43">
        <v>45730</v>
      </c>
      <c r="AD43">
        <v>0.65763888888888888</v>
      </c>
      <c r="AE43" t="str">
        <v>Poblado</v>
      </c>
      <c r="AF43" t="str">
        <v>Recoge</v>
      </c>
      <c r="AG43" t="str">
        <v>Pasta</v>
      </c>
      <c r="AH43">
        <v>2</v>
      </c>
      <c r="AI43">
        <v>53435.14</v>
      </c>
      <c r="AJ43">
        <v>3072.54</v>
      </c>
      <c r="AK43">
        <v>31</v>
      </c>
      <c r="AL43">
        <v>42</v>
      </c>
      <c r="AM43" t="str">
        <v>App</v>
      </c>
      <c r="AN43" t="str">
        <v>Reembolsada</v>
      </c>
      <c r="AO43">
        <v>4</v>
      </c>
    </row>
    <row r="44" spans="1:41" x14ac:dyDescent="0.3">
      <c r="A44" t="s">
        <v>74</v>
      </c>
      <c r="B44" s="8">
        <v>45731</v>
      </c>
      <c r="C44" s="2">
        <v>0.70416666666666672</v>
      </c>
      <c r="D44" t="s">
        <v>27</v>
      </c>
      <c r="E44" t="s">
        <v>16</v>
      </c>
      <c r="F44" t="s">
        <v>29</v>
      </c>
      <c r="G44">
        <v>3</v>
      </c>
      <c r="H44" s="6">
        <v>52492.69</v>
      </c>
      <c r="I44" s="6">
        <v>5608.03</v>
      </c>
      <c r="J44">
        <v>27</v>
      </c>
      <c r="K44">
        <v>43</v>
      </c>
      <c r="L44" t="s">
        <v>18</v>
      </c>
      <c r="M44" t="s">
        <v>19</v>
      </c>
      <c r="N44">
        <v>5</v>
      </c>
      <c r="O44" s="4"/>
      <c r="P44" s="4" t="str">
        <f>IF(Data_Set_2[[#This Row],[valor_bruto]]&gt;$W$13,"OUTLIER+","")</f>
        <v/>
      </c>
      <c r="Q44" s="4" t="str">
        <f>IF(Data_Set_2[[#This Row],[valor_bruto]]&lt;$W$14,"OUTLIER-","")</f>
        <v/>
      </c>
      <c r="R44" s="4"/>
      <c r="S44" s="4"/>
      <c r="AB44" t="str">
        <v>RES-100042</v>
      </c>
      <c r="AC44">
        <v>45731</v>
      </c>
      <c r="AD44">
        <v>0.70416666666666672</v>
      </c>
      <c r="AE44" t="str">
        <v>Centro</v>
      </c>
      <c r="AF44" t="str">
        <v>Mesa</v>
      </c>
      <c r="AG44" t="str">
        <v>Parrilla</v>
      </c>
      <c r="AH44">
        <v>3</v>
      </c>
      <c r="AI44">
        <v>52492.69</v>
      </c>
      <c r="AJ44">
        <v>5608.03</v>
      </c>
      <c r="AK44">
        <v>27</v>
      </c>
      <c r="AL44">
        <v>43</v>
      </c>
      <c r="AM44" t="str">
        <v>Tarjeta</v>
      </c>
      <c r="AN44" t="str">
        <v>Entregada</v>
      </c>
      <c r="AO44">
        <v>5</v>
      </c>
    </row>
    <row r="45" spans="1:41" x14ac:dyDescent="0.3">
      <c r="A45" t="s">
        <v>75</v>
      </c>
      <c r="B45" s="8">
        <v>45732</v>
      </c>
      <c r="C45" s="2">
        <v>0.70902777777777781</v>
      </c>
      <c r="D45" t="s">
        <v>33</v>
      </c>
      <c r="E45" t="s">
        <v>22</v>
      </c>
      <c r="F45" t="s">
        <v>34</v>
      </c>
      <c r="G45">
        <v>6</v>
      </c>
      <c r="H45" s="6">
        <v>31285</v>
      </c>
      <c r="I45" s="6">
        <v>3739.86</v>
      </c>
      <c r="J45">
        <v>13</v>
      </c>
      <c r="K45">
        <v>53</v>
      </c>
      <c r="L45" t="s">
        <v>24</v>
      </c>
      <c r="M45" t="s">
        <v>25</v>
      </c>
      <c r="N45">
        <v>4</v>
      </c>
      <c r="O45" s="4"/>
      <c r="P45" s="4" t="str">
        <f>IF(Data_Set_2[[#This Row],[valor_bruto]]&gt;$W$13,"OUTLIER+","")</f>
        <v/>
      </c>
      <c r="Q45" s="4" t="str">
        <f>IF(Data_Set_2[[#This Row],[valor_bruto]]&lt;$W$14,"OUTLIER-","")</f>
        <v/>
      </c>
      <c r="R45" s="4"/>
      <c r="S45" s="4"/>
      <c r="AB45" t="str">
        <v>RES-100043</v>
      </c>
      <c r="AC45">
        <v>45732</v>
      </c>
      <c r="AD45">
        <v>0.70902777777777781</v>
      </c>
      <c r="AE45" t="str">
        <v>Envigado</v>
      </c>
      <c r="AF45" t="str">
        <v>Domicilio</v>
      </c>
      <c r="AG45" t="str">
        <v>Vegano</v>
      </c>
      <c r="AH45">
        <v>6</v>
      </c>
      <c r="AI45">
        <v>31285</v>
      </c>
      <c r="AJ45">
        <v>3739.86</v>
      </c>
      <c r="AK45">
        <v>13</v>
      </c>
      <c r="AL45">
        <v>53</v>
      </c>
      <c r="AM45" t="str">
        <v>Efectivo</v>
      </c>
      <c r="AN45" t="str">
        <v>Cancelada</v>
      </c>
      <c r="AO45">
        <v>4</v>
      </c>
    </row>
    <row r="46" spans="1:41" x14ac:dyDescent="0.3">
      <c r="A46" t="s">
        <v>76</v>
      </c>
      <c r="B46" s="8">
        <v>45733</v>
      </c>
      <c r="C46" s="2">
        <v>0.75555555555555554</v>
      </c>
      <c r="D46" t="s">
        <v>15</v>
      </c>
      <c r="E46" t="s">
        <v>28</v>
      </c>
      <c r="F46" t="s">
        <v>36</v>
      </c>
      <c r="G46">
        <v>6</v>
      </c>
      <c r="H46" s="6">
        <v>35161.03</v>
      </c>
      <c r="I46" s="6">
        <v>3807.32</v>
      </c>
      <c r="J46">
        <v>30</v>
      </c>
      <c r="K46">
        <v>23</v>
      </c>
      <c r="L46" t="s">
        <v>30</v>
      </c>
      <c r="M46" t="s">
        <v>31</v>
      </c>
      <c r="N46">
        <v>4</v>
      </c>
      <c r="O46" s="4"/>
      <c r="P46" s="4" t="str">
        <f>IF(Data_Set_2[[#This Row],[valor_bruto]]&gt;$W$13,"OUTLIER+","")</f>
        <v/>
      </c>
      <c r="Q46" s="4" t="str">
        <f>IF(Data_Set_2[[#This Row],[valor_bruto]]&lt;$W$14,"OUTLIER-","")</f>
        <v/>
      </c>
      <c r="R46" s="4"/>
      <c r="S46" s="4"/>
      <c r="AB46" t="str">
        <v>RES-100044</v>
      </c>
      <c r="AC46">
        <v>45733</v>
      </c>
      <c r="AD46">
        <v>0.75555555555555554</v>
      </c>
      <c r="AE46" t="str">
        <v>Laureles</v>
      </c>
      <c r="AF46" t="str">
        <v>Recoge</v>
      </c>
      <c r="AG46" t="str">
        <v>Bebidas</v>
      </c>
      <c r="AH46">
        <v>6</v>
      </c>
      <c r="AI46">
        <v>35161.03</v>
      </c>
      <c r="AJ46">
        <v>3807.32</v>
      </c>
      <c r="AK46">
        <v>30</v>
      </c>
      <c r="AL46">
        <v>23</v>
      </c>
      <c r="AM46" t="str">
        <v>App</v>
      </c>
      <c r="AN46" t="str">
        <v>Reembolsada</v>
      </c>
      <c r="AO46">
        <v>4</v>
      </c>
    </row>
    <row r="47" spans="1:41" x14ac:dyDescent="0.3">
      <c r="A47" t="s">
        <v>77</v>
      </c>
      <c r="B47" s="8">
        <v>45734</v>
      </c>
      <c r="C47" s="2">
        <v>0.80208333333333337</v>
      </c>
      <c r="D47" t="s">
        <v>21</v>
      </c>
      <c r="E47" t="s">
        <v>16</v>
      </c>
      <c r="F47" t="s">
        <v>17</v>
      </c>
      <c r="G47">
        <v>4</v>
      </c>
      <c r="H47" s="6">
        <v>61767.07</v>
      </c>
      <c r="I47" s="6">
        <v>1142.3</v>
      </c>
      <c r="J47">
        <v>20</v>
      </c>
      <c r="K47">
        <v>43</v>
      </c>
      <c r="L47" t="s">
        <v>18</v>
      </c>
      <c r="M47" t="s">
        <v>19</v>
      </c>
      <c r="N47">
        <v>4</v>
      </c>
      <c r="O47" s="4"/>
      <c r="P47" s="4" t="str">
        <f>IF(Data_Set_2[[#This Row],[valor_bruto]]&gt;$W$13,"OUTLIER+","")</f>
        <v/>
      </c>
      <c r="Q47" s="4" t="str">
        <f>IF(Data_Set_2[[#This Row],[valor_bruto]]&lt;$W$14,"OUTLIER-","")</f>
        <v/>
      </c>
      <c r="R47" s="4"/>
      <c r="S47" s="4"/>
      <c r="AB47" t="str">
        <v>RES-100045</v>
      </c>
      <c r="AC47">
        <v>45734</v>
      </c>
      <c r="AD47">
        <v>0.80208333333333337</v>
      </c>
      <c r="AE47" t="str">
        <v>Poblado</v>
      </c>
      <c r="AF47" t="str">
        <v>Mesa</v>
      </c>
      <c r="AG47" t="str">
        <v>Comida rapida</v>
      </c>
      <c r="AH47">
        <v>4</v>
      </c>
      <c r="AI47">
        <v>61767.07</v>
      </c>
      <c r="AJ47">
        <v>1142.3</v>
      </c>
      <c r="AK47">
        <v>20</v>
      </c>
      <c r="AL47">
        <v>43</v>
      </c>
      <c r="AM47" t="str">
        <v>Tarjeta</v>
      </c>
      <c r="AN47" t="str">
        <v>Entregada</v>
      </c>
      <c r="AO47">
        <v>4</v>
      </c>
    </row>
    <row r="48" spans="1:41" x14ac:dyDescent="0.3">
      <c r="A48" t="s">
        <v>78</v>
      </c>
      <c r="B48" s="8">
        <v>45735</v>
      </c>
      <c r="C48" s="2">
        <v>0.84861111111111109</v>
      </c>
      <c r="D48" t="s">
        <v>27</v>
      </c>
      <c r="E48" t="s">
        <v>22</v>
      </c>
      <c r="F48" t="s">
        <v>23</v>
      </c>
      <c r="G48">
        <v>2</v>
      </c>
      <c r="H48" s="6">
        <v>61707.519999999997</v>
      </c>
      <c r="I48" s="6">
        <v>2387.71</v>
      </c>
      <c r="J48">
        <v>31</v>
      </c>
      <c r="K48">
        <v>26</v>
      </c>
      <c r="L48" t="s">
        <v>24</v>
      </c>
      <c r="M48" t="s">
        <v>25</v>
      </c>
      <c r="N48">
        <v>5</v>
      </c>
      <c r="O48" s="4"/>
      <c r="P48" s="4" t="str">
        <f>IF(Data_Set_2[[#This Row],[valor_bruto]]&gt;$W$13,"OUTLIER+","")</f>
        <v/>
      </c>
      <c r="Q48" s="4" t="str">
        <f>IF(Data_Set_2[[#This Row],[valor_bruto]]&lt;$W$14,"OUTLIER-","")</f>
        <v/>
      </c>
      <c r="R48" s="4"/>
      <c r="S48" s="4"/>
      <c r="AB48" t="str">
        <v>RES-100046</v>
      </c>
      <c r="AC48">
        <v>45735</v>
      </c>
      <c r="AD48">
        <v>0.84861111111111109</v>
      </c>
      <c r="AE48" t="str">
        <v>Centro</v>
      </c>
      <c r="AF48" t="str">
        <v>Domicilio</v>
      </c>
      <c r="AG48" t="str">
        <v>Pasta</v>
      </c>
      <c r="AH48">
        <v>2</v>
      </c>
      <c r="AI48">
        <v>61707.519999999997</v>
      </c>
      <c r="AJ48">
        <v>2387.71</v>
      </c>
      <c r="AK48">
        <v>31</v>
      </c>
      <c r="AL48">
        <v>26</v>
      </c>
      <c r="AM48" t="str">
        <v>Efectivo</v>
      </c>
      <c r="AN48" t="str">
        <v>Cancelada</v>
      </c>
      <c r="AO48">
        <v>5</v>
      </c>
    </row>
    <row r="49" spans="1:41" x14ac:dyDescent="0.3">
      <c r="A49" t="s">
        <v>79</v>
      </c>
      <c r="B49" s="8">
        <v>45736</v>
      </c>
      <c r="C49" s="2">
        <v>0.89513888888888893</v>
      </c>
      <c r="D49" t="s">
        <v>33</v>
      </c>
      <c r="E49" t="s">
        <v>28</v>
      </c>
      <c r="F49" t="s">
        <v>29</v>
      </c>
      <c r="G49">
        <v>5</v>
      </c>
      <c r="H49" s="6">
        <v>41129.29</v>
      </c>
      <c r="I49" s="6">
        <v>5269.39</v>
      </c>
      <c r="J49">
        <v>25</v>
      </c>
      <c r="K49">
        <v>46</v>
      </c>
      <c r="L49" t="s">
        <v>30</v>
      </c>
      <c r="M49" t="s">
        <v>31</v>
      </c>
      <c r="N49">
        <v>3</v>
      </c>
      <c r="O49" s="4"/>
      <c r="P49" s="4" t="str">
        <f>IF(Data_Set_2[[#This Row],[valor_bruto]]&gt;$W$13,"OUTLIER+","")</f>
        <v/>
      </c>
      <c r="Q49" s="4" t="str">
        <f>IF(Data_Set_2[[#This Row],[valor_bruto]]&lt;$W$14,"OUTLIER-","")</f>
        <v/>
      </c>
      <c r="R49" s="4"/>
      <c r="S49" s="4"/>
      <c r="AB49" t="str">
        <v>RES-100047</v>
      </c>
      <c r="AC49">
        <v>45736</v>
      </c>
      <c r="AD49">
        <v>0.89513888888888893</v>
      </c>
      <c r="AE49" t="str">
        <v>Envigado</v>
      </c>
      <c r="AF49" t="str">
        <v>Recoge</v>
      </c>
      <c r="AG49" t="str">
        <v>Parrilla</v>
      </c>
      <c r="AH49">
        <v>5</v>
      </c>
      <c r="AI49">
        <v>41129.29</v>
      </c>
      <c r="AJ49">
        <v>5269.39</v>
      </c>
      <c r="AK49">
        <v>25</v>
      </c>
      <c r="AL49">
        <v>46</v>
      </c>
      <c r="AM49" t="str">
        <v>App</v>
      </c>
      <c r="AN49" t="str">
        <v>Reembolsada</v>
      </c>
      <c r="AO49">
        <v>3</v>
      </c>
    </row>
    <row r="50" spans="1:41" x14ac:dyDescent="0.3">
      <c r="A50" t="s">
        <v>80</v>
      </c>
      <c r="B50" s="8">
        <v>45737</v>
      </c>
      <c r="C50" s="2">
        <v>0.44166666666666665</v>
      </c>
      <c r="D50" t="s">
        <v>15</v>
      </c>
      <c r="E50" t="s">
        <v>16</v>
      </c>
      <c r="F50" t="s">
        <v>34</v>
      </c>
      <c r="G50">
        <v>6</v>
      </c>
      <c r="H50" s="6">
        <v>63657.58</v>
      </c>
      <c r="I50" s="6">
        <v>5478.48</v>
      </c>
      <c r="J50">
        <v>24</v>
      </c>
      <c r="K50">
        <v>53</v>
      </c>
      <c r="L50" t="s">
        <v>18</v>
      </c>
      <c r="M50" t="s">
        <v>19</v>
      </c>
      <c r="N50">
        <v>4</v>
      </c>
      <c r="O50" s="4"/>
      <c r="P50" s="4" t="str">
        <f>IF(Data_Set_2[[#This Row],[valor_bruto]]&gt;$W$13,"OUTLIER+","")</f>
        <v/>
      </c>
      <c r="Q50" s="4" t="str">
        <f>IF(Data_Set_2[[#This Row],[valor_bruto]]&lt;$W$14,"OUTLIER-","")</f>
        <v/>
      </c>
      <c r="R50" s="4"/>
      <c r="S50" s="4"/>
      <c r="AB50" t="str">
        <v>RES-100048</v>
      </c>
      <c r="AC50">
        <v>45737</v>
      </c>
      <c r="AD50">
        <v>0.44166666666666665</v>
      </c>
      <c r="AE50" t="str">
        <v>Laureles</v>
      </c>
      <c r="AF50" t="str">
        <v>Mesa</v>
      </c>
      <c r="AG50" t="str">
        <v>Vegano</v>
      </c>
      <c r="AH50">
        <v>6</v>
      </c>
      <c r="AI50">
        <v>63657.58</v>
      </c>
      <c r="AJ50">
        <v>5478.48</v>
      </c>
      <c r="AK50">
        <v>24</v>
      </c>
      <c r="AL50">
        <v>53</v>
      </c>
      <c r="AM50" t="str">
        <v>Tarjeta</v>
      </c>
      <c r="AN50" t="str">
        <v>Entregada</v>
      </c>
      <c r="AO50">
        <v>4</v>
      </c>
    </row>
    <row r="51" spans="1:41" x14ac:dyDescent="0.3">
      <c r="A51" t="s">
        <v>81</v>
      </c>
      <c r="B51" s="8">
        <v>45738</v>
      </c>
      <c r="C51" s="2">
        <v>0.48819444444444443</v>
      </c>
      <c r="D51" t="s">
        <v>21</v>
      </c>
      <c r="E51" t="s">
        <v>22</v>
      </c>
      <c r="F51" t="s">
        <v>36</v>
      </c>
      <c r="G51">
        <v>3</v>
      </c>
      <c r="H51" s="6">
        <v>60939.98</v>
      </c>
      <c r="I51" s="6">
        <v>6297.67</v>
      </c>
      <c r="J51">
        <v>22</v>
      </c>
      <c r="K51">
        <v>44</v>
      </c>
      <c r="L51" t="s">
        <v>24</v>
      </c>
      <c r="M51" t="s">
        <v>25</v>
      </c>
      <c r="N51">
        <v>4</v>
      </c>
      <c r="O51" s="4"/>
      <c r="P51" s="4" t="str">
        <f>IF(Data_Set_2[[#This Row],[valor_bruto]]&gt;$W$13,"OUTLIER+","")</f>
        <v/>
      </c>
      <c r="Q51" s="4" t="str">
        <f>IF(Data_Set_2[[#This Row],[valor_bruto]]&lt;$W$14,"OUTLIER-","")</f>
        <v/>
      </c>
      <c r="R51" s="4"/>
      <c r="S51" s="4"/>
      <c r="AB51" t="str">
        <v>RES-100049</v>
      </c>
      <c r="AC51">
        <v>45738</v>
      </c>
      <c r="AD51">
        <v>0.48819444444444443</v>
      </c>
      <c r="AE51" t="str">
        <v>Poblado</v>
      </c>
      <c r="AF51" t="str">
        <v>Domicilio</v>
      </c>
      <c r="AG51" t="str">
        <v>Bebidas</v>
      </c>
      <c r="AH51">
        <v>3</v>
      </c>
      <c r="AI51">
        <v>60939.98</v>
      </c>
      <c r="AJ51">
        <v>6297.67</v>
      </c>
      <c r="AK51">
        <v>22</v>
      </c>
      <c r="AL51">
        <v>44</v>
      </c>
      <c r="AM51" t="str">
        <v>Efectivo</v>
      </c>
      <c r="AN51" t="str">
        <v>Cancelada</v>
      </c>
      <c r="AO51">
        <v>4</v>
      </c>
    </row>
    <row r="52" spans="1:41" x14ac:dyDescent="0.3">
      <c r="A52" t="s">
        <v>82</v>
      </c>
      <c r="B52" s="8">
        <v>45739</v>
      </c>
      <c r="C52" s="2">
        <v>0.53472222222222221</v>
      </c>
      <c r="D52" t="s">
        <v>27</v>
      </c>
      <c r="E52" t="s">
        <v>28</v>
      </c>
      <c r="F52" t="s">
        <v>17</v>
      </c>
      <c r="G52">
        <v>4</v>
      </c>
      <c r="H52" s="6">
        <v>57614.86</v>
      </c>
      <c r="I52" s="6">
        <v>5105.72</v>
      </c>
      <c r="J52">
        <v>27</v>
      </c>
      <c r="K52">
        <v>38</v>
      </c>
      <c r="L52" t="s">
        <v>30</v>
      </c>
      <c r="M52" t="s">
        <v>31</v>
      </c>
      <c r="N52">
        <v>5</v>
      </c>
      <c r="O52" s="4"/>
      <c r="P52" s="4" t="str">
        <f>IF(Data_Set_2[[#This Row],[valor_bruto]]&gt;$W$13,"OUTLIER+","")</f>
        <v/>
      </c>
      <c r="Q52" s="4" t="str">
        <f>IF(Data_Set_2[[#This Row],[valor_bruto]]&lt;$W$14,"OUTLIER-","")</f>
        <v/>
      </c>
      <c r="R52" s="4"/>
      <c r="S52" s="4"/>
      <c r="AB52" t="str">
        <v>RES-100050</v>
      </c>
      <c r="AC52">
        <v>45739</v>
      </c>
      <c r="AD52">
        <v>0.53472222222222221</v>
      </c>
      <c r="AE52" t="str">
        <v>Centro</v>
      </c>
      <c r="AF52" t="str">
        <v>Recoge</v>
      </c>
      <c r="AG52" t="str">
        <v>Comida rapida</v>
      </c>
      <c r="AH52">
        <v>4</v>
      </c>
      <c r="AI52">
        <v>57614.86</v>
      </c>
      <c r="AJ52">
        <v>5105.72</v>
      </c>
      <c r="AK52">
        <v>27</v>
      </c>
      <c r="AL52">
        <v>38</v>
      </c>
      <c r="AM52" t="str">
        <v>App</v>
      </c>
      <c r="AN52" t="str">
        <v>Reembolsada</v>
      </c>
      <c r="AO52">
        <v>5</v>
      </c>
    </row>
    <row r="53" spans="1:41" x14ac:dyDescent="0.3">
      <c r="A53" t="s">
        <v>83</v>
      </c>
      <c r="B53" s="8">
        <v>45740</v>
      </c>
      <c r="C53" s="2">
        <v>0.58125000000000004</v>
      </c>
      <c r="D53" t="s">
        <v>33</v>
      </c>
      <c r="E53" t="s">
        <v>16</v>
      </c>
      <c r="F53" t="s">
        <v>23</v>
      </c>
      <c r="G53">
        <v>5</v>
      </c>
      <c r="H53" s="6">
        <v>63011.11</v>
      </c>
      <c r="I53" s="6">
        <v>4851.34</v>
      </c>
      <c r="J53">
        <v>20</v>
      </c>
      <c r="K53">
        <v>32</v>
      </c>
      <c r="L53" t="s">
        <v>18</v>
      </c>
      <c r="M53" t="s">
        <v>19</v>
      </c>
      <c r="N53">
        <v>4</v>
      </c>
      <c r="O53" s="4"/>
      <c r="P53" s="4" t="str">
        <f>IF(Data_Set_2[[#This Row],[valor_bruto]]&gt;$W$13,"OUTLIER+","")</f>
        <v/>
      </c>
      <c r="Q53" s="4" t="str">
        <f>IF(Data_Set_2[[#This Row],[valor_bruto]]&lt;$W$14,"OUTLIER-","")</f>
        <v/>
      </c>
      <c r="R53" s="4"/>
      <c r="S53" s="4"/>
      <c r="AB53" t="str">
        <v>RES-100051</v>
      </c>
      <c r="AC53">
        <v>45740</v>
      </c>
      <c r="AD53">
        <v>0.58125000000000004</v>
      </c>
      <c r="AE53" t="str">
        <v>Envigado</v>
      </c>
      <c r="AF53" t="str">
        <v>Mesa</v>
      </c>
      <c r="AG53" t="str">
        <v>Pasta</v>
      </c>
      <c r="AH53">
        <v>5</v>
      </c>
      <c r="AI53">
        <v>63011.11</v>
      </c>
      <c r="AJ53">
        <v>4851.34</v>
      </c>
      <c r="AK53">
        <v>20</v>
      </c>
      <c r="AL53">
        <v>32</v>
      </c>
      <c r="AM53" t="str">
        <v>Tarjeta</v>
      </c>
      <c r="AN53" t="str">
        <v>Entregada</v>
      </c>
      <c r="AO53">
        <v>4</v>
      </c>
    </row>
    <row r="54" spans="1:41" x14ac:dyDescent="0.3">
      <c r="A54" t="s">
        <v>84</v>
      </c>
      <c r="B54" s="8">
        <v>45741</v>
      </c>
      <c r="C54" s="2">
        <v>0.58611111111111114</v>
      </c>
      <c r="D54" t="s">
        <v>15</v>
      </c>
      <c r="E54" t="s">
        <v>22</v>
      </c>
      <c r="F54" t="s">
        <v>29</v>
      </c>
      <c r="G54">
        <v>3</v>
      </c>
      <c r="H54" s="6">
        <v>36812.519999999997</v>
      </c>
      <c r="I54" s="6">
        <v>3952.41</v>
      </c>
      <c r="J54">
        <v>16</v>
      </c>
      <c r="K54">
        <v>24</v>
      </c>
      <c r="L54" t="s">
        <v>24</v>
      </c>
      <c r="M54" t="s">
        <v>25</v>
      </c>
      <c r="N54">
        <v>4</v>
      </c>
      <c r="O54" s="4"/>
      <c r="P54" s="4" t="str">
        <f>IF(Data_Set_2[[#This Row],[valor_bruto]]&gt;$W$13,"OUTLIER+","")</f>
        <v/>
      </c>
      <c r="Q54" s="4" t="str">
        <f>IF(Data_Set_2[[#This Row],[valor_bruto]]&lt;$W$14,"OUTLIER-","")</f>
        <v/>
      </c>
      <c r="R54" s="4"/>
      <c r="S54" s="4"/>
      <c r="AB54" t="str">
        <v>RES-100052</v>
      </c>
      <c r="AC54">
        <v>45741</v>
      </c>
      <c r="AD54">
        <v>0.58611111111111114</v>
      </c>
      <c r="AE54" t="str">
        <v>Laureles</v>
      </c>
      <c r="AF54" t="str">
        <v>Domicilio</v>
      </c>
      <c r="AG54" t="str">
        <v>Parrilla</v>
      </c>
      <c r="AH54">
        <v>3</v>
      </c>
      <c r="AI54">
        <v>36812.519999999997</v>
      </c>
      <c r="AJ54">
        <v>3952.41</v>
      </c>
      <c r="AK54">
        <v>16</v>
      </c>
      <c r="AL54">
        <v>24</v>
      </c>
      <c r="AM54" t="str">
        <v>Efectivo</v>
      </c>
      <c r="AN54" t="str">
        <v>Cancelada</v>
      </c>
      <c r="AO54">
        <v>4</v>
      </c>
    </row>
    <row r="55" spans="1:41" x14ac:dyDescent="0.3">
      <c r="A55" t="s">
        <v>85</v>
      </c>
      <c r="B55" s="8">
        <v>45742</v>
      </c>
      <c r="C55" s="2">
        <v>0.63263888888888886</v>
      </c>
      <c r="D55" t="s">
        <v>21</v>
      </c>
      <c r="E55" t="s">
        <v>28</v>
      </c>
      <c r="F55" t="s">
        <v>34</v>
      </c>
      <c r="G55">
        <v>2</v>
      </c>
      <c r="H55" s="6">
        <v>53946.46</v>
      </c>
      <c r="I55" s="6">
        <v>6221.58</v>
      </c>
      <c r="J55">
        <v>20</v>
      </c>
      <c r="K55">
        <v>36</v>
      </c>
      <c r="L55" t="s">
        <v>30</v>
      </c>
      <c r="M55" t="s">
        <v>31</v>
      </c>
      <c r="N55">
        <v>3</v>
      </c>
      <c r="O55" s="4"/>
      <c r="P55" s="4" t="str">
        <f>IF(Data_Set_2[[#This Row],[valor_bruto]]&gt;$W$13,"OUTLIER+","")</f>
        <v/>
      </c>
      <c r="Q55" s="4" t="str">
        <f>IF(Data_Set_2[[#This Row],[valor_bruto]]&lt;$W$14,"OUTLIER-","")</f>
        <v/>
      </c>
      <c r="R55" s="4"/>
      <c r="S55" s="4"/>
      <c r="AB55" t="str">
        <v>RES-100053</v>
      </c>
      <c r="AC55">
        <v>45742</v>
      </c>
      <c r="AD55">
        <v>0.63263888888888886</v>
      </c>
      <c r="AE55" t="str">
        <v>Poblado</v>
      </c>
      <c r="AF55" t="str">
        <v>Recoge</v>
      </c>
      <c r="AG55" t="str">
        <v>Vegano</v>
      </c>
      <c r="AH55">
        <v>2</v>
      </c>
      <c r="AI55">
        <v>53946.46</v>
      </c>
      <c r="AJ55">
        <v>6221.58</v>
      </c>
      <c r="AK55">
        <v>20</v>
      </c>
      <c r="AL55">
        <v>36</v>
      </c>
      <c r="AM55" t="str">
        <v>App</v>
      </c>
      <c r="AN55" t="str">
        <v>Reembolsada</v>
      </c>
      <c r="AO55">
        <v>3</v>
      </c>
    </row>
    <row r="56" spans="1:41" x14ac:dyDescent="0.3">
      <c r="A56" t="s">
        <v>86</v>
      </c>
      <c r="B56" s="8">
        <v>45743</v>
      </c>
      <c r="C56" s="2">
        <v>0.6791666666666667</v>
      </c>
      <c r="D56" t="s">
        <v>27</v>
      </c>
      <c r="E56" t="s">
        <v>16</v>
      </c>
      <c r="F56" t="s">
        <v>36</v>
      </c>
      <c r="G56">
        <v>6</v>
      </c>
      <c r="H56" s="6">
        <v>47871.23</v>
      </c>
      <c r="I56" s="6">
        <v>4016.75</v>
      </c>
      <c r="J56">
        <v>15</v>
      </c>
      <c r="K56">
        <v>38</v>
      </c>
      <c r="L56" t="s">
        <v>18</v>
      </c>
      <c r="M56" t="s">
        <v>19</v>
      </c>
      <c r="N56">
        <v>5</v>
      </c>
      <c r="O56" s="4"/>
      <c r="P56" s="4" t="str">
        <f>IF(Data_Set_2[[#This Row],[valor_bruto]]&gt;$W$13,"OUTLIER+","")</f>
        <v/>
      </c>
      <c r="Q56" s="4" t="str">
        <f>IF(Data_Set_2[[#This Row],[valor_bruto]]&lt;$W$14,"OUTLIER-","")</f>
        <v/>
      </c>
      <c r="R56" s="4"/>
      <c r="S56" s="4"/>
      <c r="AB56" t="str">
        <v>RES-100054</v>
      </c>
      <c r="AC56">
        <v>45743</v>
      </c>
      <c r="AD56">
        <v>0.6791666666666667</v>
      </c>
      <c r="AE56" t="str">
        <v>Centro</v>
      </c>
      <c r="AF56" t="str">
        <v>Mesa</v>
      </c>
      <c r="AG56" t="str">
        <v>Bebidas</v>
      </c>
      <c r="AH56">
        <v>6</v>
      </c>
      <c r="AI56">
        <v>47871.23</v>
      </c>
      <c r="AJ56">
        <v>4016.75</v>
      </c>
      <c r="AK56">
        <v>15</v>
      </c>
      <c r="AL56">
        <v>38</v>
      </c>
      <c r="AM56" t="str">
        <v>Tarjeta</v>
      </c>
      <c r="AN56" t="str">
        <v>Entregada</v>
      </c>
      <c r="AO56">
        <v>5</v>
      </c>
    </row>
    <row r="57" spans="1:41" x14ac:dyDescent="0.3">
      <c r="A57" t="s">
        <v>87</v>
      </c>
      <c r="B57" s="8">
        <v>45744</v>
      </c>
      <c r="C57" s="2">
        <v>0.72569444444444442</v>
      </c>
      <c r="D57" t="s">
        <v>33</v>
      </c>
      <c r="E57" t="s">
        <v>22</v>
      </c>
      <c r="F57" t="s">
        <v>17</v>
      </c>
      <c r="G57">
        <v>6</v>
      </c>
      <c r="H57" s="6">
        <v>56291.97</v>
      </c>
      <c r="I57" s="6">
        <v>560.46</v>
      </c>
      <c r="J57">
        <v>16</v>
      </c>
      <c r="K57">
        <v>28</v>
      </c>
      <c r="L57" t="s">
        <v>24</v>
      </c>
      <c r="M57" t="s">
        <v>25</v>
      </c>
      <c r="N57">
        <v>4</v>
      </c>
      <c r="O57" s="4"/>
      <c r="P57" s="4" t="str">
        <f>IF(Data_Set_2[[#This Row],[valor_bruto]]&gt;$W$13,"OUTLIER+","")</f>
        <v/>
      </c>
      <c r="Q57" s="4" t="str">
        <f>IF(Data_Set_2[[#This Row],[valor_bruto]]&lt;$W$14,"OUTLIER-","")</f>
        <v/>
      </c>
      <c r="R57" s="4"/>
      <c r="S57" s="4"/>
      <c r="AB57" t="str">
        <v>RES-100055</v>
      </c>
      <c r="AC57">
        <v>45744</v>
      </c>
      <c r="AD57">
        <v>0.72569444444444442</v>
      </c>
      <c r="AE57" t="str">
        <v>Envigado</v>
      </c>
      <c r="AF57" t="str">
        <v>Domicilio</v>
      </c>
      <c r="AG57" t="str">
        <v>Comida rapida</v>
      </c>
      <c r="AH57">
        <v>6</v>
      </c>
      <c r="AI57">
        <v>56291.97</v>
      </c>
      <c r="AJ57">
        <v>560.46</v>
      </c>
      <c r="AK57">
        <v>16</v>
      </c>
      <c r="AL57">
        <v>28</v>
      </c>
      <c r="AM57" t="str">
        <v>Efectivo</v>
      </c>
      <c r="AN57" t="str">
        <v>Cancelada</v>
      </c>
      <c r="AO57">
        <v>4</v>
      </c>
    </row>
    <row r="58" spans="1:41" x14ac:dyDescent="0.3">
      <c r="A58" t="s">
        <v>88</v>
      </c>
      <c r="B58" s="8">
        <v>45745</v>
      </c>
      <c r="C58" s="2">
        <v>0.77222222222222225</v>
      </c>
      <c r="D58" t="s">
        <v>15</v>
      </c>
      <c r="E58" t="s">
        <v>28</v>
      </c>
      <c r="F58" t="s">
        <v>23</v>
      </c>
      <c r="G58">
        <v>4</v>
      </c>
      <c r="H58" s="6">
        <v>34566.51</v>
      </c>
      <c r="I58" s="6">
        <v>1074.31</v>
      </c>
      <c r="J58">
        <v>26</v>
      </c>
      <c r="K58">
        <v>27</v>
      </c>
      <c r="L58" t="s">
        <v>30</v>
      </c>
      <c r="M58" t="s">
        <v>31</v>
      </c>
      <c r="N58">
        <v>5</v>
      </c>
      <c r="O58" s="4"/>
      <c r="P58" s="4" t="str">
        <f>IF(Data_Set_2[[#This Row],[valor_bruto]]&gt;$W$13,"OUTLIER+","")</f>
        <v/>
      </c>
      <c r="Q58" s="4" t="str">
        <f>IF(Data_Set_2[[#This Row],[valor_bruto]]&lt;$W$14,"OUTLIER-","")</f>
        <v/>
      </c>
      <c r="R58" s="4"/>
      <c r="S58" s="4"/>
      <c r="AB58" t="str">
        <v>RES-100056</v>
      </c>
      <c r="AC58">
        <v>45745</v>
      </c>
      <c r="AD58">
        <v>0.77222222222222225</v>
      </c>
      <c r="AE58" t="str">
        <v>Laureles</v>
      </c>
      <c r="AF58" t="str">
        <v>Recoge</v>
      </c>
      <c r="AG58" t="str">
        <v>Pasta</v>
      </c>
      <c r="AH58">
        <v>4</v>
      </c>
      <c r="AI58">
        <v>34566.51</v>
      </c>
      <c r="AJ58">
        <v>1074.31</v>
      </c>
      <c r="AK58">
        <v>26</v>
      </c>
      <c r="AL58">
        <v>27</v>
      </c>
      <c r="AM58" t="str">
        <v>App</v>
      </c>
      <c r="AN58" t="str">
        <v>Reembolsada</v>
      </c>
      <c r="AO58">
        <v>5</v>
      </c>
    </row>
    <row r="59" spans="1:41" x14ac:dyDescent="0.3">
      <c r="A59" t="s">
        <v>89</v>
      </c>
      <c r="B59" s="8">
        <v>45746</v>
      </c>
      <c r="C59" s="2">
        <v>0.81874999999999998</v>
      </c>
      <c r="D59" t="s">
        <v>21</v>
      </c>
      <c r="E59" t="s">
        <v>16</v>
      </c>
      <c r="F59" t="s">
        <v>29</v>
      </c>
      <c r="G59">
        <v>5</v>
      </c>
      <c r="H59" s="6">
        <v>38379.22</v>
      </c>
      <c r="I59" s="6">
        <v>6157.93</v>
      </c>
      <c r="J59">
        <v>27</v>
      </c>
      <c r="K59">
        <v>27</v>
      </c>
      <c r="L59" t="s">
        <v>18</v>
      </c>
      <c r="M59" t="s">
        <v>19</v>
      </c>
      <c r="N59">
        <v>3</v>
      </c>
      <c r="O59" s="4"/>
      <c r="P59" s="4" t="str">
        <f>IF(Data_Set_2[[#This Row],[valor_bruto]]&gt;$W$13,"OUTLIER+","")</f>
        <v/>
      </c>
      <c r="Q59" s="4" t="str">
        <f>IF(Data_Set_2[[#This Row],[valor_bruto]]&lt;$W$14,"OUTLIER-","")</f>
        <v/>
      </c>
      <c r="R59" s="4"/>
      <c r="S59" s="4"/>
      <c r="AB59" t="str">
        <v>RES-100057</v>
      </c>
      <c r="AC59">
        <v>45746</v>
      </c>
      <c r="AD59">
        <v>0.81874999999999998</v>
      </c>
      <c r="AE59" t="str">
        <v>Poblado</v>
      </c>
      <c r="AF59" t="str">
        <v>Mesa</v>
      </c>
      <c r="AG59" t="str">
        <v>Parrilla</v>
      </c>
      <c r="AH59">
        <v>5</v>
      </c>
      <c r="AI59">
        <v>38379.22</v>
      </c>
      <c r="AJ59">
        <v>6157.93</v>
      </c>
      <c r="AK59">
        <v>27</v>
      </c>
      <c r="AL59">
        <v>27</v>
      </c>
      <c r="AM59" t="str">
        <v>Tarjeta</v>
      </c>
      <c r="AN59" t="str">
        <v>Entregada</v>
      </c>
      <c r="AO59">
        <v>3</v>
      </c>
    </row>
    <row r="60" spans="1:41" x14ac:dyDescent="0.3">
      <c r="A60" t="s">
        <v>90</v>
      </c>
      <c r="B60" s="8">
        <v>45747</v>
      </c>
      <c r="C60" s="2">
        <v>0.86527777777777781</v>
      </c>
      <c r="D60" t="s">
        <v>27</v>
      </c>
      <c r="E60" t="s">
        <v>22</v>
      </c>
      <c r="F60" t="s">
        <v>34</v>
      </c>
      <c r="G60">
        <v>6</v>
      </c>
      <c r="H60" s="6">
        <v>61425.64</v>
      </c>
      <c r="I60" s="6">
        <v>1184.55</v>
      </c>
      <c r="J60">
        <v>27</v>
      </c>
      <c r="K60">
        <v>49</v>
      </c>
      <c r="L60" t="s">
        <v>24</v>
      </c>
      <c r="M60" t="s">
        <v>25</v>
      </c>
      <c r="N60">
        <v>5</v>
      </c>
      <c r="O60" s="4"/>
      <c r="P60" s="4" t="str">
        <f>IF(Data_Set_2[[#This Row],[valor_bruto]]&gt;$W$13,"OUTLIER+","")</f>
        <v/>
      </c>
      <c r="Q60" s="4" t="str">
        <f>IF(Data_Set_2[[#This Row],[valor_bruto]]&lt;$W$14,"OUTLIER-","")</f>
        <v/>
      </c>
      <c r="R60" s="4"/>
      <c r="S60" s="4"/>
      <c r="AB60" t="str">
        <v>RES-100058</v>
      </c>
      <c r="AC60">
        <v>45747</v>
      </c>
      <c r="AD60">
        <v>0.86527777777777781</v>
      </c>
      <c r="AE60" t="str">
        <v>Centro</v>
      </c>
      <c r="AF60" t="str">
        <v>Domicilio</v>
      </c>
      <c r="AG60" t="str">
        <v>Vegano</v>
      </c>
      <c r="AH60">
        <v>6</v>
      </c>
      <c r="AI60">
        <v>61425.64</v>
      </c>
      <c r="AJ60">
        <v>1184.55</v>
      </c>
      <c r="AK60">
        <v>27</v>
      </c>
      <c r="AL60">
        <v>49</v>
      </c>
      <c r="AM60" t="str">
        <v>Efectivo</v>
      </c>
      <c r="AN60" t="str">
        <v>Cancelada</v>
      </c>
      <c r="AO60">
        <v>5</v>
      </c>
    </row>
    <row r="61" spans="1:41" x14ac:dyDescent="0.3">
      <c r="A61" t="s">
        <v>91</v>
      </c>
      <c r="B61" s="8">
        <v>45661</v>
      </c>
      <c r="C61" s="2">
        <v>0.91180555555555554</v>
      </c>
      <c r="D61" t="s">
        <v>33</v>
      </c>
      <c r="E61" t="s">
        <v>28</v>
      </c>
      <c r="F61" t="s">
        <v>36</v>
      </c>
      <c r="G61">
        <v>4</v>
      </c>
      <c r="H61" s="6">
        <v>62580.62</v>
      </c>
      <c r="I61" s="6">
        <v>3926.12</v>
      </c>
      <c r="J61">
        <v>23</v>
      </c>
      <c r="K61">
        <v>41</v>
      </c>
      <c r="L61" t="s">
        <v>30</v>
      </c>
      <c r="M61" t="s">
        <v>31</v>
      </c>
      <c r="N61">
        <v>5</v>
      </c>
      <c r="O61" s="4"/>
      <c r="P61" s="4" t="str">
        <f>IF(Data_Set_2[[#This Row],[valor_bruto]]&gt;$W$13,"OUTLIER+","")</f>
        <v/>
      </c>
      <c r="Q61" s="4" t="str">
        <f>IF(Data_Set_2[[#This Row],[valor_bruto]]&lt;$W$14,"OUTLIER-","")</f>
        <v/>
      </c>
      <c r="R61" s="4"/>
      <c r="S61" s="4"/>
      <c r="AB61" t="str">
        <v>RES-100059</v>
      </c>
      <c r="AC61">
        <v>45661</v>
      </c>
      <c r="AD61">
        <v>0.91180555555555554</v>
      </c>
      <c r="AE61" t="str">
        <v>Envigado</v>
      </c>
      <c r="AF61" t="str">
        <v>Recoge</v>
      </c>
      <c r="AG61" t="str">
        <v>Bebidas</v>
      </c>
      <c r="AH61">
        <v>4</v>
      </c>
      <c r="AI61">
        <v>62580.62</v>
      </c>
      <c r="AJ61">
        <v>3926.12</v>
      </c>
      <c r="AK61">
        <v>23</v>
      </c>
      <c r="AL61">
        <v>41</v>
      </c>
      <c r="AM61" t="str">
        <v>App</v>
      </c>
      <c r="AN61" t="str">
        <v>Reembolsada</v>
      </c>
      <c r="AO61">
        <v>5</v>
      </c>
    </row>
    <row r="62" spans="1:41" x14ac:dyDescent="0.3">
      <c r="A62" t="s">
        <v>92</v>
      </c>
      <c r="B62" s="8">
        <v>45749</v>
      </c>
      <c r="C62" s="2">
        <v>0.41666666666666669</v>
      </c>
      <c r="D62" t="s">
        <v>15</v>
      </c>
      <c r="E62" t="s">
        <v>16</v>
      </c>
      <c r="F62" t="s">
        <v>17</v>
      </c>
      <c r="G62">
        <v>4</v>
      </c>
      <c r="H62" s="6">
        <v>29163.27</v>
      </c>
      <c r="I62" s="6">
        <v>1686.8</v>
      </c>
      <c r="J62">
        <v>23</v>
      </c>
      <c r="K62">
        <v>35</v>
      </c>
      <c r="L62" t="s">
        <v>18</v>
      </c>
      <c r="M62" t="s">
        <v>19</v>
      </c>
      <c r="N62">
        <v>4</v>
      </c>
      <c r="O62" s="4"/>
      <c r="P62" s="4" t="str">
        <f>IF(Data_Set_2[[#This Row],[valor_bruto]]&gt;$W$13,"OUTLIER+","")</f>
        <v/>
      </c>
      <c r="Q62" s="4" t="str">
        <f>IF(Data_Set_2[[#This Row],[valor_bruto]]&lt;$W$14,"OUTLIER-","")</f>
        <v/>
      </c>
      <c r="R62" s="4"/>
      <c r="S62" s="4"/>
      <c r="AB62" t="str">
        <v>RES-100060</v>
      </c>
      <c r="AC62">
        <v>45749</v>
      </c>
      <c r="AD62">
        <v>0.41666666666666669</v>
      </c>
      <c r="AE62" t="str">
        <v>Laureles</v>
      </c>
      <c r="AF62" t="str">
        <v>Mesa</v>
      </c>
      <c r="AG62" t="str">
        <v>Comida rapida</v>
      </c>
      <c r="AH62">
        <v>4</v>
      </c>
      <c r="AI62">
        <v>29163.27</v>
      </c>
      <c r="AJ62">
        <v>1686.8</v>
      </c>
      <c r="AK62">
        <v>23</v>
      </c>
      <c r="AL62">
        <v>35</v>
      </c>
      <c r="AM62" t="str">
        <v>Tarjeta</v>
      </c>
      <c r="AN62" t="str">
        <v>Entregada</v>
      </c>
      <c r="AO62">
        <v>4</v>
      </c>
    </row>
    <row r="63" spans="1:41" x14ac:dyDescent="0.3">
      <c r="A63" t="s">
        <v>93</v>
      </c>
      <c r="B63" s="8">
        <v>45750</v>
      </c>
      <c r="C63" s="2">
        <v>0.46319444444444446</v>
      </c>
      <c r="D63" t="s">
        <v>21</v>
      </c>
      <c r="E63" t="s">
        <v>22</v>
      </c>
      <c r="F63" t="s">
        <v>23</v>
      </c>
      <c r="G63">
        <v>3</v>
      </c>
      <c r="H63" s="6">
        <v>39097.79</v>
      </c>
      <c r="I63" s="6">
        <v>938.66</v>
      </c>
      <c r="J63">
        <v>27</v>
      </c>
      <c r="K63">
        <v>36</v>
      </c>
      <c r="L63" t="s">
        <v>24</v>
      </c>
      <c r="M63" t="s">
        <v>25</v>
      </c>
      <c r="N63">
        <v>3</v>
      </c>
      <c r="O63" s="4"/>
      <c r="P63" s="4" t="str">
        <f>IF(Data_Set_2[[#This Row],[valor_bruto]]&gt;$W$13,"OUTLIER+","")</f>
        <v/>
      </c>
      <c r="Q63" s="4" t="str">
        <f>IF(Data_Set_2[[#This Row],[valor_bruto]]&lt;$W$14,"OUTLIER-","")</f>
        <v/>
      </c>
      <c r="R63" s="4"/>
      <c r="S63" s="4"/>
      <c r="AB63" t="str">
        <v>RES-100061</v>
      </c>
      <c r="AC63">
        <v>45750</v>
      </c>
      <c r="AD63">
        <v>0.46319444444444446</v>
      </c>
      <c r="AE63" t="str">
        <v>Poblado</v>
      </c>
      <c r="AF63" t="str">
        <v>Domicilio</v>
      </c>
      <c r="AG63" t="str">
        <v>Pasta</v>
      </c>
      <c r="AH63">
        <v>3</v>
      </c>
      <c r="AI63">
        <v>39097.79</v>
      </c>
      <c r="AJ63">
        <v>938.66</v>
      </c>
      <c r="AK63">
        <v>27</v>
      </c>
      <c r="AL63">
        <v>36</v>
      </c>
      <c r="AM63" t="str">
        <v>Efectivo</v>
      </c>
      <c r="AN63" t="str">
        <v>Cancelada</v>
      </c>
      <c r="AO63">
        <v>3</v>
      </c>
    </row>
    <row r="64" spans="1:41" x14ac:dyDescent="0.3">
      <c r="A64" t="s">
        <v>94</v>
      </c>
      <c r="B64" s="8">
        <v>45751</v>
      </c>
      <c r="C64" s="2">
        <v>0.50972222222222219</v>
      </c>
      <c r="D64" t="s">
        <v>27</v>
      </c>
      <c r="E64" t="s">
        <v>28</v>
      </c>
      <c r="F64" t="s">
        <v>29</v>
      </c>
      <c r="G64">
        <v>2</v>
      </c>
      <c r="H64" s="6">
        <v>61333.34</v>
      </c>
      <c r="I64" s="6">
        <v>1571.84</v>
      </c>
      <c r="J64">
        <v>13</v>
      </c>
      <c r="K64">
        <v>52</v>
      </c>
      <c r="L64" t="s">
        <v>30</v>
      </c>
      <c r="M64" t="s">
        <v>31</v>
      </c>
      <c r="N64">
        <v>5</v>
      </c>
      <c r="O64" s="4"/>
      <c r="P64" s="4" t="str">
        <f>IF(Data_Set_2[[#This Row],[valor_bruto]]&gt;$W$13,"OUTLIER+","")</f>
        <v/>
      </c>
      <c r="Q64" s="4" t="str">
        <f>IF(Data_Set_2[[#This Row],[valor_bruto]]&lt;$W$14,"OUTLIER-","")</f>
        <v/>
      </c>
      <c r="R64" s="4"/>
      <c r="S64" s="4"/>
      <c r="AB64" t="str">
        <v>RES-100062</v>
      </c>
      <c r="AC64">
        <v>45751</v>
      </c>
      <c r="AD64">
        <v>0.50972222222222219</v>
      </c>
      <c r="AE64" t="str">
        <v>Centro</v>
      </c>
      <c r="AF64" t="str">
        <v>Recoge</v>
      </c>
      <c r="AG64" t="str">
        <v>Parrilla</v>
      </c>
      <c r="AH64">
        <v>2</v>
      </c>
      <c r="AI64">
        <v>61333.34</v>
      </c>
      <c r="AJ64">
        <v>1571.84</v>
      </c>
      <c r="AK64">
        <v>13</v>
      </c>
      <c r="AL64">
        <v>52</v>
      </c>
      <c r="AM64" t="str">
        <v>App</v>
      </c>
      <c r="AN64" t="str">
        <v>Reembolsada</v>
      </c>
      <c r="AO64">
        <v>5</v>
      </c>
    </row>
    <row r="65" spans="1:41" x14ac:dyDescent="0.3">
      <c r="A65" t="s">
        <v>95</v>
      </c>
      <c r="B65" s="8">
        <v>45752</v>
      </c>
      <c r="C65" s="2">
        <v>0.55625000000000002</v>
      </c>
      <c r="D65" t="s">
        <v>33</v>
      </c>
      <c r="E65" t="s">
        <v>16</v>
      </c>
      <c r="F65" t="s">
        <v>34</v>
      </c>
      <c r="G65">
        <v>2</v>
      </c>
      <c r="H65" s="6">
        <v>29122.32</v>
      </c>
      <c r="I65" s="6">
        <v>1074.22</v>
      </c>
      <c r="J65">
        <v>27</v>
      </c>
      <c r="K65">
        <v>42</v>
      </c>
      <c r="L65" t="s">
        <v>18</v>
      </c>
      <c r="M65" t="s">
        <v>19</v>
      </c>
      <c r="N65">
        <v>3</v>
      </c>
      <c r="O65" s="4"/>
      <c r="P65" s="4" t="str">
        <f>IF(Data_Set_2[[#This Row],[valor_bruto]]&gt;$W$13,"OUTLIER+","")</f>
        <v/>
      </c>
      <c r="Q65" s="4" t="str">
        <f>IF(Data_Set_2[[#This Row],[valor_bruto]]&lt;$W$14,"OUTLIER-","")</f>
        <v/>
      </c>
      <c r="R65" s="4"/>
      <c r="S65" s="4"/>
      <c r="AB65" t="str">
        <v>RES-100063</v>
      </c>
      <c r="AC65">
        <v>45752</v>
      </c>
      <c r="AD65">
        <v>0.55625000000000002</v>
      </c>
      <c r="AE65" t="str">
        <v>Envigado</v>
      </c>
      <c r="AF65" t="str">
        <v>Mesa</v>
      </c>
      <c r="AG65" t="str">
        <v>Vegano</v>
      </c>
      <c r="AH65">
        <v>2</v>
      </c>
      <c r="AI65">
        <v>29122.32</v>
      </c>
      <c r="AJ65">
        <v>1074.22</v>
      </c>
      <c r="AK65">
        <v>27</v>
      </c>
      <c r="AL65">
        <v>42</v>
      </c>
      <c r="AM65" t="str">
        <v>Tarjeta</v>
      </c>
      <c r="AN65" t="str">
        <v>Entregada</v>
      </c>
      <c r="AO65">
        <v>3</v>
      </c>
    </row>
    <row r="66" spans="1:41" x14ac:dyDescent="0.3">
      <c r="A66" t="s">
        <v>96</v>
      </c>
      <c r="B66" s="8">
        <v>45753</v>
      </c>
      <c r="C66" s="2">
        <v>0.60277777777777775</v>
      </c>
      <c r="D66" t="s">
        <v>15</v>
      </c>
      <c r="E66" t="s">
        <v>22</v>
      </c>
      <c r="F66" t="s">
        <v>36</v>
      </c>
      <c r="G66">
        <v>6</v>
      </c>
      <c r="H66" s="6">
        <v>46352.52</v>
      </c>
      <c r="I66" s="6">
        <v>5812.69</v>
      </c>
      <c r="J66">
        <v>20</v>
      </c>
      <c r="K66">
        <v>38</v>
      </c>
      <c r="L66" t="s">
        <v>24</v>
      </c>
      <c r="M66" t="s">
        <v>25</v>
      </c>
      <c r="N66">
        <v>5</v>
      </c>
      <c r="O66" s="4"/>
      <c r="P66" s="4" t="str">
        <f>IF(Data_Set_2[[#This Row],[valor_bruto]]&gt;$W$13,"OUTLIER+","")</f>
        <v/>
      </c>
      <c r="Q66" s="4" t="str">
        <f>IF(Data_Set_2[[#This Row],[valor_bruto]]&lt;$W$14,"OUTLIER-","")</f>
        <v/>
      </c>
      <c r="R66" s="4"/>
      <c r="S66" s="4"/>
      <c r="AB66" t="str">
        <v>RES-100064</v>
      </c>
      <c r="AC66">
        <v>45753</v>
      </c>
      <c r="AD66">
        <v>0.60277777777777775</v>
      </c>
      <c r="AE66" t="str">
        <v>Laureles</v>
      </c>
      <c r="AF66" t="str">
        <v>Domicilio</v>
      </c>
      <c r="AG66" t="str">
        <v>Bebidas</v>
      </c>
      <c r="AH66">
        <v>6</v>
      </c>
      <c r="AI66">
        <v>46352.52</v>
      </c>
      <c r="AJ66">
        <v>5812.69</v>
      </c>
      <c r="AK66">
        <v>20</v>
      </c>
      <c r="AL66">
        <v>38</v>
      </c>
      <c r="AM66" t="str">
        <v>Efectivo</v>
      </c>
      <c r="AN66" t="str">
        <v>Cancelada</v>
      </c>
      <c r="AO66">
        <v>5</v>
      </c>
    </row>
    <row r="67" spans="1:41" x14ac:dyDescent="0.3">
      <c r="A67" t="s">
        <v>97</v>
      </c>
      <c r="B67" s="8">
        <v>45842</v>
      </c>
      <c r="C67" s="2">
        <v>0.64930555555555558</v>
      </c>
      <c r="D67" t="s">
        <v>21</v>
      </c>
      <c r="E67" t="s">
        <v>28</v>
      </c>
      <c r="F67" t="s">
        <v>17</v>
      </c>
      <c r="G67">
        <v>5</v>
      </c>
      <c r="H67" s="6">
        <v>64909.95</v>
      </c>
      <c r="I67" s="6">
        <v>4893.3599999999997</v>
      </c>
      <c r="J67">
        <v>15</v>
      </c>
      <c r="K67">
        <v>41</v>
      </c>
      <c r="L67" t="s">
        <v>30</v>
      </c>
      <c r="M67" t="s">
        <v>31</v>
      </c>
      <c r="N67">
        <v>4</v>
      </c>
      <c r="O67" s="4"/>
      <c r="P67" s="4" t="str">
        <f>IF(Data_Set_2[[#This Row],[valor_bruto]]&gt;$W$13,"OUTLIER+","")</f>
        <v/>
      </c>
      <c r="Q67" s="4" t="str">
        <f>IF(Data_Set_2[[#This Row],[valor_bruto]]&lt;$W$14,"OUTLIER-","")</f>
        <v/>
      </c>
      <c r="R67" s="4"/>
      <c r="S67" s="4"/>
      <c r="AB67" t="str">
        <v>RES-100065</v>
      </c>
      <c r="AC67">
        <v>45842</v>
      </c>
      <c r="AD67">
        <v>0.64930555555555558</v>
      </c>
      <c r="AE67" t="str">
        <v>Poblado</v>
      </c>
      <c r="AF67" t="str">
        <v>Recoge</v>
      </c>
      <c r="AG67" t="str">
        <v>Comida rapida</v>
      </c>
      <c r="AH67">
        <v>5</v>
      </c>
      <c r="AI67">
        <v>64909.95</v>
      </c>
      <c r="AJ67">
        <v>4893.3599999999997</v>
      </c>
      <c r="AK67">
        <v>15</v>
      </c>
      <c r="AL67">
        <v>41</v>
      </c>
      <c r="AM67" t="str">
        <v>App</v>
      </c>
      <c r="AN67" t="str">
        <v>Reembolsada</v>
      </c>
      <c r="AO67">
        <v>4</v>
      </c>
    </row>
    <row r="68" spans="1:41" x14ac:dyDescent="0.3">
      <c r="A68" t="s">
        <v>98</v>
      </c>
      <c r="B68" s="8">
        <v>45755</v>
      </c>
      <c r="C68" s="2">
        <v>0.6958333333333333</v>
      </c>
      <c r="D68" t="s">
        <v>27</v>
      </c>
      <c r="E68" t="s">
        <v>16</v>
      </c>
      <c r="F68" t="s">
        <v>23</v>
      </c>
      <c r="G68">
        <v>2</v>
      </c>
      <c r="H68" s="6">
        <v>63187.71</v>
      </c>
      <c r="I68" s="6">
        <v>1300.7</v>
      </c>
      <c r="J68">
        <v>25</v>
      </c>
      <c r="K68">
        <v>50</v>
      </c>
      <c r="L68" t="s">
        <v>18</v>
      </c>
      <c r="M68" t="s">
        <v>19</v>
      </c>
      <c r="N68">
        <v>5</v>
      </c>
      <c r="O68" s="4"/>
      <c r="P68" s="4" t="str">
        <f>IF(Data_Set_2[[#This Row],[valor_bruto]]&gt;$W$13,"OUTLIER+","")</f>
        <v/>
      </c>
      <c r="Q68" s="4" t="str">
        <f>IF(Data_Set_2[[#This Row],[valor_bruto]]&lt;$W$14,"OUTLIER-","")</f>
        <v/>
      </c>
      <c r="R68" s="4"/>
      <c r="S68" s="4"/>
      <c r="AB68" t="str">
        <v>RES-100066</v>
      </c>
      <c r="AC68">
        <v>45755</v>
      </c>
      <c r="AD68">
        <v>0.6958333333333333</v>
      </c>
      <c r="AE68" t="str">
        <v>Centro</v>
      </c>
      <c r="AF68" t="str">
        <v>Mesa</v>
      </c>
      <c r="AG68" t="str">
        <v>Pasta</v>
      </c>
      <c r="AH68">
        <v>2</v>
      </c>
      <c r="AI68">
        <v>63187.71</v>
      </c>
      <c r="AJ68">
        <v>1300.7</v>
      </c>
      <c r="AK68">
        <v>25</v>
      </c>
      <c r="AL68">
        <v>50</v>
      </c>
      <c r="AM68" t="str">
        <v>Tarjeta</v>
      </c>
      <c r="AN68" t="str">
        <v>Entregada</v>
      </c>
      <c r="AO68">
        <v>5</v>
      </c>
    </row>
    <row r="69" spans="1:41" x14ac:dyDescent="0.3">
      <c r="A69" t="s">
        <v>99</v>
      </c>
      <c r="B69" s="8">
        <v>45756</v>
      </c>
      <c r="C69" s="2">
        <v>0.74236111111111114</v>
      </c>
      <c r="D69" t="s">
        <v>33</v>
      </c>
      <c r="E69" t="s">
        <v>22</v>
      </c>
      <c r="F69" t="s">
        <v>29</v>
      </c>
      <c r="G69">
        <v>5</v>
      </c>
      <c r="H69" s="6">
        <v>42260.53</v>
      </c>
      <c r="I69" s="6">
        <v>7788.01</v>
      </c>
      <c r="J69">
        <v>14</v>
      </c>
      <c r="K69">
        <v>40</v>
      </c>
      <c r="L69" t="s">
        <v>24</v>
      </c>
      <c r="M69" t="s">
        <v>25</v>
      </c>
      <c r="N69">
        <v>5</v>
      </c>
      <c r="O69" s="4"/>
      <c r="P69" s="4" t="str">
        <f>IF(Data_Set_2[[#This Row],[valor_bruto]]&gt;$W$13,"OUTLIER+","")</f>
        <v/>
      </c>
      <c r="Q69" s="4" t="str">
        <f>IF(Data_Set_2[[#This Row],[valor_bruto]]&lt;$W$14,"OUTLIER-","")</f>
        <v/>
      </c>
      <c r="R69" s="4"/>
      <c r="S69" s="4"/>
      <c r="AB69" t="str">
        <v>RES-100067</v>
      </c>
      <c r="AC69">
        <v>45756</v>
      </c>
      <c r="AD69">
        <v>0.74236111111111114</v>
      </c>
      <c r="AE69" t="str">
        <v>Envigado</v>
      </c>
      <c r="AF69" t="str">
        <v>Domicilio</v>
      </c>
      <c r="AG69" t="str">
        <v>Parrilla</v>
      </c>
      <c r="AH69">
        <v>5</v>
      </c>
      <c r="AI69">
        <v>42260.53</v>
      </c>
      <c r="AJ69">
        <v>7788.01</v>
      </c>
      <c r="AK69">
        <v>14</v>
      </c>
      <c r="AL69">
        <v>40</v>
      </c>
      <c r="AM69" t="str">
        <v>Efectivo</v>
      </c>
      <c r="AN69" t="str">
        <v>Cancelada</v>
      </c>
      <c r="AO69">
        <v>5</v>
      </c>
    </row>
    <row r="70" spans="1:41" x14ac:dyDescent="0.3">
      <c r="A70" t="s">
        <v>100</v>
      </c>
      <c r="B70" s="8">
        <v>45934</v>
      </c>
      <c r="C70" s="2">
        <v>0.78888888888888886</v>
      </c>
      <c r="D70" t="s">
        <v>15</v>
      </c>
      <c r="E70" t="s">
        <v>28</v>
      </c>
      <c r="F70" t="s">
        <v>34</v>
      </c>
      <c r="G70">
        <v>4</v>
      </c>
      <c r="H70" s="6">
        <v>45095.68</v>
      </c>
      <c r="I70" s="6">
        <v>6238.29</v>
      </c>
      <c r="J70">
        <v>26</v>
      </c>
      <c r="K70">
        <v>30</v>
      </c>
      <c r="L70" t="s">
        <v>30</v>
      </c>
      <c r="M70" t="s">
        <v>31</v>
      </c>
      <c r="N70">
        <v>3</v>
      </c>
      <c r="O70" s="4"/>
      <c r="P70" s="4" t="str">
        <f>IF(Data_Set_2[[#This Row],[valor_bruto]]&gt;$W$13,"OUTLIER+","")</f>
        <v/>
      </c>
      <c r="Q70" s="4" t="str">
        <f>IF(Data_Set_2[[#This Row],[valor_bruto]]&lt;$W$14,"OUTLIER-","")</f>
        <v/>
      </c>
      <c r="R70" s="4"/>
      <c r="S70" s="4"/>
      <c r="AB70" t="str">
        <v>RES-100068</v>
      </c>
      <c r="AC70">
        <v>45934</v>
      </c>
      <c r="AD70">
        <v>0.78888888888888886</v>
      </c>
      <c r="AE70" t="str">
        <v>Laureles</v>
      </c>
      <c r="AF70" t="str">
        <v>Recoge</v>
      </c>
      <c r="AG70" t="str">
        <v>Vegano</v>
      </c>
      <c r="AH70">
        <v>4</v>
      </c>
      <c r="AI70">
        <v>45095.68</v>
      </c>
      <c r="AJ70">
        <v>6238.29</v>
      </c>
      <c r="AK70">
        <v>26</v>
      </c>
      <c r="AL70">
        <v>30</v>
      </c>
      <c r="AM70" t="str">
        <v>App</v>
      </c>
      <c r="AN70" t="str">
        <v>Reembolsada</v>
      </c>
      <c r="AO70">
        <v>3</v>
      </c>
    </row>
    <row r="71" spans="1:41" x14ac:dyDescent="0.3">
      <c r="A71" t="s">
        <v>101</v>
      </c>
      <c r="B71" s="8">
        <v>45758</v>
      </c>
      <c r="C71" s="2">
        <v>0.79374999999999996</v>
      </c>
      <c r="D71" t="s">
        <v>21</v>
      </c>
      <c r="E71" t="s">
        <v>16</v>
      </c>
      <c r="F71" t="s">
        <v>36</v>
      </c>
      <c r="G71">
        <v>6</v>
      </c>
      <c r="H71" s="6">
        <v>49939.43</v>
      </c>
      <c r="I71" s="6">
        <v>3215.87</v>
      </c>
      <c r="J71">
        <v>30</v>
      </c>
      <c r="K71">
        <v>37</v>
      </c>
      <c r="L71" t="s">
        <v>18</v>
      </c>
      <c r="M71" t="s">
        <v>19</v>
      </c>
      <c r="N71">
        <v>3</v>
      </c>
      <c r="O71" s="4"/>
      <c r="P71" s="4" t="str">
        <f>IF(Data_Set_2[[#This Row],[valor_bruto]]&gt;$W$13,"OUTLIER+","")</f>
        <v/>
      </c>
      <c r="Q71" s="4" t="str">
        <f>IF(Data_Set_2[[#This Row],[valor_bruto]]&lt;$W$14,"OUTLIER-","")</f>
        <v/>
      </c>
      <c r="R71" s="4"/>
      <c r="S71" s="4"/>
      <c r="AB71" t="str">
        <v>RES-100069</v>
      </c>
      <c r="AC71">
        <v>45758</v>
      </c>
      <c r="AD71">
        <v>0.79374999999999996</v>
      </c>
      <c r="AE71" t="str">
        <v>Poblado</v>
      </c>
      <c r="AF71" t="str">
        <v>Mesa</v>
      </c>
      <c r="AG71" t="str">
        <v>Bebidas</v>
      </c>
      <c r="AH71">
        <v>6</v>
      </c>
      <c r="AI71">
        <v>49939.43</v>
      </c>
      <c r="AJ71">
        <v>3215.87</v>
      </c>
      <c r="AK71">
        <v>30</v>
      </c>
      <c r="AL71">
        <v>37</v>
      </c>
      <c r="AM71" t="str">
        <v>Tarjeta</v>
      </c>
      <c r="AN71" t="str">
        <v>Entregada</v>
      </c>
      <c r="AO71">
        <v>3</v>
      </c>
    </row>
    <row r="72" spans="1:41" x14ac:dyDescent="0.3">
      <c r="A72" t="s">
        <v>102</v>
      </c>
      <c r="B72" s="8">
        <v>45759</v>
      </c>
      <c r="C72" s="2">
        <v>0.84027777777777779</v>
      </c>
      <c r="D72" t="s">
        <v>27</v>
      </c>
      <c r="E72" t="s">
        <v>22</v>
      </c>
      <c r="F72" t="s">
        <v>17</v>
      </c>
      <c r="G72">
        <v>2</v>
      </c>
      <c r="H72" s="6">
        <v>39437.120000000003</v>
      </c>
      <c r="I72" s="6">
        <v>888</v>
      </c>
      <c r="J72">
        <v>31</v>
      </c>
      <c r="K72">
        <v>42</v>
      </c>
      <c r="L72" t="s">
        <v>24</v>
      </c>
      <c r="M72" t="s">
        <v>25</v>
      </c>
      <c r="N72">
        <v>3</v>
      </c>
      <c r="O72" s="4"/>
      <c r="P72" s="4" t="str">
        <f>IF(Data_Set_2[[#This Row],[valor_bruto]]&gt;$W$13,"OUTLIER+","")</f>
        <v/>
      </c>
      <c r="Q72" s="4" t="str">
        <f>IF(Data_Set_2[[#This Row],[valor_bruto]]&lt;$W$14,"OUTLIER-","")</f>
        <v/>
      </c>
      <c r="R72" s="4"/>
      <c r="S72" s="4"/>
      <c r="AB72" t="str">
        <v>RES-100070</v>
      </c>
      <c r="AC72">
        <v>45759</v>
      </c>
      <c r="AD72">
        <v>0.84027777777777779</v>
      </c>
      <c r="AE72" t="str">
        <v>Centro</v>
      </c>
      <c r="AF72" t="str">
        <v>Domicilio</v>
      </c>
      <c r="AG72" t="str">
        <v>Comida rapida</v>
      </c>
      <c r="AH72">
        <v>2</v>
      </c>
      <c r="AI72">
        <v>39437.120000000003</v>
      </c>
      <c r="AJ72">
        <v>888</v>
      </c>
      <c r="AK72">
        <v>31</v>
      </c>
      <c r="AL72">
        <v>42</v>
      </c>
      <c r="AM72" t="str">
        <v>Efectivo</v>
      </c>
      <c r="AN72" t="str">
        <v>Cancelada</v>
      </c>
      <c r="AO72">
        <v>3</v>
      </c>
    </row>
    <row r="73" spans="1:41" x14ac:dyDescent="0.3">
      <c r="A73" t="s">
        <v>103</v>
      </c>
      <c r="B73" s="8">
        <v>45760</v>
      </c>
      <c r="C73" s="2">
        <v>0.88680555555555551</v>
      </c>
      <c r="D73" t="s">
        <v>33</v>
      </c>
      <c r="E73" t="s">
        <v>28</v>
      </c>
      <c r="F73" t="s">
        <v>23</v>
      </c>
      <c r="G73">
        <v>5</v>
      </c>
      <c r="H73" s="6">
        <v>52923.519999999997</v>
      </c>
      <c r="I73" s="6">
        <v>1747.2</v>
      </c>
      <c r="J73">
        <v>25</v>
      </c>
      <c r="K73">
        <v>25</v>
      </c>
      <c r="L73" t="s">
        <v>30</v>
      </c>
      <c r="M73" t="s">
        <v>31</v>
      </c>
      <c r="N73">
        <v>3</v>
      </c>
      <c r="O73" s="4"/>
      <c r="P73" s="4" t="str">
        <f>IF(Data_Set_2[[#This Row],[valor_bruto]]&gt;$W$13,"OUTLIER+","")</f>
        <v/>
      </c>
      <c r="Q73" s="4" t="str">
        <f>IF(Data_Set_2[[#This Row],[valor_bruto]]&lt;$W$14,"OUTLIER-","")</f>
        <v/>
      </c>
      <c r="R73" s="4"/>
      <c r="S73" s="4"/>
      <c r="AB73" t="str">
        <v>RES-100071</v>
      </c>
      <c r="AC73">
        <v>45760</v>
      </c>
      <c r="AD73">
        <v>0.88680555555555551</v>
      </c>
      <c r="AE73" t="str">
        <v>Envigado</v>
      </c>
      <c r="AF73" t="str">
        <v>Recoge</v>
      </c>
      <c r="AG73" t="str">
        <v>Pasta</v>
      </c>
      <c r="AH73">
        <v>5</v>
      </c>
      <c r="AI73">
        <v>52923.519999999997</v>
      </c>
      <c r="AJ73">
        <v>1747.2</v>
      </c>
      <c r="AK73">
        <v>25</v>
      </c>
      <c r="AL73">
        <v>25</v>
      </c>
      <c r="AM73" t="str">
        <v>App</v>
      </c>
      <c r="AN73" t="str">
        <v>Reembolsada</v>
      </c>
      <c r="AO73">
        <v>3</v>
      </c>
    </row>
    <row r="74" spans="1:41" x14ac:dyDescent="0.3">
      <c r="A74" t="s">
        <v>104</v>
      </c>
      <c r="B74" s="8">
        <v>45761</v>
      </c>
      <c r="C74" s="2">
        <v>0.43333333333333335</v>
      </c>
      <c r="D74" t="s">
        <v>15</v>
      </c>
      <c r="E74" t="s">
        <v>16</v>
      </c>
      <c r="F74" t="s">
        <v>29</v>
      </c>
      <c r="G74">
        <v>5</v>
      </c>
      <c r="H74" s="6">
        <v>45538.28</v>
      </c>
      <c r="I74" s="6">
        <v>4067.99</v>
      </c>
      <c r="J74">
        <v>24</v>
      </c>
      <c r="K74">
        <v>29</v>
      </c>
      <c r="L74" t="s">
        <v>18</v>
      </c>
      <c r="M74" t="s">
        <v>19</v>
      </c>
      <c r="N74">
        <v>5</v>
      </c>
      <c r="O74" s="4"/>
      <c r="P74" s="4" t="str">
        <f>IF(Data_Set_2[[#This Row],[valor_bruto]]&gt;$W$13,"OUTLIER+","")</f>
        <v/>
      </c>
      <c r="Q74" s="4" t="str">
        <f>IF(Data_Set_2[[#This Row],[valor_bruto]]&lt;$W$14,"OUTLIER-","")</f>
        <v/>
      </c>
      <c r="R74" s="4"/>
      <c r="S74" s="4"/>
      <c r="AB74" t="str">
        <v>RES-100072</v>
      </c>
      <c r="AC74">
        <v>45761</v>
      </c>
      <c r="AD74">
        <v>0.43333333333333335</v>
      </c>
      <c r="AE74" t="str">
        <v>Laureles</v>
      </c>
      <c r="AF74" t="str">
        <v>Mesa</v>
      </c>
      <c r="AG74" t="str">
        <v>Parrilla</v>
      </c>
      <c r="AH74">
        <v>5</v>
      </c>
      <c r="AI74">
        <v>45538.28</v>
      </c>
      <c r="AJ74">
        <v>4067.99</v>
      </c>
      <c r="AK74">
        <v>24</v>
      </c>
      <c r="AL74">
        <v>29</v>
      </c>
      <c r="AM74" t="str">
        <v>Tarjeta</v>
      </c>
      <c r="AN74" t="str">
        <v>Entregada</v>
      </c>
      <c r="AO74">
        <v>5</v>
      </c>
    </row>
    <row r="75" spans="1:41" x14ac:dyDescent="0.3">
      <c r="A75" t="s">
        <v>105</v>
      </c>
      <c r="B75" s="8">
        <v>45762</v>
      </c>
      <c r="C75" s="2">
        <v>0.47986111111111113</v>
      </c>
      <c r="D75" t="s">
        <v>21</v>
      </c>
      <c r="E75" t="s">
        <v>22</v>
      </c>
      <c r="F75" t="s">
        <v>34</v>
      </c>
      <c r="G75">
        <v>5</v>
      </c>
      <c r="H75" s="6">
        <v>49617.86</v>
      </c>
      <c r="I75" s="6">
        <v>520.64</v>
      </c>
      <c r="J75">
        <v>31</v>
      </c>
      <c r="K75">
        <v>23</v>
      </c>
      <c r="L75" t="s">
        <v>24</v>
      </c>
      <c r="M75" t="s">
        <v>25</v>
      </c>
      <c r="N75">
        <v>5</v>
      </c>
      <c r="O75" s="4"/>
      <c r="P75" s="4" t="str">
        <f>IF(Data_Set_2[[#This Row],[valor_bruto]]&gt;$W$13,"OUTLIER+","")</f>
        <v/>
      </c>
      <c r="Q75" s="4" t="str">
        <f>IF(Data_Set_2[[#This Row],[valor_bruto]]&lt;$W$14,"OUTLIER-","")</f>
        <v/>
      </c>
      <c r="R75" s="4"/>
      <c r="S75" s="4"/>
      <c r="AB75" t="str">
        <v>RES-100073</v>
      </c>
      <c r="AC75">
        <v>45762</v>
      </c>
      <c r="AD75">
        <v>0.47986111111111113</v>
      </c>
      <c r="AE75" t="str">
        <v>Poblado</v>
      </c>
      <c r="AF75" t="str">
        <v>Domicilio</v>
      </c>
      <c r="AG75" t="str">
        <v>Vegano</v>
      </c>
      <c r="AH75">
        <v>5</v>
      </c>
      <c r="AI75">
        <v>49617.86</v>
      </c>
      <c r="AJ75">
        <v>520.64</v>
      </c>
      <c r="AK75">
        <v>31</v>
      </c>
      <c r="AL75">
        <v>23</v>
      </c>
      <c r="AM75" t="str">
        <v>Efectivo</v>
      </c>
      <c r="AN75" t="str">
        <v>Cancelada</v>
      </c>
      <c r="AO75">
        <v>5</v>
      </c>
    </row>
    <row r="76" spans="1:41" x14ac:dyDescent="0.3">
      <c r="A76" t="s">
        <v>106</v>
      </c>
      <c r="B76" s="8">
        <v>45763</v>
      </c>
      <c r="C76" s="2">
        <v>0.52638888888888891</v>
      </c>
      <c r="D76" t="s">
        <v>27</v>
      </c>
      <c r="E76" t="s">
        <v>28</v>
      </c>
      <c r="F76" t="s">
        <v>36</v>
      </c>
      <c r="G76">
        <v>2</v>
      </c>
      <c r="H76" s="6">
        <v>49537.78</v>
      </c>
      <c r="I76" s="6">
        <v>1471.64</v>
      </c>
      <c r="J76">
        <v>31</v>
      </c>
      <c r="K76">
        <v>34</v>
      </c>
      <c r="L76" t="s">
        <v>30</v>
      </c>
      <c r="M76" t="s">
        <v>31</v>
      </c>
      <c r="N76">
        <v>3</v>
      </c>
      <c r="O76" s="4"/>
      <c r="P76" s="4" t="str">
        <f>IF(Data_Set_2[[#This Row],[valor_bruto]]&gt;$W$13,"OUTLIER+","")</f>
        <v/>
      </c>
      <c r="Q76" s="4" t="str">
        <f>IF(Data_Set_2[[#This Row],[valor_bruto]]&lt;$W$14,"OUTLIER-","")</f>
        <v/>
      </c>
      <c r="R76" s="4"/>
      <c r="S76" s="4"/>
      <c r="AB76" t="str">
        <v>RES-100074</v>
      </c>
      <c r="AC76">
        <v>45763</v>
      </c>
      <c r="AD76">
        <v>0.52638888888888891</v>
      </c>
      <c r="AE76" t="str">
        <v>Centro</v>
      </c>
      <c r="AF76" t="str">
        <v>Recoge</v>
      </c>
      <c r="AG76" t="str">
        <v>Bebidas</v>
      </c>
      <c r="AH76">
        <v>2</v>
      </c>
      <c r="AI76">
        <v>49537.78</v>
      </c>
      <c r="AJ76">
        <v>1471.64</v>
      </c>
      <c r="AK76">
        <v>31</v>
      </c>
      <c r="AL76">
        <v>34</v>
      </c>
      <c r="AM76" t="str">
        <v>App</v>
      </c>
      <c r="AN76" t="str">
        <v>Reembolsada</v>
      </c>
      <c r="AO76">
        <v>3</v>
      </c>
    </row>
    <row r="77" spans="1:41" x14ac:dyDescent="0.3">
      <c r="A77" t="s">
        <v>107</v>
      </c>
      <c r="B77" s="8">
        <v>45764</v>
      </c>
      <c r="C77" s="2">
        <v>0.57291666666666663</v>
      </c>
      <c r="D77" t="s">
        <v>33</v>
      </c>
      <c r="E77" t="s">
        <v>16</v>
      </c>
      <c r="F77" t="s">
        <v>17</v>
      </c>
      <c r="G77">
        <v>5</v>
      </c>
      <c r="H77" s="6">
        <v>53147.67</v>
      </c>
      <c r="I77" s="6">
        <v>6272.54</v>
      </c>
      <c r="J77">
        <v>30</v>
      </c>
      <c r="K77">
        <v>41</v>
      </c>
      <c r="L77" t="s">
        <v>18</v>
      </c>
      <c r="M77" t="s">
        <v>19</v>
      </c>
      <c r="N77">
        <v>5</v>
      </c>
      <c r="O77" s="4"/>
      <c r="P77" s="4" t="str">
        <f>IF(Data_Set_2[[#This Row],[valor_bruto]]&gt;$W$13,"OUTLIER+","")</f>
        <v/>
      </c>
      <c r="Q77" s="4" t="str">
        <f>IF(Data_Set_2[[#This Row],[valor_bruto]]&lt;$W$14,"OUTLIER-","")</f>
        <v/>
      </c>
      <c r="R77" s="4"/>
      <c r="S77" s="4"/>
      <c r="AB77" t="str">
        <v>RES-100075</v>
      </c>
      <c r="AC77">
        <v>45764</v>
      </c>
      <c r="AD77">
        <v>0.57291666666666663</v>
      </c>
      <c r="AE77" t="str">
        <v>Envigado</v>
      </c>
      <c r="AF77" t="str">
        <v>Mesa</v>
      </c>
      <c r="AG77" t="str">
        <v>Comida rapida</v>
      </c>
      <c r="AH77">
        <v>5</v>
      </c>
      <c r="AI77">
        <v>53147.67</v>
      </c>
      <c r="AJ77">
        <v>6272.54</v>
      </c>
      <c r="AK77">
        <v>30</v>
      </c>
      <c r="AL77">
        <v>41</v>
      </c>
      <c r="AM77" t="str">
        <v>Tarjeta</v>
      </c>
      <c r="AN77" t="str">
        <v>Entregada</v>
      </c>
      <c r="AO77">
        <v>5</v>
      </c>
    </row>
    <row r="78" spans="1:41" x14ac:dyDescent="0.3">
      <c r="A78" t="s">
        <v>108</v>
      </c>
      <c r="B78" s="8">
        <v>45765</v>
      </c>
      <c r="C78" s="2">
        <v>0.61944444444444446</v>
      </c>
      <c r="D78" t="s">
        <v>15</v>
      </c>
      <c r="E78" t="s">
        <v>22</v>
      </c>
      <c r="F78" t="s">
        <v>23</v>
      </c>
      <c r="G78">
        <v>4</v>
      </c>
      <c r="H78" s="6">
        <v>65137.120000000003</v>
      </c>
      <c r="I78" s="6">
        <v>6438.24</v>
      </c>
      <c r="J78">
        <v>24</v>
      </c>
      <c r="K78">
        <v>53</v>
      </c>
      <c r="L78" t="s">
        <v>24</v>
      </c>
      <c r="M78" t="s">
        <v>25</v>
      </c>
      <c r="N78">
        <v>4</v>
      </c>
      <c r="O78" s="4"/>
      <c r="P78" s="4" t="str">
        <f>IF(Data_Set_2[[#This Row],[valor_bruto]]&gt;$W$13,"OUTLIER+","")</f>
        <v/>
      </c>
      <c r="Q78" s="4" t="str">
        <f>IF(Data_Set_2[[#This Row],[valor_bruto]]&lt;$W$14,"OUTLIER-","")</f>
        <v/>
      </c>
      <c r="R78" s="4"/>
      <c r="S78" s="4"/>
      <c r="AB78" t="str">
        <v>RES-100076</v>
      </c>
      <c r="AC78">
        <v>45765</v>
      </c>
      <c r="AD78">
        <v>0.61944444444444446</v>
      </c>
      <c r="AE78" t="str">
        <v>Laureles</v>
      </c>
      <c r="AF78" t="str">
        <v>Domicilio</v>
      </c>
      <c r="AG78" t="str">
        <v>Pasta</v>
      </c>
      <c r="AH78">
        <v>4</v>
      </c>
      <c r="AI78">
        <v>65137.120000000003</v>
      </c>
      <c r="AJ78">
        <v>6438.24</v>
      </c>
      <c r="AK78">
        <v>24</v>
      </c>
      <c r="AL78">
        <v>53</v>
      </c>
      <c r="AM78" t="str">
        <v>Efectivo</v>
      </c>
      <c r="AN78" t="str">
        <v>Cancelada</v>
      </c>
      <c r="AO78">
        <v>4</v>
      </c>
    </row>
    <row r="79" spans="1:41" x14ac:dyDescent="0.3">
      <c r="A79" t="s">
        <v>109</v>
      </c>
      <c r="B79" s="8">
        <v>45766</v>
      </c>
      <c r="C79" s="2">
        <v>0.66597222222222219</v>
      </c>
      <c r="D79" t="s">
        <v>21</v>
      </c>
      <c r="E79" t="s">
        <v>28</v>
      </c>
      <c r="F79" t="s">
        <v>29</v>
      </c>
      <c r="G79">
        <v>3</v>
      </c>
      <c r="H79" s="6">
        <v>57248.25</v>
      </c>
      <c r="I79" s="6">
        <v>1370.54</v>
      </c>
      <c r="J79">
        <v>31</v>
      </c>
      <c r="K79">
        <v>53</v>
      </c>
      <c r="L79" t="s">
        <v>30</v>
      </c>
      <c r="M79" t="s">
        <v>31</v>
      </c>
      <c r="N79">
        <v>5</v>
      </c>
      <c r="O79" s="4"/>
      <c r="P79" s="4" t="str">
        <f>IF(Data_Set_2[[#This Row],[valor_bruto]]&gt;$W$13,"OUTLIER+","")</f>
        <v/>
      </c>
      <c r="Q79" s="4" t="str">
        <f>IF(Data_Set_2[[#This Row],[valor_bruto]]&lt;$W$14,"OUTLIER-","")</f>
        <v/>
      </c>
      <c r="R79" s="4"/>
      <c r="S79" s="4"/>
      <c r="AB79" t="str">
        <v>RES-100077</v>
      </c>
      <c r="AC79">
        <v>45766</v>
      </c>
      <c r="AD79">
        <v>0.66597222222222219</v>
      </c>
      <c r="AE79" t="str">
        <v>Poblado</v>
      </c>
      <c r="AF79" t="str">
        <v>Recoge</v>
      </c>
      <c r="AG79" t="str">
        <v>Parrilla</v>
      </c>
      <c r="AH79">
        <v>3</v>
      </c>
      <c r="AI79">
        <v>57248.25</v>
      </c>
      <c r="AJ79">
        <v>1370.54</v>
      </c>
      <c r="AK79">
        <v>31</v>
      </c>
      <c r="AL79">
        <v>53</v>
      </c>
      <c r="AM79" t="str">
        <v>App</v>
      </c>
      <c r="AN79" t="str">
        <v>Reembolsada</v>
      </c>
      <c r="AO79">
        <v>5</v>
      </c>
    </row>
    <row r="80" spans="1:41" x14ac:dyDescent="0.3">
      <c r="A80" t="s">
        <v>110</v>
      </c>
      <c r="B80" s="8">
        <v>45767</v>
      </c>
      <c r="C80" s="2">
        <v>0.67083333333333328</v>
      </c>
      <c r="D80" t="s">
        <v>27</v>
      </c>
      <c r="E80" t="s">
        <v>16</v>
      </c>
      <c r="F80" t="s">
        <v>34</v>
      </c>
      <c r="G80">
        <v>5</v>
      </c>
      <c r="H80" s="6">
        <v>60342.44</v>
      </c>
      <c r="I80" s="6">
        <v>2321.58</v>
      </c>
      <c r="J80">
        <v>17</v>
      </c>
      <c r="K80">
        <v>37</v>
      </c>
      <c r="L80" t="s">
        <v>18</v>
      </c>
      <c r="M80" t="s">
        <v>19</v>
      </c>
      <c r="N80">
        <f>VLOOKUP(Data_Set_2[[#This Row],[estado]],M2:N79,2,0)</f>
        <v>5</v>
      </c>
      <c r="O80" s="4"/>
      <c r="P80" s="4" t="str">
        <f>IF(Data_Set_2[[#This Row],[valor_bruto]]&gt;$W$13,"OUTLIER+","")</f>
        <v/>
      </c>
      <c r="Q80" s="4" t="str">
        <f>IF(Data_Set_2[[#This Row],[valor_bruto]]&lt;$W$14,"OUTLIER-","")</f>
        <v/>
      </c>
      <c r="R80" s="4"/>
      <c r="S80" s="4"/>
      <c r="AB80" t="str">
        <v>RES-100078</v>
      </c>
      <c r="AC80">
        <v>45767</v>
      </c>
      <c r="AD80">
        <v>0.67083333333333328</v>
      </c>
      <c r="AE80" t="str">
        <v>Centro</v>
      </c>
      <c r="AF80" t="str">
        <v>Mesa</v>
      </c>
      <c r="AG80" t="str">
        <v>Vegano</v>
      </c>
      <c r="AH80">
        <v>5</v>
      </c>
      <c r="AI80">
        <v>60342.44</v>
      </c>
      <c r="AJ80">
        <v>2321.58</v>
      </c>
      <c r="AK80">
        <v>17</v>
      </c>
      <c r="AL80">
        <v>37</v>
      </c>
      <c r="AM80" t="str">
        <v>Tarjeta</v>
      </c>
      <c r="AN80" t="str">
        <v>Entregada</v>
      </c>
      <c r="AO80">
        <v>5</v>
      </c>
    </row>
    <row r="81" spans="1:41" x14ac:dyDescent="0.3">
      <c r="A81" t="s">
        <v>111</v>
      </c>
      <c r="B81" s="8">
        <v>45768</v>
      </c>
      <c r="C81" s="2">
        <v>0.71736111111111112</v>
      </c>
      <c r="D81" t="s">
        <v>33</v>
      </c>
      <c r="E81" t="s">
        <v>22</v>
      </c>
      <c r="F81" t="s">
        <v>36</v>
      </c>
      <c r="G81">
        <v>2</v>
      </c>
      <c r="H81" s="6">
        <v>68947.240000000005</v>
      </c>
      <c r="I81" s="6">
        <v>4545.7700000000004</v>
      </c>
      <c r="J81">
        <v>19</v>
      </c>
      <c r="K81">
        <v>24</v>
      </c>
      <c r="L81" t="s">
        <v>24</v>
      </c>
      <c r="M81" t="s">
        <v>25</v>
      </c>
      <c r="N81">
        <v>3</v>
      </c>
      <c r="O81" s="4"/>
      <c r="P81" s="4" t="str">
        <f>IF(Data_Set_2[[#This Row],[valor_bruto]]&gt;$W$13,"OUTLIER+","")</f>
        <v/>
      </c>
      <c r="Q81" s="4" t="str">
        <f>IF(Data_Set_2[[#This Row],[valor_bruto]]&lt;$W$14,"OUTLIER-","")</f>
        <v/>
      </c>
      <c r="R81" s="4"/>
      <c r="S81" s="4"/>
      <c r="AB81" t="str">
        <v>RES-100079</v>
      </c>
      <c r="AC81">
        <v>45768</v>
      </c>
      <c r="AD81">
        <v>0.71736111111111112</v>
      </c>
      <c r="AE81" t="str">
        <v>Envigado</v>
      </c>
      <c r="AF81" t="str">
        <v>Domicilio</v>
      </c>
      <c r="AG81" t="str">
        <v>Bebidas</v>
      </c>
      <c r="AH81">
        <v>2</v>
      </c>
      <c r="AI81">
        <v>68947.240000000005</v>
      </c>
      <c r="AJ81">
        <v>4545.7700000000004</v>
      </c>
      <c r="AK81">
        <v>19</v>
      </c>
      <c r="AL81">
        <v>24</v>
      </c>
      <c r="AM81" t="str">
        <v>Efectivo</v>
      </c>
      <c r="AN81" t="str">
        <v>Cancelada</v>
      </c>
      <c r="AO81">
        <v>3</v>
      </c>
    </row>
    <row r="82" spans="1:41" x14ac:dyDescent="0.3">
      <c r="A82" t="s">
        <v>112</v>
      </c>
      <c r="B82" s="8">
        <v>45769</v>
      </c>
      <c r="C82" s="2">
        <v>0.76388888888888884</v>
      </c>
      <c r="D82" t="s">
        <v>15</v>
      </c>
      <c r="E82" t="s">
        <v>28</v>
      </c>
      <c r="F82" t="s">
        <v>17</v>
      </c>
      <c r="G82">
        <v>3</v>
      </c>
      <c r="H82" s="6">
        <v>27554.97</v>
      </c>
      <c r="I82" s="6">
        <v>3146.66</v>
      </c>
      <c r="J82">
        <v>23</v>
      </c>
      <c r="K82">
        <v>38</v>
      </c>
      <c r="L82" t="s">
        <v>30</v>
      </c>
      <c r="M82" t="s">
        <v>31</v>
      </c>
      <c r="N82">
        <v>5</v>
      </c>
      <c r="O82" s="4"/>
      <c r="P82" s="4" t="str">
        <f>IF(Data_Set_2[[#This Row],[valor_bruto]]&gt;$W$13,"OUTLIER+","")</f>
        <v/>
      </c>
      <c r="Q82" s="4" t="str">
        <f>IF(Data_Set_2[[#This Row],[valor_bruto]]&lt;$W$14,"OUTLIER-","")</f>
        <v/>
      </c>
      <c r="R82" s="4"/>
      <c r="S82" s="4"/>
      <c r="AB82" t="str">
        <v>RES-100080</v>
      </c>
      <c r="AC82">
        <v>45769</v>
      </c>
      <c r="AD82">
        <v>0.76388888888888884</v>
      </c>
      <c r="AE82" t="str">
        <v>Laureles</v>
      </c>
      <c r="AF82" t="str">
        <v>Recoge</v>
      </c>
      <c r="AG82" t="str">
        <v>Comida rapida</v>
      </c>
      <c r="AH82">
        <v>3</v>
      </c>
      <c r="AI82">
        <v>27554.97</v>
      </c>
      <c r="AJ82">
        <v>3146.66</v>
      </c>
      <c r="AK82">
        <v>23</v>
      </c>
      <c r="AL82">
        <v>38</v>
      </c>
      <c r="AM82" t="str">
        <v>App</v>
      </c>
      <c r="AN82" t="str">
        <v>Reembolsada</v>
      </c>
      <c r="AO82">
        <v>5</v>
      </c>
    </row>
    <row r="83" spans="1:41" x14ac:dyDescent="0.3">
      <c r="A83" t="s">
        <v>113</v>
      </c>
      <c r="B83" s="8">
        <v>45770</v>
      </c>
      <c r="C83" s="2">
        <v>0.81041666666666667</v>
      </c>
      <c r="D83" t="s">
        <v>21</v>
      </c>
      <c r="E83" t="s">
        <v>16</v>
      </c>
      <c r="F83" t="s">
        <v>23</v>
      </c>
      <c r="G83">
        <v>6</v>
      </c>
      <c r="H83" s="6">
        <v>69221.08</v>
      </c>
      <c r="I83" s="6">
        <v>7960.52</v>
      </c>
      <c r="J83">
        <v>24</v>
      </c>
      <c r="K83">
        <v>35</v>
      </c>
      <c r="L83" t="s">
        <v>18</v>
      </c>
      <c r="M83" t="s">
        <v>19</v>
      </c>
      <c r="N83">
        <v>5</v>
      </c>
      <c r="O83" s="4"/>
      <c r="P83" s="4" t="str">
        <f>IF(Data_Set_2[[#This Row],[valor_bruto]]&gt;$W$13,"OUTLIER+","")</f>
        <v/>
      </c>
      <c r="Q83" s="4" t="str">
        <f>IF(Data_Set_2[[#This Row],[valor_bruto]]&lt;$W$14,"OUTLIER-","")</f>
        <v/>
      </c>
      <c r="R83" s="4"/>
      <c r="S83" s="4"/>
      <c r="AB83" t="str">
        <v>RES-100081</v>
      </c>
      <c r="AC83">
        <v>45770</v>
      </c>
      <c r="AD83">
        <v>0.81041666666666667</v>
      </c>
      <c r="AE83" t="str">
        <v>Poblado</v>
      </c>
      <c r="AF83" t="str">
        <v>Mesa</v>
      </c>
      <c r="AG83" t="str">
        <v>Pasta</v>
      </c>
      <c r="AH83">
        <v>6</v>
      </c>
      <c r="AI83">
        <v>69221.08</v>
      </c>
      <c r="AJ83">
        <v>7960.52</v>
      </c>
      <c r="AK83">
        <v>24</v>
      </c>
      <c r="AL83">
        <v>35</v>
      </c>
      <c r="AM83" t="str">
        <v>Tarjeta</v>
      </c>
      <c r="AN83" t="str">
        <v>Entregada</v>
      </c>
      <c r="AO83">
        <v>5</v>
      </c>
    </row>
    <row r="84" spans="1:41" x14ac:dyDescent="0.3">
      <c r="A84" t="s">
        <v>114</v>
      </c>
      <c r="B84" s="8">
        <v>45771</v>
      </c>
      <c r="C84" s="2">
        <v>0.8569444444444444</v>
      </c>
      <c r="D84" t="s">
        <v>27</v>
      </c>
      <c r="E84" t="s">
        <v>22</v>
      </c>
      <c r="F84" t="s">
        <v>29</v>
      </c>
      <c r="G84">
        <v>5</v>
      </c>
      <c r="H84" s="6">
        <v>64394.71</v>
      </c>
      <c r="I84" s="6">
        <v>2226.1999999999998</v>
      </c>
      <c r="J84">
        <v>28</v>
      </c>
      <c r="K84">
        <v>48</v>
      </c>
      <c r="L84" t="s">
        <v>24</v>
      </c>
      <c r="M84" t="s">
        <v>25</v>
      </c>
      <c r="N84">
        <v>3</v>
      </c>
      <c r="O84" s="4"/>
      <c r="P84" s="4" t="str">
        <f>IF(Data_Set_2[[#This Row],[valor_bruto]]&gt;$W$13,"OUTLIER+","")</f>
        <v/>
      </c>
      <c r="Q84" s="4" t="str">
        <f>IF(Data_Set_2[[#This Row],[valor_bruto]]&lt;$W$14,"OUTLIER-","")</f>
        <v/>
      </c>
      <c r="R84" s="4"/>
      <c r="S84" s="4"/>
      <c r="AB84" t="str">
        <v>RES-100082</v>
      </c>
      <c r="AC84">
        <v>45771</v>
      </c>
      <c r="AD84">
        <v>0.8569444444444444</v>
      </c>
      <c r="AE84" t="str">
        <v>Centro</v>
      </c>
      <c r="AF84" t="str">
        <v>Domicilio</v>
      </c>
      <c r="AG84" t="str">
        <v>Parrilla</v>
      </c>
      <c r="AH84">
        <v>5</v>
      </c>
      <c r="AI84">
        <v>64394.71</v>
      </c>
      <c r="AJ84">
        <v>2226.1999999999998</v>
      </c>
      <c r="AK84">
        <v>28</v>
      </c>
      <c r="AL84">
        <v>48</v>
      </c>
      <c r="AM84" t="str">
        <v>Efectivo</v>
      </c>
      <c r="AN84" t="str">
        <v>Cancelada</v>
      </c>
      <c r="AO84">
        <v>3</v>
      </c>
    </row>
    <row r="85" spans="1:41" x14ac:dyDescent="0.3">
      <c r="A85" t="s">
        <v>115</v>
      </c>
      <c r="B85" s="8">
        <v>45772</v>
      </c>
      <c r="C85" s="2">
        <v>0.90347222222222223</v>
      </c>
      <c r="D85" t="s">
        <v>33</v>
      </c>
      <c r="E85" t="s">
        <v>28</v>
      </c>
      <c r="F85" t="s">
        <v>34</v>
      </c>
      <c r="G85">
        <v>6</v>
      </c>
      <c r="H85" s="6">
        <v>39007.81</v>
      </c>
      <c r="I85" s="6">
        <v>6208.63</v>
      </c>
      <c r="J85">
        <v>25</v>
      </c>
      <c r="K85">
        <v>33</v>
      </c>
      <c r="L85" t="s">
        <v>30</v>
      </c>
      <c r="M85" t="s">
        <v>31</v>
      </c>
      <c r="N85">
        <v>3</v>
      </c>
      <c r="O85" s="4"/>
      <c r="P85" s="4" t="str">
        <f>IF(Data_Set_2[[#This Row],[valor_bruto]]&gt;$W$13,"OUTLIER+","")</f>
        <v/>
      </c>
      <c r="Q85" s="4" t="str">
        <f>IF(Data_Set_2[[#This Row],[valor_bruto]]&lt;$W$14,"OUTLIER-","")</f>
        <v/>
      </c>
      <c r="R85" s="4"/>
      <c r="S85" s="4"/>
      <c r="AB85" t="str">
        <v>RES-100083</v>
      </c>
      <c r="AC85">
        <v>45772</v>
      </c>
      <c r="AD85">
        <v>0.90347222222222223</v>
      </c>
      <c r="AE85" t="str">
        <v>Envigado</v>
      </c>
      <c r="AF85" t="str">
        <v>Recoge</v>
      </c>
      <c r="AG85" t="str">
        <v>Vegano</v>
      </c>
      <c r="AH85">
        <v>6</v>
      </c>
      <c r="AI85">
        <v>39007.81</v>
      </c>
      <c r="AJ85">
        <v>6208.63</v>
      </c>
      <c r="AK85">
        <v>25</v>
      </c>
      <c r="AL85">
        <v>33</v>
      </c>
      <c r="AM85" t="str">
        <v>App</v>
      </c>
      <c r="AN85" t="str">
        <v>Reembolsada</v>
      </c>
      <c r="AO85">
        <v>3</v>
      </c>
    </row>
    <row r="86" spans="1:41" x14ac:dyDescent="0.3">
      <c r="A86" t="s">
        <v>116</v>
      </c>
      <c r="B86" s="8">
        <v>45773</v>
      </c>
      <c r="C86" s="2">
        <v>0.45</v>
      </c>
      <c r="D86" t="s">
        <v>15</v>
      </c>
      <c r="E86" t="s">
        <v>16</v>
      </c>
      <c r="F86" t="s">
        <v>36</v>
      </c>
      <c r="G86">
        <v>6</v>
      </c>
      <c r="H86" s="6">
        <v>45573.17</v>
      </c>
      <c r="I86" s="6">
        <v>2995.88</v>
      </c>
      <c r="J86">
        <v>27</v>
      </c>
      <c r="K86">
        <v>52</v>
      </c>
      <c r="L86" t="s">
        <v>18</v>
      </c>
      <c r="M86" t="s">
        <v>19</v>
      </c>
      <c r="N86">
        <v>5</v>
      </c>
      <c r="O86" s="4"/>
      <c r="P86" s="4" t="str">
        <f>IF(Data_Set_2[[#This Row],[valor_bruto]]&gt;$W$13,"OUTLIER+","")</f>
        <v/>
      </c>
      <c r="Q86" s="4" t="str">
        <f>IF(Data_Set_2[[#This Row],[valor_bruto]]&lt;$W$14,"OUTLIER-","")</f>
        <v/>
      </c>
      <c r="R86" s="4"/>
      <c r="S86" s="4"/>
      <c r="AB86" t="str">
        <v>RES-100084</v>
      </c>
      <c r="AC86">
        <v>45773</v>
      </c>
      <c r="AD86">
        <v>0.45</v>
      </c>
      <c r="AE86" t="str">
        <v>Laureles</v>
      </c>
      <c r="AF86" t="str">
        <v>Mesa</v>
      </c>
      <c r="AG86" t="str">
        <v>Bebidas</v>
      </c>
      <c r="AH86">
        <v>6</v>
      </c>
      <c r="AI86">
        <v>45573.17</v>
      </c>
      <c r="AJ86">
        <v>2995.88</v>
      </c>
      <c r="AK86">
        <v>27</v>
      </c>
      <c r="AL86">
        <v>52</v>
      </c>
      <c r="AM86" t="str">
        <v>Tarjeta</v>
      </c>
      <c r="AN86" t="str">
        <v>Entregada</v>
      </c>
      <c r="AO86">
        <v>5</v>
      </c>
    </row>
    <row r="87" spans="1:41" x14ac:dyDescent="0.3">
      <c r="A87" t="s">
        <v>117</v>
      </c>
      <c r="B87" s="8">
        <v>45774</v>
      </c>
      <c r="C87" s="2">
        <v>0.49652777777777779</v>
      </c>
      <c r="D87" t="s">
        <v>21</v>
      </c>
      <c r="E87" t="s">
        <v>22</v>
      </c>
      <c r="F87" t="s">
        <v>17</v>
      </c>
      <c r="G87">
        <v>4</v>
      </c>
      <c r="H87" s="6">
        <v>68475.47</v>
      </c>
      <c r="I87" s="6">
        <v>7650.38</v>
      </c>
      <c r="J87">
        <v>18</v>
      </c>
      <c r="K87">
        <v>45</v>
      </c>
      <c r="L87" t="s">
        <v>24</v>
      </c>
      <c r="M87" t="s">
        <v>25</v>
      </c>
      <c r="N87">
        <f>VLOOKUP(Data_Set_2[[#This Row],[estado]],M2:N86,2,0)</f>
        <v>3</v>
      </c>
      <c r="O87" s="4"/>
      <c r="P87" s="4" t="str">
        <f>IF(Data_Set_2[[#This Row],[valor_bruto]]&gt;$W$13,"OUTLIER+","")</f>
        <v/>
      </c>
      <c r="Q87" s="4" t="str">
        <f>IF(Data_Set_2[[#This Row],[valor_bruto]]&lt;$W$14,"OUTLIER-","")</f>
        <v/>
      </c>
      <c r="R87" s="4"/>
      <c r="S87" s="4"/>
      <c r="AB87" t="str">
        <v>RES-100085</v>
      </c>
      <c r="AC87">
        <v>45774</v>
      </c>
      <c r="AD87">
        <v>0.49652777777777779</v>
      </c>
      <c r="AE87" t="str">
        <v>Poblado</v>
      </c>
      <c r="AF87" t="str">
        <v>Domicilio</v>
      </c>
      <c r="AG87" t="str">
        <v>Comida rapida</v>
      </c>
      <c r="AH87">
        <v>4</v>
      </c>
      <c r="AI87">
        <v>68475.47</v>
      </c>
      <c r="AJ87">
        <v>7650.38</v>
      </c>
      <c r="AK87">
        <v>18</v>
      </c>
      <c r="AL87">
        <v>45</v>
      </c>
      <c r="AM87" t="str">
        <v>Efectivo</v>
      </c>
      <c r="AN87" t="str">
        <v>Cancelada</v>
      </c>
      <c r="AO87">
        <v>3</v>
      </c>
    </row>
    <row r="88" spans="1:41" x14ac:dyDescent="0.3">
      <c r="A88" t="s">
        <v>118</v>
      </c>
      <c r="B88" s="8">
        <v>45775</v>
      </c>
      <c r="C88" s="2">
        <v>0.50138888888888888</v>
      </c>
      <c r="D88" t="s">
        <v>27</v>
      </c>
      <c r="E88" t="s">
        <v>28</v>
      </c>
      <c r="F88" t="s">
        <v>23</v>
      </c>
      <c r="G88">
        <v>6</v>
      </c>
      <c r="H88" s="6">
        <v>26633.93</v>
      </c>
      <c r="I88" s="6">
        <v>5984.25</v>
      </c>
      <c r="J88">
        <v>29</v>
      </c>
      <c r="K88">
        <v>43</v>
      </c>
      <c r="L88" t="s">
        <v>30</v>
      </c>
      <c r="M88" t="s">
        <v>31</v>
      </c>
      <c r="N88">
        <v>3</v>
      </c>
      <c r="O88" s="4"/>
      <c r="P88" s="4" t="str">
        <f>IF(Data_Set_2[[#This Row],[valor_bruto]]&gt;$W$13,"OUTLIER+","")</f>
        <v/>
      </c>
      <c r="Q88" s="4" t="str">
        <f>IF(Data_Set_2[[#This Row],[valor_bruto]]&lt;$W$14,"OUTLIER-","")</f>
        <v/>
      </c>
      <c r="R88" s="4"/>
      <c r="S88" s="4"/>
      <c r="AB88" t="str">
        <v>RES-100086</v>
      </c>
      <c r="AC88">
        <v>45775</v>
      </c>
      <c r="AD88">
        <v>0.50138888888888888</v>
      </c>
      <c r="AE88" t="str">
        <v>Centro</v>
      </c>
      <c r="AF88" t="str">
        <v>Recoge</v>
      </c>
      <c r="AG88" t="str">
        <v>Pasta</v>
      </c>
      <c r="AH88">
        <v>6</v>
      </c>
      <c r="AI88">
        <v>26633.93</v>
      </c>
      <c r="AJ88">
        <v>5984.25</v>
      </c>
      <c r="AK88">
        <v>29</v>
      </c>
      <c r="AL88">
        <v>43</v>
      </c>
      <c r="AM88" t="str">
        <v>App</v>
      </c>
      <c r="AN88" t="str">
        <v>Reembolsada</v>
      </c>
      <c r="AO88">
        <v>3</v>
      </c>
    </row>
    <row r="89" spans="1:41" x14ac:dyDescent="0.3">
      <c r="A89" t="s">
        <v>119</v>
      </c>
      <c r="B89" s="8">
        <v>45776</v>
      </c>
      <c r="C89" s="2">
        <v>0.54791666666666672</v>
      </c>
      <c r="D89" t="s">
        <v>33</v>
      </c>
      <c r="E89" t="s">
        <v>16</v>
      </c>
      <c r="F89" t="s">
        <v>29</v>
      </c>
      <c r="G89">
        <v>4</v>
      </c>
      <c r="H89" s="6">
        <v>41981.59</v>
      </c>
      <c r="I89" s="6">
        <v>6036.18</v>
      </c>
      <c r="J89">
        <v>19</v>
      </c>
      <c r="K89">
        <v>24</v>
      </c>
      <c r="L89" t="s">
        <v>18</v>
      </c>
      <c r="M89" t="s">
        <v>19</v>
      </c>
      <c r="N89">
        <v>4</v>
      </c>
      <c r="O89" s="4"/>
      <c r="P89" s="4" t="str">
        <f>IF(Data_Set_2[[#This Row],[valor_bruto]]&gt;$W$13,"OUTLIER+","")</f>
        <v/>
      </c>
      <c r="Q89" s="4" t="str">
        <f>IF(Data_Set_2[[#This Row],[valor_bruto]]&lt;$W$14,"OUTLIER-","")</f>
        <v/>
      </c>
      <c r="R89" s="4"/>
      <c r="S89" s="4"/>
      <c r="AB89" t="str">
        <v>RES-100087</v>
      </c>
      <c r="AC89">
        <v>45776</v>
      </c>
      <c r="AD89">
        <v>0.54791666666666672</v>
      </c>
      <c r="AE89" t="str">
        <v>Envigado</v>
      </c>
      <c r="AF89" t="str">
        <v>Mesa</v>
      </c>
      <c r="AG89" t="str">
        <v>Parrilla</v>
      </c>
      <c r="AH89">
        <v>4</v>
      </c>
      <c r="AI89">
        <v>41981.59</v>
      </c>
      <c r="AJ89">
        <v>6036.18</v>
      </c>
      <c r="AK89">
        <v>19</v>
      </c>
      <c r="AL89">
        <v>24</v>
      </c>
      <c r="AM89" t="str">
        <v>Tarjeta</v>
      </c>
      <c r="AN89" t="str">
        <v>Entregada</v>
      </c>
      <c r="AO89">
        <v>4</v>
      </c>
    </row>
    <row r="90" spans="1:41" x14ac:dyDescent="0.3">
      <c r="A90" t="s">
        <v>120</v>
      </c>
      <c r="B90" s="8">
        <v>45777</v>
      </c>
      <c r="C90" s="2">
        <v>0.59444444444444444</v>
      </c>
      <c r="D90" t="s">
        <v>15</v>
      </c>
      <c r="E90" t="s">
        <v>22</v>
      </c>
      <c r="F90" t="s">
        <v>34</v>
      </c>
      <c r="G90">
        <v>3</v>
      </c>
      <c r="H90" s="6">
        <v>48304.77</v>
      </c>
      <c r="I90" s="6">
        <v>6441.84</v>
      </c>
      <c r="J90">
        <v>30</v>
      </c>
      <c r="K90">
        <v>49</v>
      </c>
      <c r="L90" t="s">
        <v>24</v>
      </c>
      <c r="M90" t="s">
        <v>25</v>
      </c>
      <c r="N90">
        <v>5</v>
      </c>
      <c r="O90" s="4"/>
      <c r="P90" s="4" t="str">
        <f>IF(Data_Set_2[[#This Row],[valor_bruto]]&gt;$W$13,"OUTLIER+","")</f>
        <v/>
      </c>
      <c r="Q90" s="4" t="str">
        <f>IF(Data_Set_2[[#This Row],[valor_bruto]]&lt;$W$14,"OUTLIER-","")</f>
        <v/>
      </c>
      <c r="R90" s="4"/>
      <c r="S90" s="4"/>
      <c r="AB90" t="str">
        <v>RES-100088</v>
      </c>
      <c r="AC90">
        <v>45777</v>
      </c>
      <c r="AD90">
        <v>0.59444444444444444</v>
      </c>
      <c r="AE90" t="str">
        <v>Laureles</v>
      </c>
      <c r="AF90" t="str">
        <v>Domicilio</v>
      </c>
      <c r="AG90" t="str">
        <v>Vegano</v>
      </c>
      <c r="AH90">
        <v>3</v>
      </c>
      <c r="AI90">
        <v>48304.77</v>
      </c>
      <c r="AJ90">
        <v>6441.84</v>
      </c>
      <c r="AK90">
        <v>30</v>
      </c>
      <c r="AL90">
        <v>49</v>
      </c>
      <c r="AM90" t="str">
        <v>Efectivo</v>
      </c>
      <c r="AN90" t="str">
        <v>Cancelada</v>
      </c>
      <c r="AO90">
        <v>5</v>
      </c>
    </row>
    <row r="91" spans="1:41" x14ac:dyDescent="0.3">
      <c r="A91" t="s">
        <v>121</v>
      </c>
      <c r="B91" s="8">
        <v>45662</v>
      </c>
      <c r="C91" s="2">
        <v>0.64097222222222228</v>
      </c>
      <c r="D91" t="s">
        <v>21</v>
      </c>
      <c r="E91" t="s">
        <v>28</v>
      </c>
      <c r="F91" t="s">
        <v>36</v>
      </c>
      <c r="G91">
        <v>2</v>
      </c>
      <c r="H91" s="6">
        <v>62801.77</v>
      </c>
      <c r="I91" s="6">
        <v>6060.58</v>
      </c>
      <c r="J91">
        <v>15</v>
      </c>
      <c r="K91">
        <v>33</v>
      </c>
      <c r="L91" t="s">
        <v>30</v>
      </c>
      <c r="M91" t="s">
        <v>31</v>
      </c>
      <c r="N91">
        <v>5</v>
      </c>
      <c r="O91" s="4"/>
      <c r="P91" s="4" t="str">
        <f>IF(Data_Set_2[[#This Row],[valor_bruto]]&gt;$W$13,"OUTLIER+","")</f>
        <v/>
      </c>
      <c r="Q91" s="4" t="str">
        <f>IF(Data_Set_2[[#This Row],[valor_bruto]]&lt;$W$14,"OUTLIER-","")</f>
        <v/>
      </c>
      <c r="R91" s="4"/>
      <c r="S91" s="4"/>
      <c r="AB91" t="str">
        <v>RES-100089</v>
      </c>
      <c r="AC91">
        <v>45662</v>
      </c>
      <c r="AD91">
        <v>0.64097222222222228</v>
      </c>
      <c r="AE91" t="str">
        <v>Poblado</v>
      </c>
      <c r="AF91" t="str">
        <v>Recoge</v>
      </c>
      <c r="AG91" t="str">
        <v>Bebidas</v>
      </c>
      <c r="AH91">
        <v>2</v>
      </c>
      <c r="AI91">
        <v>62801.77</v>
      </c>
      <c r="AJ91">
        <v>6060.58</v>
      </c>
      <c r="AK91">
        <v>15</v>
      </c>
      <c r="AL91">
        <v>33</v>
      </c>
      <c r="AM91" t="str">
        <v>App</v>
      </c>
      <c r="AN91" t="str">
        <v>Reembolsada</v>
      </c>
      <c r="AO91">
        <v>5</v>
      </c>
    </row>
    <row r="92" spans="1:41" x14ac:dyDescent="0.3">
      <c r="A92" t="s">
        <v>122</v>
      </c>
      <c r="B92" s="8">
        <v>45779</v>
      </c>
      <c r="C92" s="2">
        <v>0.6875</v>
      </c>
      <c r="D92" t="s">
        <v>27</v>
      </c>
      <c r="E92" t="s">
        <v>16</v>
      </c>
      <c r="F92" t="s">
        <v>17</v>
      </c>
      <c r="G92">
        <v>4</v>
      </c>
      <c r="H92" s="6">
        <v>39595.01</v>
      </c>
      <c r="I92" s="6">
        <v>3226.56</v>
      </c>
      <c r="J92">
        <v>17</v>
      </c>
      <c r="K92">
        <v>28</v>
      </c>
      <c r="L92" t="s">
        <v>18</v>
      </c>
      <c r="M92" t="s">
        <v>19</v>
      </c>
      <c r="N92">
        <v>4</v>
      </c>
      <c r="O92" s="4"/>
      <c r="P92" s="4" t="str">
        <f>IF(Data_Set_2[[#This Row],[valor_bruto]]&gt;$W$13,"OUTLIER+","")</f>
        <v/>
      </c>
      <c r="Q92" s="4" t="str">
        <f>IF(Data_Set_2[[#This Row],[valor_bruto]]&lt;$W$14,"OUTLIER-","")</f>
        <v/>
      </c>
      <c r="R92" s="4"/>
      <c r="S92" s="4"/>
      <c r="AB92" t="str">
        <v>RES-100090</v>
      </c>
      <c r="AC92">
        <v>45779</v>
      </c>
      <c r="AD92">
        <v>0.6875</v>
      </c>
      <c r="AE92" t="str">
        <v>Centro</v>
      </c>
      <c r="AF92" t="str">
        <v>Mesa</v>
      </c>
      <c r="AG92" t="str">
        <v>Comida rapida</v>
      </c>
      <c r="AH92">
        <v>4</v>
      </c>
      <c r="AI92">
        <v>39595.01</v>
      </c>
      <c r="AJ92">
        <v>3226.56</v>
      </c>
      <c r="AK92">
        <v>17</v>
      </c>
      <c r="AL92">
        <v>28</v>
      </c>
      <c r="AM92" t="str">
        <v>Tarjeta</v>
      </c>
      <c r="AN92" t="str">
        <v>Entregada</v>
      </c>
      <c r="AO92">
        <v>4</v>
      </c>
    </row>
    <row r="93" spans="1:41" x14ac:dyDescent="0.3">
      <c r="A93" t="s">
        <v>123</v>
      </c>
      <c r="B93" s="8">
        <v>45780</v>
      </c>
      <c r="C93" s="2">
        <v>0.73402777777777772</v>
      </c>
      <c r="D93" t="s">
        <v>33</v>
      </c>
      <c r="E93" t="s">
        <v>22</v>
      </c>
      <c r="F93" t="s">
        <v>23</v>
      </c>
      <c r="G93">
        <v>2</v>
      </c>
      <c r="H93" s="6">
        <v>43234.31</v>
      </c>
      <c r="I93" s="6">
        <v>7385.68</v>
      </c>
      <c r="J93">
        <v>21</v>
      </c>
      <c r="K93">
        <v>44</v>
      </c>
      <c r="L93" t="s">
        <v>24</v>
      </c>
      <c r="M93" t="s">
        <v>25</v>
      </c>
      <c r="N93">
        <v>4</v>
      </c>
      <c r="O93" s="4"/>
      <c r="P93" s="4" t="str">
        <f>IF(Data_Set_2[[#This Row],[valor_bruto]]&gt;$W$13,"OUTLIER+","")</f>
        <v/>
      </c>
      <c r="Q93" s="4" t="str">
        <f>IF(Data_Set_2[[#This Row],[valor_bruto]]&lt;$W$14,"OUTLIER-","")</f>
        <v/>
      </c>
      <c r="R93" s="4"/>
      <c r="S93" s="4"/>
      <c r="AB93" t="str">
        <v>RES-100091</v>
      </c>
      <c r="AC93">
        <v>45780</v>
      </c>
      <c r="AD93">
        <v>0.73402777777777772</v>
      </c>
      <c r="AE93" t="str">
        <v>Envigado</v>
      </c>
      <c r="AF93" t="str">
        <v>Domicilio</v>
      </c>
      <c r="AG93" t="str">
        <v>Pasta</v>
      </c>
      <c r="AH93">
        <v>2</v>
      </c>
      <c r="AI93">
        <v>43234.31</v>
      </c>
      <c r="AJ93">
        <v>7385.68</v>
      </c>
      <c r="AK93">
        <v>21</v>
      </c>
      <c r="AL93">
        <v>44</v>
      </c>
      <c r="AM93" t="str">
        <v>Efectivo</v>
      </c>
      <c r="AN93" t="str">
        <v>Cancelada</v>
      </c>
      <c r="AO93">
        <v>4</v>
      </c>
    </row>
    <row r="94" spans="1:41" x14ac:dyDescent="0.3">
      <c r="A94" t="s">
        <v>124</v>
      </c>
      <c r="B94" s="8">
        <v>45752</v>
      </c>
      <c r="C94" s="2">
        <v>0.78055555555555556</v>
      </c>
      <c r="D94" t="s">
        <v>15</v>
      </c>
      <c r="E94" t="s">
        <v>28</v>
      </c>
      <c r="F94" t="s">
        <v>29</v>
      </c>
      <c r="G94">
        <v>3</v>
      </c>
      <c r="H94" s="6">
        <v>31339.99</v>
      </c>
      <c r="I94" s="6">
        <v>7510.97</v>
      </c>
      <c r="J94">
        <v>31</v>
      </c>
      <c r="K94">
        <v>49</v>
      </c>
      <c r="L94" t="s">
        <v>30</v>
      </c>
      <c r="M94" t="s">
        <v>31</v>
      </c>
      <c r="N94">
        <v>5</v>
      </c>
      <c r="O94" s="4"/>
      <c r="P94" s="4" t="str">
        <f>IF(Data_Set_2[[#This Row],[valor_bruto]]&gt;$W$13,"OUTLIER+","")</f>
        <v/>
      </c>
      <c r="Q94" s="4" t="str">
        <f>IF(Data_Set_2[[#This Row],[valor_bruto]]&lt;$W$14,"OUTLIER-","")</f>
        <v/>
      </c>
      <c r="R94" s="4"/>
      <c r="S94" s="4"/>
      <c r="AB94" t="str">
        <v>RES-100092</v>
      </c>
      <c r="AC94">
        <v>45752</v>
      </c>
      <c r="AD94">
        <v>0.78055555555555556</v>
      </c>
      <c r="AE94" t="str">
        <v>Laureles</v>
      </c>
      <c r="AF94" t="str">
        <v>Recoge</v>
      </c>
      <c r="AG94" t="str">
        <v>Parrilla</v>
      </c>
      <c r="AH94">
        <v>3</v>
      </c>
      <c r="AI94">
        <v>31339.99</v>
      </c>
      <c r="AJ94">
        <v>7510.97</v>
      </c>
      <c r="AK94">
        <v>31</v>
      </c>
      <c r="AL94">
        <v>49</v>
      </c>
      <c r="AM94" t="str">
        <v>App</v>
      </c>
      <c r="AN94" t="str">
        <v>Reembolsada</v>
      </c>
      <c r="AO94">
        <v>5</v>
      </c>
    </row>
    <row r="95" spans="1:41" x14ac:dyDescent="0.3">
      <c r="A95" t="s">
        <v>125</v>
      </c>
      <c r="B95" s="8">
        <v>45782</v>
      </c>
      <c r="C95" s="2">
        <v>0.82708333333333328</v>
      </c>
      <c r="D95" t="s">
        <v>21</v>
      </c>
      <c r="E95" t="s">
        <v>16</v>
      </c>
      <c r="F95" t="s">
        <v>34</v>
      </c>
      <c r="G95">
        <v>3</v>
      </c>
      <c r="H95" s="6">
        <v>37754.769999999997</v>
      </c>
      <c r="I95" s="6">
        <v>7207.74</v>
      </c>
      <c r="J95">
        <v>19</v>
      </c>
      <c r="K95">
        <v>51</v>
      </c>
      <c r="L95" t="s">
        <v>18</v>
      </c>
      <c r="M95" t="s">
        <v>19</v>
      </c>
      <c r="N95">
        <v>3</v>
      </c>
      <c r="O95" s="4"/>
      <c r="P95" s="4" t="str">
        <f>IF(Data_Set_2[[#This Row],[valor_bruto]]&gt;$W$13,"OUTLIER+","")</f>
        <v/>
      </c>
      <c r="Q95" s="4" t="str">
        <f>IF(Data_Set_2[[#This Row],[valor_bruto]]&lt;$W$14,"OUTLIER-","")</f>
        <v/>
      </c>
      <c r="R95" s="4"/>
      <c r="S95" s="4"/>
      <c r="AB95" t="str">
        <v>RES-100093</v>
      </c>
      <c r="AC95">
        <v>45782</v>
      </c>
      <c r="AD95">
        <v>0.82708333333333328</v>
      </c>
      <c r="AE95" t="str">
        <v>Poblado</v>
      </c>
      <c r="AF95" t="str">
        <v>Mesa</v>
      </c>
      <c r="AG95" t="str">
        <v>Vegano</v>
      </c>
      <c r="AH95">
        <v>3</v>
      </c>
      <c r="AI95">
        <v>37754.769999999997</v>
      </c>
      <c r="AJ95">
        <v>7207.74</v>
      </c>
      <c r="AK95">
        <v>19</v>
      </c>
      <c r="AL95">
        <v>51</v>
      </c>
      <c r="AM95" t="str">
        <v>Tarjeta</v>
      </c>
      <c r="AN95" t="str">
        <v>Entregada</v>
      </c>
      <c r="AO95">
        <v>3</v>
      </c>
    </row>
    <row r="96" spans="1:41" x14ac:dyDescent="0.3">
      <c r="A96" t="s">
        <v>126</v>
      </c>
      <c r="B96" s="8">
        <v>45783</v>
      </c>
      <c r="C96" s="2">
        <v>0.87361111111111112</v>
      </c>
      <c r="D96" t="s">
        <v>27</v>
      </c>
      <c r="E96" t="s">
        <v>22</v>
      </c>
      <c r="F96" t="s">
        <v>36</v>
      </c>
      <c r="G96">
        <v>4</v>
      </c>
      <c r="H96" s="6">
        <v>28811.75</v>
      </c>
      <c r="I96" s="6">
        <v>3013.81</v>
      </c>
      <c r="J96">
        <v>28</v>
      </c>
      <c r="K96">
        <v>36</v>
      </c>
      <c r="L96" t="s">
        <v>24</v>
      </c>
      <c r="M96" t="s">
        <v>25</v>
      </c>
      <c r="N96">
        <v>5</v>
      </c>
      <c r="O96" s="4"/>
      <c r="P96" s="4" t="str">
        <f>IF(Data_Set_2[[#This Row],[valor_bruto]]&gt;$W$13,"OUTLIER+","")</f>
        <v/>
      </c>
      <c r="Q96" s="4" t="str">
        <f>IF(Data_Set_2[[#This Row],[valor_bruto]]&lt;$W$14,"OUTLIER-","")</f>
        <v/>
      </c>
      <c r="R96" s="4"/>
      <c r="S96" s="4"/>
      <c r="AB96" t="str">
        <v>RES-100094</v>
      </c>
      <c r="AC96">
        <v>45783</v>
      </c>
      <c r="AD96">
        <v>0.87361111111111112</v>
      </c>
      <c r="AE96" t="str">
        <v>Centro</v>
      </c>
      <c r="AF96" t="str">
        <v>Domicilio</v>
      </c>
      <c r="AG96" t="str">
        <v>Bebidas</v>
      </c>
      <c r="AH96">
        <v>4</v>
      </c>
      <c r="AI96">
        <v>28811.75</v>
      </c>
      <c r="AJ96">
        <v>3013.81</v>
      </c>
      <c r="AK96">
        <v>28</v>
      </c>
      <c r="AL96">
        <v>36</v>
      </c>
      <c r="AM96" t="str">
        <v>Efectivo</v>
      </c>
      <c r="AN96" t="str">
        <v>Cancelada</v>
      </c>
      <c r="AO96">
        <v>5</v>
      </c>
    </row>
    <row r="97" spans="1:41" x14ac:dyDescent="0.3">
      <c r="A97" t="s">
        <v>127</v>
      </c>
      <c r="B97" s="8">
        <v>45843</v>
      </c>
      <c r="C97" s="2">
        <v>0.87847222222222221</v>
      </c>
      <c r="D97" t="s">
        <v>33</v>
      </c>
      <c r="E97" t="s">
        <v>28</v>
      </c>
      <c r="F97" t="s">
        <v>17</v>
      </c>
      <c r="G97">
        <v>4</v>
      </c>
      <c r="H97" s="6">
        <v>42585.48</v>
      </c>
      <c r="I97" s="6">
        <v>8032.25</v>
      </c>
      <c r="J97">
        <v>28</v>
      </c>
      <c r="K97">
        <v>47</v>
      </c>
      <c r="L97" t="s">
        <v>30</v>
      </c>
      <c r="M97" t="s">
        <v>31</v>
      </c>
      <c r="N97">
        <v>5</v>
      </c>
      <c r="O97" s="4"/>
      <c r="P97" s="4" t="str">
        <f>IF(Data_Set_2[[#This Row],[valor_bruto]]&gt;$W$13,"OUTLIER+","")</f>
        <v/>
      </c>
      <c r="Q97" s="4" t="str">
        <f>IF(Data_Set_2[[#This Row],[valor_bruto]]&lt;$W$14,"OUTLIER-","")</f>
        <v/>
      </c>
      <c r="R97" s="4"/>
      <c r="S97" s="4"/>
      <c r="AB97" t="str">
        <v>RES-100095</v>
      </c>
      <c r="AC97">
        <v>45843</v>
      </c>
      <c r="AD97">
        <v>0.87847222222222221</v>
      </c>
      <c r="AE97" t="str">
        <v>Envigado</v>
      </c>
      <c r="AF97" t="str">
        <v>Recoge</v>
      </c>
      <c r="AG97" t="str">
        <v>Comida rapida</v>
      </c>
      <c r="AH97">
        <v>4</v>
      </c>
      <c r="AI97">
        <v>42585.48</v>
      </c>
      <c r="AJ97">
        <v>8032.25</v>
      </c>
      <c r="AK97">
        <v>28</v>
      </c>
      <c r="AL97">
        <v>47</v>
      </c>
      <c r="AM97" t="str">
        <v>App</v>
      </c>
      <c r="AN97" t="str">
        <v>Reembolsada</v>
      </c>
      <c r="AO97">
        <v>5</v>
      </c>
    </row>
    <row r="98" spans="1:41" x14ac:dyDescent="0.3">
      <c r="A98" t="s">
        <v>128</v>
      </c>
      <c r="B98" s="8">
        <v>45785</v>
      </c>
      <c r="C98" s="2">
        <v>0.42499999999999999</v>
      </c>
      <c r="D98" t="s">
        <v>15</v>
      </c>
      <c r="E98" t="s">
        <v>16</v>
      </c>
      <c r="F98" t="s">
        <v>23</v>
      </c>
      <c r="G98">
        <v>5</v>
      </c>
      <c r="H98" s="6">
        <v>42864.639999999999</v>
      </c>
      <c r="I98" s="6">
        <v>3176.56</v>
      </c>
      <c r="J98">
        <v>21</v>
      </c>
      <c r="K98">
        <v>39</v>
      </c>
      <c r="L98" t="s">
        <v>18</v>
      </c>
      <c r="M98" t="s">
        <v>19</v>
      </c>
      <c r="N98">
        <v>5</v>
      </c>
      <c r="O98" s="4"/>
      <c r="P98" s="4" t="str">
        <f>IF(Data_Set_2[[#This Row],[valor_bruto]]&gt;$W$13,"OUTLIER+","")</f>
        <v/>
      </c>
      <c r="Q98" s="4" t="str">
        <f>IF(Data_Set_2[[#This Row],[valor_bruto]]&lt;$W$14,"OUTLIER-","")</f>
        <v/>
      </c>
      <c r="R98" s="4"/>
      <c r="S98" s="4"/>
      <c r="AB98" t="str">
        <v>RES-100096</v>
      </c>
      <c r="AC98">
        <v>45785</v>
      </c>
      <c r="AD98">
        <v>0.42499999999999999</v>
      </c>
      <c r="AE98" t="str">
        <v>Laureles</v>
      </c>
      <c r="AF98" t="str">
        <v>Mesa</v>
      </c>
      <c r="AG98" t="str">
        <v>Pasta</v>
      </c>
      <c r="AH98">
        <v>5</v>
      </c>
      <c r="AI98">
        <v>42864.639999999999</v>
      </c>
      <c r="AJ98">
        <v>3176.56</v>
      </c>
      <c r="AK98">
        <v>21</v>
      </c>
      <c r="AL98">
        <v>39</v>
      </c>
      <c r="AM98" t="str">
        <v>Tarjeta</v>
      </c>
      <c r="AN98" t="str">
        <v>Entregada</v>
      </c>
      <c r="AO98">
        <v>5</v>
      </c>
    </row>
    <row r="99" spans="1:41" x14ac:dyDescent="0.3">
      <c r="A99" t="s">
        <v>129</v>
      </c>
      <c r="B99" s="8">
        <v>45786</v>
      </c>
      <c r="C99" s="2">
        <v>0.47152777777777777</v>
      </c>
      <c r="D99" t="s">
        <v>21</v>
      </c>
      <c r="E99" t="s">
        <v>22</v>
      </c>
      <c r="F99" t="s">
        <v>29</v>
      </c>
      <c r="G99">
        <v>3</v>
      </c>
      <c r="H99" s="6">
        <v>64893.38</v>
      </c>
      <c r="I99" s="6">
        <v>2303.52</v>
      </c>
      <c r="J99">
        <v>31</v>
      </c>
      <c r="K99">
        <v>47</v>
      </c>
      <c r="L99" t="s">
        <v>24</v>
      </c>
      <c r="M99" t="s">
        <v>25</v>
      </c>
      <c r="N99">
        <v>4</v>
      </c>
      <c r="O99" s="4"/>
      <c r="P99" s="4" t="str">
        <f>IF(Data_Set_2[[#This Row],[valor_bruto]]&gt;$W$13,"OUTLIER+","")</f>
        <v/>
      </c>
      <c r="Q99" s="4" t="str">
        <f>IF(Data_Set_2[[#This Row],[valor_bruto]]&lt;$W$14,"OUTLIER-","")</f>
        <v/>
      </c>
      <c r="R99" s="4"/>
      <c r="S99" s="4"/>
      <c r="AB99" t="str">
        <v>RES-100097</v>
      </c>
      <c r="AC99">
        <v>45786</v>
      </c>
      <c r="AD99">
        <v>0.47152777777777777</v>
      </c>
      <c r="AE99" t="str">
        <v>Poblado</v>
      </c>
      <c r="AF99" t="str">
        <v>Domicilio</v>
      </c>
      <c r="AG99" t="str">
        <v>Parrilla</v>
      </c>
      <c r="AH99">
        <v>3</v>
      </c>
      <c r="AI99">
        <v>64893.38</v>
      </c>
      <c r="AJ99">
        <v>2303.52</v>
      </c>
      <c r="AK99">
        <v>31</v>
      </c>
      <c r="AL99">
        <v>47</v>
      </c>
      <c r="AM99" t="str">
        <v>Efectivo</v>
      </c>
      <c r="AN99" t="str">
        <v>Cancelada</v>
      </c>
      <c r="AO99">
        <v>4</v>
      </c>
    </row>
    <row r="100" spans="1:41" x14ac:dyDescent="0.3">
      <c r="A100" t="s">
        <v>130</v>
      </c>
      <c r="B100" s="8">
        <v>45935</v>
      </c>
      <c r="C100" s="2">
        <v>0.5180555555555556</v>
      </c>
      <c r="D100" t="s">
        <v>27</v>
      </c>
      <c r="E100" t="s">
        <v>28</v>
      </c>
      <c r="F100" t="s">
        <v>34</v>
      </c>
      <c r="G100">
        <v>2</v>
      </c>
      <c r="H100" s="6">
        <v>61823.64</v>
      </c>
      <c r="I100" s="6">
        <v>2274.37</v>
      </c>
      <c r="J100">
        <v>27</v>
      </c>
      <c r="K100">
        <v>29</v>
      </c>
      <c r="L100" t="s">
        <v>30</v>
      </c>
      <c r="M100" t="s">
        <v>31</v>
      </c>
      <c r="N100">
        <v>3</v>
      </c>
      <c r="O100" s="4"/>
      <c r="P100" s="4" t="str">
        <f>IF(Data_Set_2[[#This Row],[valor_bruto]]&gt;$W$13,"OUTLIER+","")</f>
        <v/>
      </c>
      <c r="Q100" s="4" t="str">
        <f>IF(Data_Set_2[[#This Row],[valor_bruto]]&lt;$W$14,"OUTLIER-","")</f>
        <v/>
      </c>
      <c r="R100" s="4"/>
      <c r="S100" s="4"/>
      <c r="AB100" t="str">
        <v>RES-100098</v>
      </c>
      <c r="AC100">
        <v>45935</v>
      </c>
      <c r="AD100">
        <v>0.5180555555555556</v>
      </c>
      <c r="AE100" t="str">
        <v>Centro</v>
      </c>
      <c r="AF100" t="str">
        <v>Recoge</v>
      </c>
      <c r="AG100" t="str">
        <v>Vegano</v>
      </c>
      <c r="AH100">
        <v>2</v>
      </c>
      <c r="AI100">
        <v>61823.64</v>
      </c>
      <c r="AJ100">
        <v>2274.37</v>
      </c>
      <c r="AK100">
        <v>27</v>
      </c>
      <c r="AL100">
        <v>29</v>
      </c>
      <c r="AM100" t="str">
        <v>App</v>
      </c>
      <c r="AN100" t="str">
        <v>Reembolsada</v>
      </c>
      <c r="AO100">
        <v>3</v>
      </c>
    </row>
    <row r="101" spans="1:41" x14ac:dyDescent="0.3">
      <c r="A101" t="s">
        <v>131</v>
      </c>
      <c r="B101" s="8">
        <v>45788</v>
      </c>
      <c r="C101" s="2">
        <v>0.56458333333333333</v>
      </c>
      <c r="D101" t="s">
        <v>33</v>
      </c>
      <c r="E101" t="s">
        <v>16</v>
      </c>
      <c r="F101" t="s">
        <v>36</v>
      </c>
      <c r="G101">
        <v>2</v>
      </c>
      <c r="H101" s="6">
        <v>31384.799999999999</v>
      </c>
      <c r="I101" s="6">
        <v>748.91</v>
      </c>
      <c r="J101">
        <v>14</v>
      </c>
      <c r="K101">
        <v>40</v>
      </c>
      <c r="L101" t="s">
        <v>18</v>
      </c>
      <c r="M101" t="s">
        <v>19</v>
      </c>
      <c r="N101">
        <v>5</v>
      </c>
      <c r="O101" s="4"/>
      <c r="P101" s="4" t="str">
        <f>IF(Data_Set_2[[#This Row],[valor_bruto]]&gt;$W$13,"OUTLIER+","")</f>
        <v/>
      </c>
      <c r="Q101" s="4" t="str">
        <f>IF(Data_Set_2[[#This Row],[valor_bruto]]&lt;$W$14,"OUTLIER-","")</f>
        <v/>
      </c>
      <c r="R101" s="4"/>
      <c r="S101" s="4"/>
      <c r="AB101" t="str">
        <v>RES-100099</v>
      </c>
      <c r="AC101">
        <v>45788</v>
      </c>
      <c r="AD101">
        <v>0.56458333333333333</v>
      </c>
      <c r="AE101" t="str">
        <v>Envigado</v>
      </c>
      <c r="AF101" t="str">
        <v>Mesa</v>
      </c>
      <c r="AG101" t="str">
        <v>Bebidas</v>
      </c>
      <c r="AH101">
        <v>2</v>
      </c>
      <c r="AI101">
        <v>31384.799999999999</v>
      </c>
      <c r="AJ101">
        <v>748.91</v>
      </c>
      <c r="AK101">
        <v>14</v>
      </c>
      <c r="AL101">
        <v>40</v>
      </c>
      <c r="AM101" t="str">
        <v>Tarjeta</v>
      </c>
      <c r="AN101" t="str">
        <v>Entregada</v>
      </c>
      <c r="AO101">
        <v>5</v>
      </c>
    </row>
    <row r="102" spans="1:41" x14ac:dyDescent="0.3">
      <c r="A102" t="s">
        <v>132</v>
      </c>
      <c r="B102" s="8">
        <v>45789</v>
      </c>
      <c r="C102" s="2">
        <v>0.61111111111111116</v>
      </c>
      <c r="D102" t="s">
        <v>15</v>
      </c>
      <c r="E102" t="s">
        <v>22</v>
      </c>
      <c r="F102" t="s">
        <v>17</v>
      </c>
      <c r="G102">
        <v>2</v>
      </c>
      <c r="H102" s="6">
        <v>68756.37</v>
      </c>
      <c r="I102" s="6">
        <v>1709.28</v>
      </c>
      <c r="J102">
        <v>31</v>
      </c>
      <c r="K102">
        <v>52</v>
      </c>
      <c r="L102" t="s">
        <v>24</v>
      </c>
      <c r="M102" t="s">
        <v>25</v>
      </c>
      <c r="N102">
        <v>4</v>
      </c>
      <c r="O102" s="4"/>
      <c r="P102" s="4" t="str">
        <f>IF(Data_Set_2[[#This Row],[valor_bruto]]&gt;$W$13,"OUTLIER+","")</f>
        <v/>
      </c>
      <c r="Q102" s="4" t="str">
        <f>IF(Data_Set_2[[#This Row],[valor_bruto]]&lt;$W$14,"OUTLIER-","")</f>
        <v/>
      </c>
      <c r="R102" s="4"/>
      <c r="S102" s="4"/>
      <c r="AB102" t="str">
        <v>RES-100100</v>
      </c>
      <c r="AC102">
        <v>45789</v>
      </c>
      <c r="AD102">
        <v>0.61111111111111116</v>
      </c>
      <c r="AE102" t="str">
        <v>Laureles</v>
      </c>
      <c r="AF102" t="str">
        <v>Domicilio</v>
      </c>
      <c r="AG102" t="str">
        <v>Comida rapida</v>
      </c>
      <c r="AH102">
        <v>2</v>
      </c>
      <c r="AI102">
        <v>68756.37</v>
      </c>
      <c r="AJ102">
        <v>1709.28</v>
      </c>
      <c r="AK102">
        <v>31</v>
      </c>
      <c r="AL102">
        <v>52</v>
      </c>
      <c r="AM102" t="str">
        <v>Efectivo</v>
      </c>
      <c r="AN102" t="str">
        <v>Cancelada</v>
      </c>
      <c r="AO102">
        <v>4</v>
      </c>
    </row>
    <row r="103" spans="1:41" x14ac:dyDescent="0.3">
      <c r="A103" t="s">
        <v>133</v>
      </c>
      <c r="B103" s="8">
        <v>45790</v>
      </c>
      <c r="C103" s="2">
        <v>0.65763888888888888</v>
      </c>
      <c r="D103" t="s">
        <v>21</v>
      </c>
      <c r="E103" t="s">
        <v>28</v>
      </c>
      <c r="F103" t="s">
        <v>23</v>
      </c>
      <c r="G103">
        <v>2</v>
      </c>
      <c r="H103" s="6">
        <v>35471.14</v>
      </c>
      <c r="I103" s="6">
        <v>7044.06</v>
      </c>
      <c r="J103">
        <v>31</v>
      </c>
      <c r="K103">
        <v>52</v>
      </c>
      <c r="L103" t="s">
        <v>30</v>
      </c>
      <c r="M103" t="s">
        <v>31</v>
      </c>
      <c r="N103">
        <v>5</v>
      </c>
      <c r="O103" s="4"/>
      <c r="P103" s="4" t="str">
        <f>IF(Data_Set_2[[#This Row],[valor_bruto]]&gt;$W$13,"OUTLIER+","")</f>
        <v/>
      </c>
      <c r="Q103" s="4" t="str">
        <f>IF(Data_Set_2[[#This Row],[valor_bruto]]&lt;$W$14,"OUTLIER-","")</f>
        <v/>
      </c>
      <c r="R103" s="4"/>
      <c r="S103" s="4"/>
      <c r="AB103" t="str">
        <v>RES-100101</v>
      </c>
      <c r="AC103">
        <v>45790</v>
      </c>
      <c r="AD103">
        <v>0.65763888888888888</v>
      </c>
      <c r="AE103" t="str">
        <v>Poblado</v>
      </c>
      <c r="AF103" t="str">
        <v>Recoge</v>
      </c>
      <c r="AG103" t="str">
        <v>Pasta</v>
      </c>
      <c r="AH103">
        <v>2</v>
      </c>
      <c r="AI103">
        <v>35471.14</v>
      </c>
      <c r="AJ103">
        <v>7044.06</v>
      </c>
      <c r="AK103">
        <v>31</v>
      </c>
      <c r="AL103">
        <v>52</v>
      </c>
      <c r="AM103" t="str">
        <v>App</v>
      </c>
      <c r="AN103" t="str">
        <v>Reembolsada</v>
      </c>
      <c r="AO103">
        <v>5</v>
      </c>
    </row>
    <row r="104" spans="1:41" x14ac:dyDescent="0.3">
      <c r="A104" t="s">
        <v>134</v>
      </c>
      <c r="B104" s="8">
        <v>45791</v>
      </c>
      <c r="C104" s="2">
        <v>0.70416666666666672</v>
      </c>
      <c r="D104" t="s">
        <v>27</v>
      </c>
      <c r="E104" t="s">
        <v>16</v>
      </c>
      <c r="F104" t="s">
        <v>29</v>
      </c>
      <c r="G104">
        <v>6</v>
      </c>
      <c r="H104" s="6">
        <v>32001.26</v>
      </c>
      <c r="I104" s="6">
        <v>5262.74</v>
      </c>
      <c r="J104">
        <v>18</v>
      </c>
      <c r="K104">
        <v>28</v>
      </c>
      <c r="L104" t="s">
        <v>18</v>
      </c>
      <c r="M104" t="s">
        <v>19</v>
      </c>
      <c r="N104">
        <v>5</v>
      </c>
      <c r="O104" s="4"/>
      <c r="P104" s="4" t="str">
        <f>IF(Data_Set_2[[#This Row],[valor_bruto]]&gt;$W$13,"OUTLIER+","")</f>
        <v/>
      </c>
      <c r="Q104" s="4" t="str">
        <f>IF(Data_Set_2[[#This Row],[valor_bruto]]&lt;$W$14,"OUTLIER-","")</f>
        <v/>
      </c>
      <c r="R104" s="4"/>
      <c r="S104" s="4"/>
      <c r="AB104" t="str">
        <v>RES-100102</v>
      </c>
      <c r="AC104">
        <v>45791</v>
      </c>
      <c r="AD104">
        <v>0.70416666666666672</v>
      </c>
      <c r="AE104" t="str">
        <v>Centro</v>
      </c>
      <c r="AF104" t="str">
        <v>Mesa</v>
      </c>
      <c r="AG104" t="str">
        <v>Parrilla</v>
      </c>
      <c r="AH104">
        <v>6</v>
      </c>
      <c r="AI104">
        <v>32001.26</v>
      </c>
      <c r="AJ104">
        <v>5262.74</v>
      </c>
      <c r="AK104">
        <v>18</v>
      </c>
      <c r="AL104">
        <v>28</v>
      </c>
      <c r="AM104" t="str">
        <v>Tarjeta</v>
      </c>
      <c r="AN104" t="str">
        <v>Entregada</v>
      </c>
      <c r="AO104">
        <v>5</v>
      </c>
    </row>
    <row r="105" spans="1:41" x14ac:dyDescent="0.3">
      <c r="A105" t="s">
        <v>135</v>
      </c>
      <c r="B105" s="8">
        <v>45792</v>
      </c>
      <c r="C105" s="2">
        <v>0.70902777777777781</v>
      </c>
      <c r="D105" t="s">
        <v>33</v>
      </c>
      <c r="E105" t="s">
        <v>22</v>
      </c>
      <c r="F105" t="s">
        <v>34</v>
      </c>
      <c r="G105">
        <v>5</v>
      </c>
      <c r="H105" s="6">
        <v>31115.24</v>
      </c>
      <c r="I105" s="6">
        <v>6939.23</v>
      </c>
      <c r="J105">
        <v>17</v>
      </c>
      <c r="K105">
        <v>30</v>
      </c>
      <c r="L105" t="s">
        <v>24</v>
      </c>
      <c r="M105" t="s">
        <v>25</v>
      </c>
      <c r="N105">
        <v>3</v>
      </c>
      <c r="O105" s="4"/>
      <c r="P105" s="4" t="str">
        <f>IF(Data_Set_2[[#This Row],[valor_bruto]]&gt;$W$13,"OUTLIER+","")</f>
        <v/>
      </c>
      <c r="Q105" s="4" t="str">
        <f>IF(Data_Set_2[[#This Row],[valor_bruto]]&lt;$W$14,"OUTLIER-","")</f>
        <v/>
      </c>
      <c r="R105" s="4"/>
      <c r="S105" s="4"/>
      <c r="AB105" t="str">
        <v>RES-100103</v>
      </c>
      <c r="AC105">
        <v>45792</v>
      </c>
      <c r="AD105">
        <v>0.70902777777777781</v>
      </c>
      <c r="AE105" t="str">
        <v>Envigado</v>
      </c>
      <c r="AF105" t="str">
        <v>Domicilio</v>
      </c>
      <c r="AG105" t="str">
        <v>Vegano</v>
      </c>
      <c r="AH105">
        <v>5</v>
      </c>
      <c r="AI105">
        <v>31115.24</v>
      </c>
      <c r="AJ105">
        <v>6939.23</v>
      </c>
      <c r="AK105">
        <v>17</v>
      </c>
      <c r="AL105">
        <v>30</v>
      </c>
      <c r="AM105" t="str">
        <v>Efectivo</v>
      </c>
      <c r="AN105" t="str">
        <v>Cancelada</v>
      </c>
      <c r="AO105">
        <v>3</v>
      </c>
    </row>
    <row r="106" spans="1:41" x14ac:dyDescent="0.3">
      <c r="A106" t="s">
        <v>136</v>
      </c>
      <c r="B106" s="8">
        <v>45793</v>
      </c>
      <c r="C106" s="2">
        <v>0.75555555555555554</v>
      </c>
      <c r="D106" t="s">
        <v>15</v>
      </c>
      <c r="E106" t="s">
        <v>28</v>
      </c>
      <c r="F106" t="s">
        <v>36</v>
      </c>
      <c r="G106">
        <v>5</v>
      </c>
      <c r="H106" s="6">
        <v>67252.52</v>
      </c>
      <c r="I106" s="6">
        <v>2186.14</v>
      </c>
      <c r="J106">
        <v>23</v>
      </c>
      <c r="K106">
        <v>34</v>
      </c>
      <c r="L106" t="s">
        <v>30</v>
      </c>
      <c r="M106" t="s">
        <v>31</v>
      </c>
      <c r="N106">
        <v>5</v>
      </c>
      <c r="O106" s="4"/>
      <c r="P106" s="4" t="str">
        <f>IF(Data_Set_2[[#This Row],[valor_bruto]]&gt;$W$13,"OUTLIER+","")</f>
        <v/>
      </c>
      <c r="Q106" s="4" t="str">
        <f>IF(Data_Set_2[[#This Row],[valor_bruto]]&lt;$W$14,"OUTLIER-","")</f>
        <v/>
      </c>
      <c r="R106" s="4"/>
      <c r="S106" s="4"/>
      <c r="AB106" t="str">
        <v>RES-100104</v>
      </c>
      <c r="AC106">
        <v>45793</v>
      </c>
      <c r="AD106">
        <v>0.75555555555555554</v>
      </c>
      <c r="AE106" t="str">
        <v>Laureles</v>
      </c>
      <c r="AF106" t="str">
        <v>Recoge</v>
      </c>
      <c r="AG106" t="str">
        <v>Bebidas</v>
      </c>
      <c r="AH106">
        <v>5</v>
      </c>
      <c r="AI106">
        <v>67252.52</v>
      </c>
      <c r="AJ106">
        <v>2186.14</v>
      </c>
      <c r="AK106">
        <v>23</v>
      </c>
      <c r="AL106">
        <v>34</v>
      </c>
      <c r="AM106" t="str">
        <v>App</v>
      </c>
      <c r="AN106" t="str">
        <v>Reembolsada</v>
      </c>
      <c r="AO106">
        <v>5</v>
      </c>
    </row>
    <row r="107" spans="1:41" x14ac:dyDescent="0.3">
      <c r="A107" t="s">
        <v>137</v>
      </c>
      <c r="B107" s="8">
        <v>45794</v>
      </c>
      <c r="C107" s="2">
        <v>0.80208333333333337</v>
      </c>
      <c r="D107" t="s">
        <v>21</v>
      </c>
      <c r="E107" t="s">
        <v>16</v>
      </c>
      <c r="F107" t="s">
        <v>17</v>
      </c>
      <c r="G107">
        <v>4</v>
      </c>
      <c r="H107" s="6">
        <v>29561.23</v>
      </c>
      <c r="I107" s="6">
        <v>4350.62</v>
      </c>
      <c r="J107">
        <v>31</v>
      </c>
      <c r="K107">
        <v>23</v>
      </c>
      <c r="L107" t="s">
        <v>18</v>
      </c>
      <c r="M107" t="s">
        <v>19</v>
      </c>
      <c r="N107">
        <v>5</v>
      </c>
      <c r="O107" s="4"/>
      <c r="P107" s="4" t="str">
        <f>IF(Data_Set_2[[#This Row],[valor_bruto]]&gt;$W$13,"OUTLIER+","")</f>
        <v/>
      </c>
      <c r="Q107" s="4" t="str">
        <f>IF(Data_Set_2[[#This Row],[valor_bruto]]&lt;$W$14,"OUTLIER-","")</f>
        <v/>
      </c>
      <c r="R107" s="4"/>
      <c r="S107" s="4"/>
      <c r="AB107" t="str">
        <v>RES-100105</v>
      </c>
      <c r="AC107">
        <v>45794</v>
      </c>
      <c r="AD107">
        <v>0.80208333333333337</v>
      </c>
      <c r="AE107" t="str">
        <v>Poblado</v>
      </c>
      <c r="AF107" t="str">
        <v>Mesa</v>
      </c>
      <c r="AG107" t="str">
        <v>Comida rapida</v>
      </c>
      <c r="AH107">
        <v>4</v>
      </c>
      <c r="AI107">
        <v>29561.23</v>
      </c>
      <c r="AJ107">
        <v>4350.62</v>
      </c>
      <c r="AK107">
        <v>31</v>
      </c>
      <c r="AL107">
        <v>23</v>
      </c>
      <c r="AM107" t="str">
        <v>Tarjeta</v>
      </c>
      <c r="AN107" t="str">
        <v>Entregada</v>
      </c>
      <c r="AO107">
        <v>5</v>
      </c>
    </row>
    <row r="108" spans="1:41" x14ac:dyDescent="0.3">
      <c r="A108" t="s">
        <v>138</v>
      </c>
      <c r="B108" s="8">
        <v>45795</v>
      </c>
      <c r="C108" s="2">
        <v>0.84861111111111109</v>
      </c>
      <c r="D108" t="s">
        <v>27</v>
      </c>
      <c r="E108" t="s">
        <v>22</v>
      </c>
      <c r="F108" t="s">
        <v>23</v>
      </c>
      <c r="G108">
        <v>2</v>
      </c>
      <c r="H108" s="6">
        <v>30341.66</v>
      </c>
      <c r="I108" s="6">
        <v>8330.06</v>
      </c>
      <c r="J108">
        <v>24</v>
      </c>
      <c r="K108">
        <v>28</v>
      </c>
      <c r="L108" t="s">
        <v>24</v>
      </c>
      <c r="M108" t="s">
        <v>25</v>
      </c>
      <c r="N108">
        <v>3</v>
      </c>
      <c r="O108" s="4"/>
      <c r="P108" s="4" t="str">
        <f>IF(Data_Set_2[[#This Row],[valor_bruto]]&gt;$W$13,"OUTLIER+","")</f>
        <v/>
      </c>
      <c r="Q108" s="4" t="str">
        <f>IF(Data_Set_2[[#This Row],[valor_bruto]]&lt;$W$14,"OUTLIER-","")</f>
        <v/>
      </c>
      <c r="R108" s="4"/>
      <c r="S108" s="4"/>
      <c r="AB108" t="str">
        <v>RES-100106</v>
      </c>
      <c r="AC108">
        <v>45795</v>
      </c>
      <c r="AD108">
        <v>0.84861111111111109</v>
      </c>
      <c r="AE108" t="str">
        <v>Centro</v>
      </c>
      <c r="AF108" t="str">
        <v>Domicilio</v>
      </c>
      <c r="AG108" t="str">
        <v>Pasta</v>
      </c>
      <c r="AH108">
        <v>2</v>
      </c>
      <c r="AI108">
        <v>30341.66</v>
      </c>
      <c r="AJ108">
        <v>8330.06</v>
      </c>
      <c r="AK108">
        <v>24</v>
      </c>
      <c r="AL108">
        <v>28</v>
      </c>
      <c r="AM108" t="str">
        <v>Efectivo</v>
      </c>
      <c r="AN108" t="str">
        <v>Cancelada</v>
      </c>
      <c r="AO108">
        <v>3</v>
      </c>
    </row>
    <row r="109" spans="1:41" x14ac:dyDescent="0.3">
      <c r="A109" t="s">
        <v>139</v>
      </c>
      <c r="B109" s="8">
        <v>45796</v>
      </c>
      <c r="C109" s="2">
        <v>0.89513888888888893</v>
      </c>
      <c r="D109" t="s">
        <v>33</v>
      </c>
      <c r="E109" t="s">
        <v>28</v>
      </c>
      <c r="F109" t="s">
        <v>29</v>
      </c>
      <c r="G109">
        <v>2</v>
      </c>
      <c r="H109" s="6">
        <v>36173.72</v>
      </c>
      <c r="I109" s="6">
        <v>5990.7</v>
      </c>
      <c r="J109">
        <v>28</v>
      </c>
      <c r="K109">
        <v>36</v>
      </c>
      <c r="L109" t="s">
        <v>30</v>
      </c>
      <c r="M109" t="s">
        <v>31</v>
      </c>
      <c r="N109">
        <v>3</v>
      </c>
      <c r="O109" s="4"/>
      <c r="P109" s="4" t="str">
        <f>IF(Data_Set_2[[#This Row],[valor_bruto]]&gt;$W$13,"OUTLIER+","")</f>
        <v/>
      </c>
      <c r="Q109" s="4" t="str">
        <f>IF(Data_Set_2[[#This Row],[valor_bruto]]&lt;$W$14,"OUTLIER-","")</f>
        <v/>
      </c>
      <c r="R109" s="4"/>
      <c r="S109" s="4"/>
      <c r="AB109" t="str">
        <v>RES-100107</v>
      </c>
      <c r="AC109">
        <v>45796</v>
      </c>
      <c r="AD109">
        <v>0.89513888888888893</v>
      </c>
      <c r="AE109" t="str">
        <v>Envigado</v>
      </c>
      <c r="AF109" t="str">
        <v>Recoge</v>
      </c>
      <c r="AG109" t="str">
        <v>Parrilla</v>
      </c>
      <c r="AH109">
        <v>2</v>
      </c>
      <c r="AI109">
        <v>36173.72</v>
      </c>
      <c r="AJ109">
        <v>5990.7</v>
      </c>
      <c r="AK109">
        <v>28</v>
      </c>
      <c r="AL109">
        <v>36</v>
      </c>
      <c r="AM109" t="str">
        <v>App</v>
      </c>
      <c r="AN109" t="str">
        <v>Reembolsada</v>
      </c>
      <c r="AO109">
        <v>3</v>
      </c>
    </row>
    <row r="110" spans="1:41" x14ac:dyDescent="0.3">
      <c r="A110" t="s">
        <v>140</v>
      </c>
      <c r="B110" s="8">
        <v>45797</v>
      </c>
      <c r="C110" s="2">
        <v>0.44166666666666665</v>
      </c>
      <c r="D110" t="s">
        <v>15</v>
      </c>
      <c r="E110" t="s">
        <v>16</v>
      </c>
      <c r="F110" t="s">
        <v>34</v>
      </c>
      <c r="G110">
        <v>3</v>
      </c>
      <c r="H110" s="6">
        <v>40025.85</v>
      </c>
      <c r="I110" s="6">
        <v>7654.76</v>
      </c>
      <c r="J110">
        <v>23</v>
      </c>
      <c r="K110">
        <v>52</v>
      </c>
      <c r="L110" t="s">
        <v>18</v>
      </c>
      <c r="M110" t="s">
        <v>19</v>
      </c>
      <c r="N110">
        <v>5</v>
      </c>
      <c r="O110" s="4"/>
      <c r="P110" s="4" t="str">
        <f>IF(Data_Set_2[[#This Row],[valor_bruto]]&gt;$W$13,"OUTLIER+","")</f>
        <v/>
      </c>
      <c r="Q110" s="4" t="str">
        <f>IF(Data_Set_2[[#This Row],[valor_bruto]]&lt;$W$14,"OUTLIER-","")</f>
        <v/>
      </c>
      <c r="R110" s="4"/>
      <c r="S110" s="4"/>
      <c r="AB110" t="str">
        <v>RES-100108</v>
      </c>
      <c r="AC110">
        <v>45797</v>
      </c>
      <c r="AD110">
        <v>0.44166666666666665</v>
      </c>
      <c r="AE110" t="str">
        <v>Laureles</v>
      </c>
      <c r="AF110" t="str">
        <v>Mesa</v>
      </c>
      <c r="AG110" t="str">
        <v>Vegano</v>
      </c>
      <c r="AH110">
        <v>3</v>
      </c>
      <c r="AI110">
        <v>40025.85</v>
      </c>
      <c r="AJ110">
        <v>7654.76</v>
      </c>
      <c r="AK110">
        <v>23</v>
      </c>
      <c r="AL110">
        <v>52</v>
      </c>
      <c r="AM110" t="str">
        <v>Tarjeta</v>
      </c>
      <c r="AN110" t="str">
        <v>Entregada</v>
      </c>
      <c r="AO110">
        <v>5</v>
      </c>
    </row>
    <row r="111" spans="1:41" x14ac:dyDescent="0.3">
      <c r="A111" t="s">
        <v>141</v>
      </c>
      <c r="B111" s="8">
        <v>45798</v>
      </c>
      <c r="C111" s="2">
        <v>0.48819444444444443</v>
      </c>
      <c r="D111" t="s">
        <v>21</v>
      </c>
      <c r="E111" t="s">
        <v>22</v>
      </c>
      <c r="F111" t="s">
        <v>36</v>
      </c>
      <c r="G111">
        <v>3</v>
      </c>
      <c r="H111" s="6">
        <v>51489.24</v>
      </c>
      <c r="I111" s="6">
        <v>3301.27</v>
      </c>
      <c r="J111">
        <v>27</v>
      </c>
      <c r="K111">
        <v>44</v>
      </c>
      <c r="L111" t="s">
        <v>24</v>
      </c>
      <c r="M111" t="s">
        <v>25</v>
      </c>
      <c r="N111">
        <v>5</v>
      </c>
      <c r="O111" s="4"/>
      <c r="P111" s="4" t="str">
        <f>IF(Data_Set_2[[#This Row],[valor_bruto]]&gt;$W$13,"OUTLIER+","")</f>
        <v/>
      </c>
      <c r="Q111" s="4" t="str">
        <f>IF(Data_Set_2[[#This Row],[valor_bruto]]&lt;$W$14,"OUTLIER-","")</f>
        <v/>
      </c>
      <c r="R111" s="4"/>
      <c r="S111" s="4"/>
      <c r="AB111" t="str">
        <v>RES-100109</v>
      </c>
      <c r="AC111">
        <v>45798</v>
      </c>
      <c r="AD111">
        <v>0.48819444444444443</v>
      </c>
      <c r="AE111" t="str">
        <v>Poblado</v>
      </c>
      <c r="AF111" t="str">
        <v>Domicilio</v>
      </c>
      <c r="AG111" t="str">
        <v>Bebidas</v>
      </c>
      <c r="AH111">
        <v>3</v>
      </c>
      <c r="AI111">
        <v>51489.24</v>
      </c>
      <c r="AJ111">
        <v>3301.27</v>
      </c>
      <c r="AK111">
        <v>27</v>
      </c>
      <c r="AL111">
        <v>44</v>
      </c>
      <c r="AM111" t="str">
        <v>Efectivo</v>
      </c>
      <c r="AN111" t="str">
        <v>Cancelada</v>
      </c>
      <c r="AO111">
        <v>5</v>
      </c>
    </row>
    <row r="112" spans="1:41" x14ac:dyDescent="0.3">
      <c r="A112" t="s">
        <v>142</v>
      </c>
      <c r="B112" s="8">
        <v>45799</v>
      </c>
      <c r="C112" s="2">
        <v>0.53472222222222221</v>
      </c>
      <c r="D112" t="s">
        <v>27</v>
      </c>
      <c r="E112" t="s">
        <v>28</v>
      </c>
      <c r="F112" t="s">
        <v>17</v>
      </c>
      <c r="G112">
        <v>4</v>
      </c>
      <c r="H112" s="6">
        <v>69383.81</v>
      </c>
      <c r="I112" s="6">
        <v>6312.24</v>
      </c>
      <c r="J112">
        <v>19</v>
      </c>
      <c r="K112">
        <v>25</v>
      </c>
      <c r="L112" t="s">
        <v>30</v>
      </c>
      <c r="M112" t="s">
        <v>31</v>
      </c>
      <c r="N112">
        <v>3</v>
      </c>
      <c r="O112" s="4"/>
      <c r="P112" s="4" t="str">
        <f>IF(Data_Set_2[[#This Row],[valor_bruto]]&gt;$W$13,"OUTLIER+","")</f>
        <v/>
      </c>
      <c r="Q112" s="4" t="str">
        <f>IF(Data_Set_2[[#This Row],[valor_bruto]]&lt;$W$14,"OUTLIER-","")</f>
        <v/>
      </c>
      <c r="R112" s="4"/>
      <c r="S112" s="4"/>
      <c r="AB112" t="str">
        <v>RES-100110</v>
      </c>
      <c r="AC112">
        <v>45799</v>
      </c>
      <c r="AD112">
        <v>0.53472222222222221</v>
      </c>
      <c r="AE112" t="str">
        <v>Centro</v>
      </c>
      <c r="AF112" t="str">
        <v>Recoge</v>
      </c>
      <c r="AG112" t="str">
        <v>Comida rapida</v>
      </c>
      <c r="AH112">
        <v>4</v>
      </c>
      <c r="AI112">
        <v>69383.81</v>
      </c>
      <c r="AJ112">
        <v>6312.24</v>
      </c>
      <c r="AK112">
        <v>19</v>
      </c>
      <c r="AL112">
        <v>25</v>
      </c>
      <c r="AM112" t="str">
        <v>App</v>
      </c>
      <c r="AN112" t="str">
        <v>Reembolsada</v>
      </c>
      <c r="AO112">
        <v>3</v>
      </c>
    </row>
    <row r="113" spans="1:41" x14ac:dyDescent="0.3">
      <c r="A113" t="s">
        <v>143</v>
      </c>
      <c r="B113" s="8">
        <v>45800</v>
      </c>
      <c r="C113" s="2">
        <v>0.58125000000000004</v>
      </c>
      <c r="D113" t="s">
        <v>33</v>
      </c>
      <c r="E113" t="s">
        <v>16</v>
      </c>
      <c r="F113" t="s">
        <v>23</v>
      </c>
      <c r="G113">
        <v>6</v>
      </c>
      <c r="H113" s="6">
        <v>60818.15</v>
      </c>
      <c r="I113" s="6">
        <v>2711.07</v>
      </c>
      <c r="J113">
        <v>18</v>
      </c>
      <c r="K113">
        <v>33</v>
      </c>
      <c r="L113" t="s">
        <v>18</v>
      </c>
      <c r="M113" t="s">
        <v>19</v>
      </c>
      <c r="N113">
        <v>4</v>
      </c>
      <c r="O113" s="4"/>
      <c r="P113" s="4" t="str">
        <f>IF(Data_Set_2[[#This Row],[valor_bruto]]&gt;$W$13,"OUTLIER+","")</f>
        <v/>
      </c>
      <c r="Q113" s="4" t="str">
        <f>IF(Data_Set_2[[#This Row],[valor_bruto]]&lt;$W$14,"OUTLIER-","")</f>
        <v/>
      </c>
      <c r="R113" s="4"/>
      <c r="S113" s="4"/>
      <c r="AB113" t="str">
        <v>RES-100111</v>
      </c>
      <c r="AC113">
        <v>45800</v>
      </c>
      <c r="AD113">
        <v>0.58125000000000004</v>
      </c>
      <c r="AE113" t="str">
        <v>Envigado</v>
      </c>
      <c r="AF113" t="str">
        <v>Mesa</v>
      </c>
      <c r="AG113" t="str">
        <v>Pasta</v>
      </c>
      <c r="AH113">
        <v>6</v>
      </c>
      <c r="AI113">
        <v>60818.15</v>
      </c>
      <c r="AJ113">
        <v>2711.07</v>
      </c>
      <c r="AK113">
        <v>18</v>
      </c>
      <c r="AL113">
        <v>33</v>
      </c>
      <c r="AM113" t="str">
        <v>Tarjeta</v>
      </c>
      <c r="AN113" t="str">
        <v>Entregada</v>
      </c>
      <c r="AO113">
        <v>4</v>
      </c>
    </row>
    <row r="114" spans="1:41" x14ac:dyDescent="0.3">
      <c r="A114" t="s">
        <v>144</v>
      </c>
      <c r="B114" s="8">
        <v>45801</v>
      </c>
      <c r="C114" s="2">
        <v>0.58611111111111114</v>
      </c>
      <c r="D114" t="s">
        <v>15</v>
      </c>
      <c r="E114" t="s">
        <v>22</v>
      </c>
      <c r="F114" t="s">
        <v>29</v>
      </c>
      <c r="G114">
        <v>3</v>
      </c>
      <c r="H114" s="6">
        <v>43183</v>
      </c>
      <c r="I114" s="6">
        <v>3425.35</v>
      </c>
      <c r="J114">
        <v>28</v>
      </c>
      <c r="K114">
        <v>27</v>
      </c>
      <c r="L114" t="s">
        <v>24</v>
      </c>
      <c r="M114" t="s">
        <v>25</v>
      </c>
      <c r="N114">
        <v>5</v>
      </c>
      <c r="O114" s="4"/>
      <c r="P114" s="4" t="str">
        <f>IF(Data_Set_2[[#This Row],[valor_bruto]]&gt;$W$13,"OUTLIER+","")</f>
        <v/>
      </c>
      <c r="Q114" s="4" t="str">
        <f>IF(Data_Set_2[[#This Row],[valor_bruto]]&lt;$W$14,"OUTLIER-","")</f>
        <v/>
      </c>
      <c r="R114" s="4"/>
      <c r="S114" s="4"/>
      <c r="AB114" t="str">
        <v>RES-100112</v>
      </c>
      <c r="AC114">
        <v>45801</v>
      </c>
      <c r="AD114">
        <v>0.58611111111111114</v>
      </c>
      <c r="AE114" t="str">
        <v>Laureles</v>
      </c>
      <c r="AF114" t="str">
        <v>Domicilio</v>
      </c>
      <c r="AG114" t="str">
        <v>Parrilla</v>
      </c>
      <c r="AH114">
        <v>3</v>
      </c>
      <c r="AI114">
        <v>43183</v>
      </c>
      <c r="AJ114">
        <v>3425.35</v>
      </c>
      <c r="AK114">
        <v>28</v>
      </c>
      <c r="AL114">
        <v>27</v>
      </c>
      <c r="AM114" t="str">
        <v>Efectivo</v>
      </c>
      <c r="AN114" t="str">
        <v>Cancelada</v>
      </c>
      <c r="AO114">
        <v>5</v>
      </c>
    </row>
    <row r="115" spans="1:41" x14ac:dyDescent="0.3">
      <c r="A115" t="s">
        <v>145</v>
      </c>
      <c r="B115" s="8">
        <v>45802</v>
      </c>
      <c r="C115" s="2">
        <v>0.63263888888888886</v>
      </c>
      <c r="D115" t="s">
        <v>21</v>
      </c>
      <c r="E115" t="s">
        <v>28</v>
      </c>
      <c r="F115" t="s">
        <v>34</v>
      </c>
      <c r="G115">
        <v>5</v>
      </c>
      <c r="H115" s="6">
        <v>29787.57</v>
      </c>
      <c r="I115" s="6">
        <v>3351.18</v>
      </c>
      <c r="J115">
        <v>14</v>
      </c>
      <c r="K115">
        <v>23</v>
      </c>
      <c r="L115" t="s">
        <v>30</v>
      </c>
      <c r="M115" t="s">
        <v>31</v>
      </c>
      <c r="N115">
        <v>3</v>
      </c>
      <c r="O115" s="4"/>
      <c r="P115" s="4" t="str">
        <f>IF(Data_Set_2[[#This Row],[valor_bruto]]&gt;$W$13,"OUTLIER+","")</f>
        <v/>
      </c>
      <c r="Q115" s="4" t="str">
        <f>IF(Data_Set_2[[#This Row],[valor_bruto]]&lt;$W$14,"OUTLIER-","")</f>
        <v/>
      </c>
      <c r="R115" s="4"/>
      <c r="S115" s="4"/>
      <c r="AB115" t="str">
        <v>RES-100113</v>
      </c>
      <c r="AC115">
        <v>45802</v>
      </c>
      <c r="AD115">
        <v>0.63263888888888886</v>
      </c>
      <c r="AE115" t="str">
        <v>Poblado</v>
      </c>
      <c r="AF115" t="str">
        <v>Recoge</v>
      </c>
      <c r="AG115" t="str">
        <v>Vegano</v>
      </c>
      <c r="AH115">
        <v>5</v>
      </c>
      <c r="AI115">
        <v>29787.57</v>
      </c>
      <c r="AJ115">
        <v>3351.18</v>
      </c>
      <c r="AK115">
        <v>14</v>
      </c>
      <c r="AL115">
        <v>23</v>
      </c>
      <c r="AM115" t="str">
        <v>App</v>
      </c>
      <c r="AN115" t="str">
        <v>Reembolsada</v>
      </c>
      <c r="AO115">
        <v>3</v>
      </c>
    </row>
    <row r="116" spans="1:41" x14ac:dyDescent="0.3">
      <c r="A116" t="s">
        <v>146</v>
      </c>
      <c r="B116" s="8">
        <v>45803</v>
      </c>
      <c r="C116" s="2">
        <v>0.6791666666666667</v>
      </c>
      <c r="D116" t="s">
        <v>27</v>
      </c>
      <c r="E116" t="s">
        <v>16</v>
      </c>
      <c r="F116" t="s">
        <v>36</v>
      </c>
      <c r="G116">
        <v>5</v>
      </c>
      <c r="H116" s="6">
        <v>31135.360000000001</v>
      </c>
      <c r="I116" s="6">
        <v>5410.71</v>
      </c>
      <c r="J116">
        <v>20</v>
      </c>
      <c r="K116">
        <v>28</v>
      </c>
      <c r="L116" t="s">
        <v>18</v>
      </c>
      <c r="M116" t="s">
        <v>19</v>
      </c>
      <c r="N116">
        <v>5</v>
      </c>
      <c r="O116" s="4"/>
      <c r="P116" s="4" t="str">
        <f>IF(Data_Set_2[[#This Row],[valor_bruto]]&gt;$W$13,"OUTLIER+","")</f>
        <v/>
      </c>
      <c r="Q116" s="4" t="str">
        <f>IF(Data_Set_2[[#This Row],[valor_bruto]]&lt;$W$14,"OUTLIER-","")</f>
        <v/>
      </c>
      <c r="R116" s="4"/>
      <c r="S116" s="4"/>
      <c r="AB116" t="str">
        <v>RES-100114</v>
      </c>
      <c r="AC116">
        <v>45803</v>
      </c>
      <c r="AD116">
        <v>0.6791666666666667</v>
      </c>
      <c r="AE116" t="str">
        <v>Centro</v>
      </c>
      <c r="AF116" t="str">
        <v>Mesa</v>
      </c>
      <c r="AG116" t="str">
        <v>Bebidas</v>
      </c>
      <c r="AH116">
        <v>5</v>
      </c>
      <c r="AI116">
        <v>31135.360000000001</v>
      </c>
      <c r="AJ116">
        <v>5410.71</v>
      </c>
      <c r="AK116">
        <v>20</v>
      </c>
      <c r="AL116">
        <v>28</v>
      </c>
      <c r="AM116" t="str">
        <v>Tarjeta</v>
      </c>
      <c r="AN116" t="str">
        <v>Entregada</v>
      </c>
      <c r="AO116">
        <v>5</v>
      </c>
    </row>
    <row r="117" spans="1:41" x14ac:dyDescent="0.3">
      <c r="A117" t="s">
        <v>147</v>
      </c>
      <c r="B117" s="8">
        <v>45804</v>
      </c>
      <c r="C117" s="2">
        <v>0.72569444444444442</v>
      </c>
      <c r="D117" t="s">
        <v>33</v>
      </c>
      <c r="E117" t="s">
        <v>22</v>
      </c>
      <c r="F117" t="s">
        <v>17</v>
      </c>
      <c r="G117">
        <v>2</v>
      </c>
      <c r="H117" s="6">
        <v>62813.2</v>
      </c>
      <c r="I117" s="6">
        <v>2396.86</v>
      </c>
      <c r="J117">
        <v>17</v>
      </c>
      <c r="K117">
        <v>24</v>
      </c>
      <c r="L117" t="s">
        <v>24</v>
      </c>
      <c r="M117" t="s">
        <v>25</v>
      </c>
      <c r="N117">
        <v>4</v>
      </c>
      <c r="O117" s="4"/>
      <c r="P117" s="4" t="str">
        <f>IF(Data_Set_2[[#This Row],[valor_bruto]]&gt;$W$13,"OUTLIER+","")</f>
        <v/>
      </c>
      <c r="Q117" s="4" t="str">
        <f>IF(Data_Set_2[[#This Row],[valor_bruto]]&lt;$W$14,"OUTLIER-","")</f>
        <v/>
      </c>
      <c r="R117" s="4"/>
      <c r="S117" s="4"/>
      <c r="AB117" t="str">
        <v>RES-100115</v>
      </c>
      <c r="AC117">
        <v>45804</v>
      </c>
      <c r="AD117">
        <v>0.72569444444444442</v>
      </c>
      <c r="AE117" t="str">
        <v>Envigado</v>
      </c>
      <c r="AF117" t="str">
        <v>Domicilio</v>
      </c>
      <c r="AG117" t="str">
        <v>Comida rapida</v>
      </c>
      <c r="AH117">
        <v>2</v>
      </c>
      <c r="AI117">
        <v>62813.2</v>
      </c>
      <c r="AJ117">
        <v>2396.86</v>
      </c>
      <c r="AK117">
        <v>17</v>
      </c>
      <c r="AL117">
        <v>24</v>
      </c>
      <c r="AM117" t="str">
        <v>Efectivo</v>
      </c>
      <c r="AN117" t="str">
        <v>Cancelada</v>
      </c>
      <c r="AO117">
        <v>4</v>
      </c>
    </row>
    <row r="118" spans="1:41" x14ac:dyDescent="0.3">
      <c r="A118" t="s">
        <v>148</v>
      </c>
      <c r="B118" s="8">
        <v>45805</v>
      </c>
      <c r="C118" s="2">
        <v>0.77222222222222225</v>
      </c>
      <c r="D118" t="s">
        <v>15</v>
      </c>
      <c r="E118" t="s">
        <v>28</v>
      </c>
      <c r="F118" t="s">
        <v>23</v>
      </c>
      <c r="G118">
        <v>2</v>
      </c>
      <c r="H118" s="6">
        <v>46771.69</v>
      </c>
      <c r="I118" s="6">
        <v>3106.81</v>
      </c>
      <c r="J118">
        <v>28</v>
      </c>
      <c r="K118">
        <v>50</v>
      </c>
      <c r="L118" t="s">
        <v>30</v>
      </c>
      <c r="M118" t="s">
        <v>31</v>
      </c>
      <c r="N118">
        <v>5</v>
      </c>
      <c r="O118" s="4"/>
      <c r="P118" s="4" t="str">
        <f>IF(Data_Set_2[[#This Row],[valor_bruto]]&gt;$W$13,"OUTLIER+","")</f>
        <v/>
      </c>
      <c r="Q118" s="4" t="str">
        <f>IF(Data_Set_2[[#This Row],[valor_bruto]]&lt;$W$14,"OUTLIER-","")</f>
        <v/>
      </c>
      <c r="R118" s="4"/>
      <c r="S118" s="4"/>
      <c r="AB118" t="str">
        <v>RES-100116</v>
      </c>
      <c r="AC118">
        <v>45805</v>
      </c>
      <c r="AD118">
        <v>0.77222222222222225</v>
      </c>
      <c r="AE118" t="str">
        <v>Laureles</v>
      </c>
      <c r="AF118" t="str">
        <v>Recoge</v>
      </c>
      <c r="AG118" t="str">
        <v>Pasta</v>
      </c>
      <c r="AH118">
        <v>2</v>
      </c>
      <c r="AI118">
        <v>46771.69</v>
      </c>
      <c r="AJ118">
        <v>3106.81</v>
      </c>
      <c r="AK118">
        <v>28</v>
      </c>
      <c r="AL118">
        <v>50</v>
      </c>
      <c r="AM118" t="str">
        <v>App</v>
      </c>
      <c r="AN118" t="str">
        <v>Reembolsada</v>
      </c>
      <c r="AO118">
        <v>5</v>
      </c>
    </row>
    <row r="119" spans="1:41" x14ac:dyDescent="0.3">
      <c r="A119" t="s">
        <v>149</v>
      </c>
      <c r="B119" s="8">
        <v>45806</v>
      </c>
      <c r="C119" s="2">
        <v>0.81874999999999998</v>
      </c>
      <c r="D119" t="s">
        <v>21</v>
      </c>
      <c r="E119" t="s">
        <v>16</v>
      </c>
      <c r="F119" t="s">
        <v>29</v>
      </c>
      <c r="G119">
        <v>6</v>
      </c>
      <c r="H119" s="6">
        <v>59784.38</v>
      </c>
      <c r="I119" s="6">
        <v>6428.3</v>
      </c>
      <c r="J119">
        <v>26</v>
      </c>
      <c r="K119">
        <v>52</v>
      </c>
      <c r="L119" t="s">
        <v>18</v>
      </c>
      <c r="M119" t="s">
        <v>19</v>
      </c>
      <c r="N119">
        <v>4</v>
      </c>
      <c r="O119" s="4"/>
      <c r="P119" s="4" t="str">
        <f>IF(Data_Set_2[[#This Row],[valor_bruto]]&gt;$W$13,"OUTLIER+","")</f>
        <v/>
      </c>
      <c r="Q119" s="4" t="str">
        <f>IF(Data_Set_2[[#This Row],[valor_bruto]]&lt;$W$14,"OUTLIER-","")</f>
        <v/>
      </c>
      <c r="R119" s="4"/>
      <c r="S119" s="4"/>
      <c r="AB119" t="str">
        <v>RES-100117</v>
      </c>
      <c r="AC119">
        <v>45806</v>
      </c>
      <c r="AD119">
        <v>0.81874999999999998</v>
      </c>
      <c r="AE119" t="str">
        <v>Poblado</v>
      </c>
      <c r="AF119" t="str">
        <v>Mesa</v>
      </c>
      <c r="AG119" t="str">
        <v>Parrilla</v>
      </c>
      <c r="AH119">
        <v>6</v>
      </c>
      <c r="AI119">
        <v>59784.38</v>
      </c>
      <c r="AJ119">
        <v>6428.3</v>
      </c>
      <c r="AK119">
        <v>26</v>
      </c>
      <c r="AL119">
        <v>52</v>
      </c>
      <c r="AM119" t="str">
        <v>Tarjeta</v>
      </c>
      <c r="AN119" t="str">
        <v>Entregada</v>
      </c>
      <c r="AO119">
        <v>4</v>
      </c>
    </row>
    <row r="120" spans="1:41" x14ac:dyDescent="0.3">
      <c r="A120" t="s">
        <v>150</v>
      </c>
      <c r="B120" s="8">
        <v>45807</v>
      </c>
      <c r="C120" s="2">
        <v>0.86527777777777781</v>
      </c>
      <c r="D120" t="s">
        <v>27</v>
      </c>
      <c r="E120" t="s">
        <v>22</v>
      </c>
      <c r="F120" t="s">
        <v>34</v>
      </c>
      <c r="G120">
        <v>3</v>
      </c>
      <c r="H120" s="6">
        <v>46160.68</v>
      </c>
      <c r="I120" s="6">
        <v>6209.11</v>
      </c>
      <c r="J120">
        <v>21</v>
      </c>
      <c r="K120">
        <v>29</v>
      </c>
      <c r="L120" t="s">
        <v>24</v>
      </c>
      <c r="M120" t="s">
        <v>25</v>
      </c>
      <c r="N120">
        <v>5</v>
      </c>
      <c r="O120" s="4"/>
      <c r="P120" s="4" t="str">
        <f>IF(Data_Set_2[[#This Row],[valor_bruto]]&gt;$W$13,"OUTLIER+","")</f>
        <v/>
      </c>
      <c r="Q120" s="4" t="str">
        <f>IF(Data_Set_2[[#This Row],[valor_bruto]]&lt;$W$14,"OUTLIER-","")</f>
        <v/>
      </c>
      <c r="R120" s="4"/>
      <c r="S120" s="4"/>
      <c r="AB120" t="str">
        <v>RES-100118</v>
      </c>
      <c r="AC120">
        <v>45807</v>
      </c>
      <c r="AD120">
        <v>0.86527777777777781</v>
      </c>
      <c r="AE120" t="str">
        <v>Centro</v>
      </c>
      <c r="AF120" t="str">
        <v>Domicilio</v>
      </c>
      <c r="AG120" t="str">
        <v>Vegano</v>
      </c>
      <c r="AH120">
        <v>3</v>
      </c>
      <c r="AI120">
        <v>46160.68</v>
      </c>
      <c r="AJ120">
        <v>6209.11</v>
      </c>
      <c r="AK120">
        <v>21</v>
      </c>
      <c r="AL120">
        <v>29</v>
      </c>
      <c r="AM120" t="str">
        <v>Efectivo</v>
      </c>
      <c r="AN120" t="str">
        <v>Cancelada</v>
      </c>
      <c r="AO120">
        <v>5</v>
      </c>
    </row>
    <row r="121" spans="1:41" x14ac:dyDescent="0.3">
      <c r="A121" t="s">
        <v>151</v>
      </c>
      <c r="B121" s="8">
        <v>45808</v>
      </c>
      <c r="C121" s="2">
        <v>0.91180555555555554</v>
      </c>
      <c r="D121" t="s">
        <v>33</v>
      </c>
      <c r="E121" t="s">
        <v>28</v>
      </c>
      <c r="F121" t="s">
        <v>36</v>
      </c>
      <c r="G121">
        <v>3</v>
      </c>
      <c r="H121" s="6">
        <v>37168.78</v>
      </c>
      <c r="I121" s="6">
        <v>932.4</v>
      </c>
      <c r="J121">
        <v>13</v>
      </c>
      <c r="K121">
        <v>51</v>
      </c>
      <c r="L121" t="s">
        <v>30</v>
      </c>
      <c r="M121" t="s">
        <v>31</v>
      </c>
      <c r="N121">
        <v>3</v>
      </c>
      <c r="O121" s="4"/>
      <c r="P121" s="4" t="str">
        <f>IF(Data_Set_2[[#This Row],[valor_bruto]]&gt;$W$13,"OUTLIER+","")</f>
        <v/>
      </c>
      <c r="Q121" s="4" t="str">
        <f>IF(Data_Set_2[[#This Row],[valor_bruto]]&lt;$W$14,"OUTLIER-","")</f>
        <v/>
      </c>
      <c r="R121" s="4"/>
      <c r="S121" s="4"/>
      <c r="AB121" t="str">
        <v>RES-100119</v>
      </c>
      <c r="AC121">
        <v>45808</v>
      </c>
      <c r="AD121">
        <v>0.91180555555555554</v>
      </c>
      <c r="AE121" t="str">
        <v>Envigado</v>
      </c>
      <c r="AF121" t="str">
        <v>Recoge</v>
      </c>
      <c r="AG121" t="str">
        <v>Bebidas</v>
      </c>
      <c r="AH121">
        <v>3</v>
      </c>
      <c r="AI121">
        <v>37168.78</v>
      </c>
      <c r="AJ121">
        <v>932.4</v>
      </c>
      <c r="AK121">
        <v>13</v>
      </c>
      <c r="AL121">
        <v>51</v>
      </c>
      <c r="AM121" t="str">
        <v>App</v>
      </c>
      <c r="AN121" t="str">
        <v>Reembolsada</v>
      </c>
      <c r="AO121">
        <v>3</v>
      </c>
    </row>
    <row r="122" spans="1:41" x14ac:dyDescent="0.3">
      <c r="A122" t="s">
        <v>152</v>
      </c>
      <c r="B122" s="8">
        <v>45809</v>
      </c>
      <c r="C122" s="2">
        <v>0.41666666666666669</v>
      </c>
      <c r="D122" t="s">
        <v>15</v>
      </c>
      <c r="E122" t="s">
        <v>16</v>
      </c>
      <c r="F122" t="s">
        <v>17</v>
      </c>
      <c r="G122">
        <v>5</v>
      </c>
      <c r="H122" s="6">
        <v>26158.52</v>
      </c>
      <c r="I122" s="6">
        <v>7706.02</v>
      </c>
      <c r="J122">
        <v>30</v>
      </c>
      <c r="K122">
        <v>28</v>
      </c>
      <c r="L122" t="s">
        <v>18</v>
      </c>
      <c r="M122" t="s">
        <v>19</v>
      </c>
      <c r="N122">
        <v>4</v>
      </c>
      <c r="O122" s="4"/>
      <c r="P122" s="4" t="str">
        <f>IF(Data_Set_2[[#This Row],[valor_bruto]]&gt;$W$13,"OUTLIER+","")</f>
        <v/>
      </c>
      <c r="Q122" s="4" t="str">
        <f>IF(Data_Set_2[[#This Row],[valor_bruto]]&lt;$W$14,"OUTLIER-","")</f>
        <v/>
      </c>
      <c r="R122" s="4"/>
      <c r="S122" s="4"/>
      <c r="AB122" t="str">
        <v>RES-100120</v>
      </c>
      <c r="AC122">
        <v>45809</v>
      </c>
      <c r="AD122">
        <v>0.41666666666666669</v>
      </c>
      <c r="AE122" t="str">
        <v>Laureles</v>
      </c>
      <c r="AF122" t="str">
        <v>Mesa</v>
      </c>
      <c r="AG122" t="str">
        <v>Comida rapida</v>
      </c>
      <c r="AH122">
        <v>5</v>
      </c>
      <c r="AI122">
        <v>26158.52</v>
      </c>
      <c r="AJ122">
        <v>7706.02</v>
      </c>
      <c r="AK122">
        <v>30</v>
      </c>
      <c r="AL122">
        <v>28</v>
      </c>
      <c r="AM122" t="str">
        <v>Tarjeta</v>
      </c>
      <c r="AN122" t="str">
        <v>Entregada</v>
      </c>
      <c r="AO122">
        <v>4</v>
      </c>
    </row>
    <row r="123" spans="1:41" x14ac:dyDescent="0.3">
      <c r="A123" t="s">
        <v>153</v>
      </c>
      <c r="B123" s="8">
        <v>45810</v>
      </c>
      <c r="C123" s="2">
        <v>0.46319444444444446</v>
      </c>
      <c r="D123" t="s">
        <v>21</v>
      </c>
      <c r="E123" t="s">
        <v>22</v>
      </c>
      <c r="F123" t="s">
        <v>23</v>
      </c>
      <c r="G123">
        <v>3</v>
      </c>
      <c r="H123" s="6">
        <v>53423.87</v>
      </c>
      <c r="I123" s="6">
        <v>3166.3</v>
      </c>
      <c r="J123">
        <v>16</v>
      </c>
      <c r="K123">
        <v>32</v>
      </c>
      <c r="L123" t="s">
        <v>24</v>
      </c>
      <c r="M123" t="s">
        <v>25</v>
      </c>
      <c r="N123">
        <v>3</v>
      </c>
      <c r="O123" s="4"/>
      <c r="P123" s="4" t="str">
        <f>IF(Data_Set_2[[#This Row],[valor_bruto]]&gt;$W$13,"OUTLIER+","")</f>
        <v/>
      </c>
      <c r="Q123" s="4" t="str">
        <f>IF(Data_Set_2[[#This Row],[valor_bruto]]&lt;$W$14,"OUTLIER-","")</f>
        <v/>
      </c>
      <c r="R123" s="4"/>
      <c r="S123" s="4"/>
      <c r="AB123" t="str">
        <v>RES-100121</v>
      </c>
      <c r="AC123">
        <v>45810</v>
      </c>
      <c r="AD123">
        <v>0.46319444444444446</v>
      </c>
      <c r="AE123" t="str">
        <v>Poblado</v>
      </c>
      <c r="AF123" t="str">
        <v>Domicilio</v>
      </c>
      <c r="AG123" t="str">
        <v>Pasta</v>
      </c>
      <c r="AH123">
        <v>3</v>
      </c>
      <c r="AI123">
        <v>53423.87</v>
      </c>
      <c r="AJ123">
        <v>3166.3</v>
      </c>
      <c r="AK123">
        <v>16</v>
      </c>
      <c r="AL123">
        <v>32</v>
      </c>
      <c r="AM123" t="str">
        <v>Efectivo</v>
      </c>
      <c r="AN123" t="str">
        <v>Cancelada</v>
      </c>
      <c r="AO123">
        <v>3</v>
      </c>
    </row>
    <row r="124" spans="1:41" x14ac:dyDescent="0.3">
      <c r="A124" t="s">
        <v>154</v>
      </c>
      <c r="B124" s="8">
        <v>45722</v>
      </c>
      <c r="C124" s="2">
        <v>0.50972222222222219</v>
      </c>
      <c r="D124" t="s">
        <v>27</v>
      </c>
      <c r="E124" t="s">
        <v>28</v>
      </c>
      <c r="F124" t="s">
        <v>29</v>
      </c>
      <c r="G124">
        <v>5</v>
      </c>
      <c r="H124" s="6">
        <v>60251.19</v>
      </c>
      <c r="I124" s="6">
        <v>6054.94</v>
      </c>
      <c r="J124">
        <v>29</v>
      </c>
      <c r="K124">
        <v>45</v>
      </c>
      <c r="L124" t="s">
        <v>30</v>
      </c>
      <c r="M124" t="s">
        <v>31</v>
      </c>
      <c r="N124">
        <v>5</v>
      </c>
      <c r="O124" s="4"/>
      <c r="P124" s="4" t="str">
        <f>IF(Data_Set_2[[#This Row],[valor_bruto]]&gt;$W$13,"OUTLIER+","")</f>
        <v/>
      </c>
      <c r="Q124" s="4" t="str">
        <f>IF(Data_Set_2[[#This Row],[valor_bruto]]&lt;$W$14,"OUTLIER-","")</f>
        <v/>
      </c>
      <c r="R124" s="4"/>
      <c r="S124" s="4"/>
      <c r="AB124" t="str">
        <v>RES-100122</v>
      </c>
      <c r="AC124">
        <v>45722</v>
      </c>
      <c r="AD124">
        <v>0.50972222222222219</v>
      </c>
      <c r="AE124" t="str">
        <v>Centro</v>
      </c>
      <c r="AF124" t="str">
        <v>Recoge</v>
      </c>
      <c r="AG124" t="str">
        <v>Parrilla</v>
      </c>
      <c r="AH124">
        <v>5</v>
      </c>
      <c r="AI124">
        <v>60251.19</v>
      </c>
      <c r="AJ124">
        <v>6054.94</v>
      </c>
      <c r="AK124">
        <v>29</v>
      </c>
      <c r="AL124">
        <v>45</v>
      </c>
      <c r="AM124" t="str">
        <v>App</v>
      </c>
      <c r="AN124" t="str">
        <v>Reembolsada</v>
      </c>
      <c r="AO124">
        <v>5</v>
      </c>
    </row>
    <row r="125" spans="1:41" x14ac:dyDescent="0.3">
      <c r="A125" t="s">
        <v>155</v>
      </c>
      <c r="B125" s="8">
        <v>45812</v>
      </c>
      <c r="C125" s="2">
        <v>0.55625000000000002</v>
      </c>
      <c r="D125" t="s">
        <v>33</v>
      </c>
      <c r="E125" t="s">
        <v>16</v>
      </c>
      <c r="F125" t="s">
        <v>34</v>
      </c>
      <c r="G125">
        <v>6</v>
      </c>
      <c r="H125" s="6">
        <v>37367.56</v>
      </c>
      <c r="I125" s="6">
        <v>4355.97</v>
      </c>
      <c r="J125">
        <v>13</v>
      </c>
      <c r="K125">
        <v>28</v>
      </c>
      <c r="L125" t="s">
        <v>18</v>
      </c>
      <c r="M125" t="s">
        <v>19</v>
      </c>
      <c r="N125">
        <v>5</v>
      </c>
      <c r="O125" s="4"/>
      <c r="P125" s="4" t="str">
        <f>IF(Data_Set_2[[#This Row],[valor_bruto]]&gt;$W$13,"OUTLIER+","")</f>
        <v/>
      </c>
      <c r="Q125" s="4" t="str">
        <f>IF(Data_Set_2[[#This Row],[valor_bruto]]&lt;$W$14,"OUTLIER-","")</f>
        <v/>
      </c>
      <c r="R125" s="4"/>
      <c r="S125" s="4"/>
      <c r="AB125" t="str">
        <v>RES-100123</v>
      </c>
      <c r="AC125">
        <v>45812</v>
      </c>
      <c r="AD125">
        <v>0.55625000000000002</v>
      </c>
      <c r="AE125" t="str">
        <v>Envigado</v>
      </c>
      <c r="AF125" t="str">
        <v>Mesa</v>
      </c>
      <c r="AG125" t="str">
        <v>Vegano</v>
      </c>
      <c r="AH125">
        <v>6</v>
      </c>
      <c r="AI125">
        <v>37367.56</v>
      </c>
      <c r="AJ125">
        <v>4355.97</v>
      </c>
      <c r="AK125">
        <v>13</v>
      </c>
      <c r="AL125">
        <v>28</v>
      </c>
      <c r="AM125" t="str">
        <v>Tarjeta</v>
      </c>
      <c r="AN125" t="str">
        <v>Entregada</v>
      </c>
      <c r="AO125">
        <v>5</v>
      </c>
    </row>
    <row r="126" spans="1:41" x14ac:dyDescent="0.3">
      <c r="A126" t="s">
        <v>156</v>
      </c>
      <c r="B126" s="8">
        <v>45813</v>
      </c>
      <c r="C126" s="2">
        <v>0.60277777777777775</v>
      </c>
      <c r="D126" t="s">
        <v>15</v>
      </c>
      <c r="E126" t="s">
        <v>22</v>
      </c>
      <c r="F126" t="s">
        <v>36</v>
      </c>
      <c r="G126">
        <v>3</v>
      </c>
      <c r="H126" s="6">
        <v>64939.17</v>
      </c>
      <c r="I126" s="6">
        <v>2936.89</v>
      </c>
      <c r="J126">
        <v>24</v>
      </c>
      <c r="K126">
        <v>28</v>
      </c>
      <c r="L126" t="s">
        <v>24</v>
      </c>
      <c r="M126" t="s">
        <v>25</v>
      </c>
      <c r="N126">
        <v>3</v>
      </c>
      <c r="O126" s="4"/>
      <c r="P126" s="4" t="str">
        <f>IF(Data_Set_2[[#This Row],[valor_bruto]]&gt;$W$13,"OUTLIER+","")</f>
        <v/>
      </c>
      <c r="Q126" s="4" t="str">
        <f>IF(Data_Set_2[[#This Row],[valor_bruto]]&lt;$W$14,"OUTLIER-","")</f>
        <v/>
      </c>
      <c r="R126" s="4"/>
      <c r="S126" s="4"/>
      <c r="AB126" t="str">
        <v>RES-100124</v>
      </c>
      <c r="AC126">
        <v>45813</v>
      </c>
      <c r="AD126">
        <v>0.60277777777777775</v>
      </c>
      <c r="AE126" t="str">
        <v>Laureles</v>
      </c>
      <c r="AF126" t="str">
        <v>Domicilio</v>
      </c>
      <c r="AG126" t="str">
        <v>Bebidas</v>
      </c>
      <c r="AH126">
        <v>3</v>
      </c>
      <c r="AI126">
        <v>64939.17</v>
      </c>
      <c r="AJ126">
        <v>2936.89</v>
      </c>
      <c r="AK126">
        <v>24</v>
      </c>
      <c r="AL126">
        <v>28</v>
      </c>
      <c r="AM126" t="str">
        <v>Efectivo</v>
      </c>
      <c r="AN126" t="str">
        <v>Cancelada</v>
      </c>
      <c r="AO126">
        <v>3</v>
      </c>
    </row>
    <row r="127" spans="1:41" x14ac:dyDescent="0.3">
      <c r="A127" t="s">
        <v>157</v>
      </c>
      <c r="B127" s="8">
        <v>45814</v>
      </c>
      <c r="C127" s="2">
        <v>0.64930555555555558</v>
      </c>
      <c r="D127" t="s">
        <v>21</v>
      </c>
      <c r="E127" t="s">
        <v>28</v>
      </c>
      <c r="F127" t="s">
        <v>17</v>
      </c>
      <c r="G127">
        <v>6</v>
      </c>
      <c r="H127" s="6">
        <v>43851.19</v>
      </c>
      <c r="I127" s="6">
        <v>4251.9005882352949</v>
      </c>
      <c r="J127">
        <v>27</v>
      </c>
      <c r="K127">
        <v>6</v>
      </c>
      <c r="L127" t="s">
        <v>30</v>
      </c>
      <c r="M127" t="s">
        <v>31</v>
      </c>
      <c r="N127">
        <v>4</v>
      </c>
      <c r="O127" s="4"/>
      <c r="P127" s="4" t="str">
        <f>IF(Data_Set_2[[#This Row],[valor_bruto]]&gt;$W$13,"OUTLIER+","")</f>
        <v/>
      </c>
      <c r="Q127" s="4" t="str">
        <f>IF(Data_Set_2[[#This Row],[valor_bruto]]&lt;$W$14,"OUTLIER-","")</f>
        <v/>
      </c>
      <c r="R127" s="4"/>
      <c r="S127" s="4"/>
      <c r="AB127" t="str">
        <v>RES-100125</v>
      </c>
      <c r="AC127">
        <v>45814</v>
      </c>
      <c r="AD127">
        <v>0.64930555555555558</v>
      </c>
      <c r="AE127" t="str">
        <v>Poblado</v>
      </c>
      <c r="AF127" t="str">
        <v>Recoge</v>
      </c>
      <c r="AG127" t="str">
        <v>Comida rapida</v>
      </c>
      <c r="AH127">
        <v>6</v>
      </c>
      <c r="AI127">
        <v>43851.19</v>
      </c>
      <c r="AJ127">
        <v>4251.9005882352949</v>
      </c>
      <c r="AK127">
        <v>27</v>
      </c>
      <c r="AL127">
        <v>6</v>
      </c>
      <c r="AM127" t="str">
        <v>App</v>
      </c>
      <c r="AN127" t="str">
        <v>Reembolsada</v>
      </c>
      <c r="AO127">
        <v>4</v>
      </c>
    </row>
    <row r="128" spans="1:41" x14ac:dyDescent="0.3">
      <c r="A128" t="s">
        <v>158</v>
      </c>
      <c r="B128" s="8">
        <v>45815</v>
      </c>
      <c r="C128" s="2">
        <v>0.6958333333333333</v>
      </c>
      <c r="D128" t="s">
        <v>27</v>
      </c>
      <c r="E128" t="s">
        <v>16</v>
      </c>
      <c r="F128" t="s">
        <v>23</v>
      </c>
      <c r="G128">
        <v>6</v>
      </c>
      <c r="H128" s="6">
        <v>29957.45</v>
      </c>
      <c r="I128" s="6">
        <v>3005.79</v>
      </c>
      <c r="J128">
        <v>19</v>
      </c>
      <c r="K128">
        <v>31</v>
      </c>
      <c r="L128" t="s">
        <v>18</v>
      </c>
      <c r="M128" t="s">
        <v>19</v>
      </c>
      <c r="N128">
        <f>VLOOKUP(Data_Set_2[[#This Row],[estado]],M2:N127,2,0)</f>
        <v>5</v>
      </c>
      <c r="O128" s="4"/>
      <c r="P128" s="4" t="str">
        <f>IF(Data_Set_2[[#This Row],[valor_bruto]]&gt;$W$13,"OUTLIER+","")</f>
        <v/>
      </c>
      <c r="Q128" s="4" t="str">
        <f>IF(Data_Set_2[[#This Row],[valor_bruto]]&lt;$W$14,"OUTLIER-","")</f>
        <v/>
      </c>
      <c r="R128" s="4"/>
      <c r="S128" s="4"/>
      <c r="AB128" t="str">
        <v>RES-100126</v>
      </c>
      <c r="AC128">
        <v>45815</v>
      </c>
      <c r="AD128">
        <v>0.6958333333333333</v>
      </c>
      <c r="AE128" t="str">
        <v>Centro</v>
      </c>
      <c r="AF128" t="str">
        <v>Mesa</v>
      </c>
      <c r="AG128" t="str">
        <v>Pasta</v>
      </c>
      <c r="AH128">
        <v>6</v>
      </c>
      <c r="AI128">
        <v>29957.45</v>
      </c>
      <c r="AJ128">
        <v>3005.79</v>
      </c>
      <c r="AK128">
        <v>19</v>
      </c>
      <c r="AL128">
        <v>31</v>
      </c>
      <c r="AM128" t="str">
        <v>Tarjeta</v>
      </c>
      <c r="AN128" t="str">
        <v>Entregada</v>
      </c>
      <c r="AO128">
        <v>5</v>
      </c>
    </row>
    <row r="129" spans="1:41" x14ac:dyDescent="0.3">
      <c r="A129" t="s">
        <v>159</v>
      </c>
      <c r="B129" s="8">
        <v>45816</v>
      </c>
      <c r="C129" s="2">
        <v>0.74236111111111114</v>
      </c>
      <c r="D129" t="s">
        <v>33</v>
      </c>
      <c r="E129" t="s">
        <v>22</v>
      </c>
      <c r="F129" t="s">
        <v>29</v>
      </c>
      <c r="G129">
        <v>6</v>
      </c>
      <c r="H129" s="6">
        <v>50382.61</v>
      </c>
      <c r="I129" s="6">
        <v>5228.6099999999997</v>
      </c>
      <c r="J129">
        <v>28</v>
      </c>
      <c r="K129">
        <v>25</v>
      </c>
      <c r="L129" t="s">
        <v>24</v>
      </c>
      <c r="M129" t="s">
        <v>25</v>
      </c>
      <c r="N129">
        <v>4</v>
      </c>
      <c r="O129" s="4"/>
      <c r="P129" s="4" t="str">
        <f>IF(Data_Set_2[[#This Row],[valor_bruto]]&gt;$W$13,"OUTLIER+","")</f>
        <v/>
      </c>
      <c r="Q129" s="4" t="str">
        <f>IF(Data_Set_2[[#This Row],[valor_bruto]]&lt;$W$14,"OUTLIER-","")</f>
        <v/>
      </c>
      <c r="R129" s="4"/>
      <c r="S129" s="4"/>
      <c r="AB129" t="str">
        <v>RES-100127</v>
      </c>
      <c r="AC129">
        <v>45816</v>
      </c>
      <c r="AD129">
        <v>0.74236111111111114</v>
      </c>
      <c r="AE129" t="str">
        <v>Envigado</v>
      </c>
      <c r="AF129" t="str">
        <v>Domicilio</v>
      </c>
      <c r="AG129" t="str">
        <v>Parrilla</v>
      </c>
      <c r="AH129">
        <v>6</v>
      </c>
      <c r="AI129">
        <v>50382.61</v>
      </c>
      <c r="AJ129">
        <v>5228.6099999999997</v>
      </c>
      <c r="AK129">
        <v>28</v>
      </c>
      <c r="AL129">
        <v>25</v>
      </c>
      <c r="AM129" t="str">
        <v>Efectivo</v>
      </c>
      <c r="AN129" t="str">
        <v>Cancelada</v>
      </c>
      <c r="AO129">
        <v>4</v>
      </c>
    </row>
    <row r="130" spans="1:41" x14ac:dyDescent="0.3">
      <c r="A130" t="s">
        <v>160</v>
      </c>
      <c r="B130" s="8">
        <v>45906</v>
      </c>
      <c r="C130" s="2">
        <v>0.78888888888888886</v>
      </c>
      <c r="D130" t="s">
        <v>15</v>
      </c>
      <c r="E130" t="s">
        <v>28</v>
      </c>
      <c r="F130" t="s">
        <v>34</v>
      </c>
      <c r="G130">
        <v>3</v>
      </c>
      <c r="H130" s="6">
        <v>34659.51</v>
      </c>
      <c r="I130" s="6">
        <v>8486.9</v>
      </c>
      <c r="J130">
        <v>14</v>
      </c>
      <c r="K130">
        <v>34</v>
      </c>
      <c r="L130" t="s">
        <v>30</v>
      </c>
      <c r="M130" t="s">
        <v>31</v>
      </c>
      <c r="N130">
        <v>3</v>
      </c>
      <c r="O130" s="4"/>
      <c r="P130" s="4" t="str">
        <f>IF(Data_Set_2[[#This Row],[valor_bruto]]&gt;$W$13,"OUTLIER+","")</f>
        <v/>
      </c>
      <c r="Q130" s="4" t="str">
        <f>IF(Data_Set_2[[#This Row],[valor_bruto]]&lt;$W$14,"OUTLIER-","")</f>
        <v/>
      </c>
      <c r="R130" s="4"/>
      <c r="S130" s="4"/>
      <c r="AB130" t="str">
        <v>RES-100128</v>
      </c>
      <c r="AC130">
        <v>45906</v>
      </c>
      <c r="AD130">
        <v>0.78888888888888886</v>
      </c>
      <c r="AE130" t="str">
        <v>Laureles</v>
      </c>
      <c r="AF130" t="str">
        <v>Recoge</v>
      </c>
      <c r="AG130" t="str">
        <v>Vegano</v>
      </c>
      <c r="AH130">
        <v>3</v>
      </c>
      <c r="AI130">
        <v>34659.51</v>
      </c>
      <c r="AJ130">
        <v>8486.9</v>
      </c>
      <c r="AK130">
        <v>14</v>
      </c>
      <c r="AL130">
        <v>34</v>
      </c>
      <c r="AM130" t="str">
        <v>App</v>
      </c>
      <c r="AN130" t="str">
        <v>Reembolsada</v>
      </c>
      <c r="AO130">
        <v>3</v>
      </c>
    </row>
    <row r="131" spans="1:41" x14ac:dyDescent="0.3">
      <c r="A131" t="s">
        <v>161</v>
      </c>
      <c r="B131" s="8">
        <v>45818</v>
      </c>
      <c r="C131" s="2">
        <v>0.79374999999999996</v>
      </c>
      <c r="D131" t="s">
        <v>21</v>
      </c>
      <c r="E131" t="s">
        <v>16</v>
      </c>
      <c r="F131" t="s">
        <v>36</v>
      </c>
      <c r="G131">
        <v>5</v>
      </c>
      <c r="H131" s="6">
        <v>47345.35</v>
      </c>
      <c r="I131" s="6">
        <v>6756.47</v>
      </c>
      <c r="J131">
        <v>19</v>
      </c>
      <c r="K131">
        <v>24</v>
      </c>
      <c r="L131" t="s">
        <v>18</v>
      </c>
      <c r="M131" t="s">
        <v>19</v>
      </c>
      <c r="N131">
        <v>4</v>
      </c>
      <c r="O131" s="4"/>
      <c r="P131" s="4" t="str">
        <f>IF(Data_Set_2[[#This Row],[valor_bruto]]&gt;$W$13,"OUTLIER+","")</f>
        <v/>
      </c>
      <c r="Q131" s="4" t="str">
        <f>IF(Data_Set_2[[#This Row],[valor_bruto]]&lt;$W$14,"OUTLIER-","")</f>
        <v/>
      </c>
      <c r="R131" s="4"/>
      <c r="S131" s="4"/>
      <c r="AB131" t="str">
        <v>RES-100129</v>
      </c>
      <c r="AC131">
        <v>45818</v>
      </c>
      <c r="AD131">
        <v>0.79374999999999996</v>
      </c>
      <c r="AE131" t="str">
        <v>Poblado</v>
      </c>
      <c r="AF131" t="str">
        <v>Mesa</v>
      </c>
      <c r="AG131" t="str">
        <v>Bebidas</v>
      </c>
      <c r="AH131">
        <v>5</v>
      </c>
      <c r="AI131">
        <v>47345.35</v>
      </c>
      <c r="AJ131">
        <v>6756.47</v>
      </c>
      <c r="AK131">
        <v>19</v>
      </c>
      <c r="AL131">
        <v>24</v>
      </c>
      <c r="AM131" t="str">
        <v>Tarjeta</v>
      </c>
      <c r="AN131" t="str">
        <v>Entregada</v>
      </c>
      <c r="AO131">
        <v>4</v>
      </c>
    </row>
    <row r="132" spans="1:41" x14ac:dyDescent="0.3">
      <c r="A132" t="s">
        <v>162</v>
      </c>
      <c r="B132" s="8">
        <v>45819</v>
      </c>
      <c r="C132" s="2">
        <v>0.84027777777777779</v>
      </c>
      <c r="D132" t="s">
        <v>27</v>
      </c>
      <c r="E132" t="s">
        <v>22</v>
      </c>
      <c r="F132" t="s">
        <v>17</v>
      </c>
      <c r="G132">
        <v>5</v>
      </c>
      <c r="H132" s="6">
        <v>63016.3</v>
      </c>
      <c r="I132" s="6">
        <v>1422.42</v>
      </c>
      <c r="J132">
        <v>25</v>
      </c>
      <c r="K132">
        <v>41</v>
      </c>
      <c r="L132" t="s">
        <v>24</v>
      </c>
      <c r="M132" t="s">
        <v>25</v>
      </c>
      <c r="N132">
        <v>3</v>
      </c>
      <c r="O132" s="4"/>
      <c r="P132" s="4" t="str">
        <f>IF(Data_Set_2[[#This Row],[valor_bruto]]&gt;$W$13,"OUTLIER+","")</f>
        <v/>
      </c>
      <c r="Q132" s="4" t="str">
        <f>IF(Data_Set_2[[#This Row],[valor_bruto]]&lt;$W$14,"OUTLIER-","")</f>
        <v/>
      </c>
      <c r="R132" s="4"/>
      <c r="S132" s="4"/>
      <c r="AB132" t="str">
        <v>RES-100130</v>
      </c>
      <c r="AC132">
        <v>45819</v>
      </c>
      <c r="AD132">
        <v>0.84027777777777779</v>
      </c>
      <c r="AE132" t="str">
        <v>Centro</v>
      </c>
      <c r="AF132" t="str">
        <v>Domicilio</v>
      </c>
      <c r="AG132" t="str">
        <v>Comida rapida</v>
      </c>
      <c r="AH132">
        <v>5</v>
      </c>
      <c r="AI132">
        <v>63016.3</v>
      </c>
      <c r="AJ132">
        <v>1422.42</v>
      </c>
      <c r="AK132">
        <v>25</v>
      </c>
      <c r="AL132">
        <v>41</v>
      </c>
      <c r="AM132" t="str">
        <v>Efectivo</v>
      </c>
      <c r="AN132" t="str">
        <v>Cancelada</v>
      </c>
      <c r="AO132">
        <v>3</v>
      </c>
    </row>
    <row r="133" spans="1:41" x14ac:dyDescent="0.3">
      <c r="A133" t="s">
        <v>163</v>
      </c>
      <c r="B133" s="8">
        <v>45997</v>
      </c>
      <c r="C133" s="2">
        <v>0.88680555555555551</v>
      </c>
      <c r="D133" t="s">
        <v>33</v>
      </c>
      <c r="E133" t="s">
        <v>28</v>
      </c>
      <c r="F133" t="s">
        <v>23</v>
      </c>
      <c r="G133">
        <v>6</v>
      </c>
      <c r="H133" s="6">
        <v>48027.68</v>
      </c>
      <c r="I133" s="6">
        <v>2890.83</v>
      </c>
      <c r="J133">
        <v>26</v>
      </c>
      <c r="K133">
        <v>46</v>
      </c>
      <c r="L133" t="s">
        <v>30</v>
      </c>
      <c r="M133" t="s">
        <v>31</v>
      </c>
      <c r="N133">
        <v>4</v>
      </c>
      <c r="O133" s="4"/>
      <c r="P133" s="4" t="str">
        <f>IF(Data_Set_2[[#This Row],[valor_bruto]]&gt;$W$13,"OUTLIER+","")</f>
        <v/>
      </c>
      <c r="Q133" s="4" t="str">
        <f>IF(Data_Set_2[[#This Row],[valor_bruto]]&lt;$W$14,"OUTLIER-","")</f>
        <v/>
      </c>
      <c r="R133" s="4"/>
      <c r="S133" s="4"/>
      <c r="AB133" t="str">
        <v>RES-100131</v>
      </c>
      <c r="AC133">
        <v>45997</v>
      </c>
      <c r="AD133">
        <v>0.88680555555555551</v>
      </c>
      <c r="AE133" t="str">
        <v>Envigado</v>
      </c>
      <c r="AF133" t="str">
        <v>Recoge</v>
      </c>
      <c r="AG133" t="str">
        <v>Pasta</v>
      </c>
      <c r="AH133">
        <v>6</v>
      </c>
      <c r="AI133">
        <v>48027.68</v>
      </c>
      <c r="AJ133">
        <v>2890.83</v>
      </c>
      <c r="AK133">
        <v>26</v>
      </c>
      <c r="AL133">
        <v>46</v>
      </c>
      <c r="AM133" t="str">
        <v>App</v>
      </c>
      <c r="AN133" t="str">
        <v>Reembolsada</v>
      </c>
      <c r="AO133">
        <v>4</v>
      </c>
    </row>
    <row r="134" spans="1:41" x14ac:dyDescent="0.3">
      <c r="A134" t="s">
        <v>164</v>
      </c>
      <c r="B134" s="8">
        <v>45821</v>
      </c>
      <c r="C134" s="2">
        <v>0.43333333333333335</v>
      </c>
      <c r="D134" t="s">
        <v>15</v>
      </c>
      <c r="E134" t="s">
        <v>16</v>
      </c>
      <c r="F134" t="s">
        <v>29</v>
      </c>
      <c r="G134">
        <v>3</v>
      </c>
      <c r="H134" s="6">
        <v>62841.61</v>
      </c>
      <c r="I134" s="6">
        <v>1201.07</v>
      </c>
      <c r="J134">
        <v>18</v>
      </c>
      <c r="K134">
        <v>25</v>
      </c>
      <c r="L134" t="s">
        <v>18</v>
      </c>
      <c r="M134" t="s">
        <v>19</v>
      </c>
      <c r="N134">
        <v>3</v>
      </c>
      <c r="O134" s="4"/>
      <c r="P134" s="4" t="str">
        <f>IF(Data_Set_2[[#This Row],[valor_bruto]]&gt;$W$13,"OUTLIER+","")</f>
        <v/>
      </c>
      <c r="Q134" s="4" t="str">
        <f>IF(Data_Set_2[[#This Row],[valor_bruto]]&lt;$W$14,"OUTLIER-","")</f>
        <v/>
      </c>
      <c r="R134" s="4"/>
      <c r="S134" s="4"/>
      <c r="AB134" t="str">
        <v>RES-100132</v>
      </c>
      <c r="AC134">
        <v>45821</v>
      </c>
      <c r="AD134">
        <v>0.43333333333333335</v>
      </c>
      <c r="AE134" t="str">
        <v>Laureles</v>
      </c>
      <c r="AF134" t="str">
        <v>Mesa</v>
      </c>
      <c r="AG134" t="str">
        <v>Parrilla</v>
      </c>
      <c r="AH134">
        <v>3</v>
      </c>
      <c r="AI134">
        <v>62841.61</v>
      </c>
      <c r="AJ134">
        <v>1201.07</v>
      </c>
      <c r="AK134">
        <v>18</v>
      </c>
      <c r="AL134">
        <v>25</v>
      </c>
      <c r="AM134" t="str">
        <v>Tarjeta</v>
      </c>
      <c r="AN134" t="str">
        <v>Entregada</v>
      </c>
      <c r="AO134">
        <v>3</v>
      </c>
    </row>
    <row r="135" spans="1:41" x14ac:dyDescent="0.3">
      <c r="A135" t="s">
        <v>165</v>
      </c>
      <c r="B135" s="8">
        <v>45822</v>
      </c>
      <c r="C135" s="2">
        <v>0.47986111111111113</v>
      </c>
      <c r="D135" t="s">
        <v>21</v>
      </c>
      <c r="E135" t="s">
        <v>22</v>
      </c>
      <c r="F135" t="s">
        <v>34</v>
      </c>
      <c r="G135">
        <v>2</v>
      </c>
      <c r="H135" s="6">
        <v>69274.080000000002</v>
      </c>
      <c r="I135" s="6">
        <v>5684.89</v>
      </c>
      <c r="J135">
        <v>18</v>
      </c>
      <c r="K135">
        <v>46</v>
      </c>
      <c r="L135" t="s">
        <v>24</v>
      </c>
      <c r="M135" t="s">
        <v>25</v>
      </c>
      <c r="N135">
        <v>4</v>
      </c>
      <c r="O135" s="4"/>
      <c r="P135" s="4" t="str">
        <f>IF(Data_Set_2[[#This Row],[valor_bruto]]&gt;$W$13,"OUTLIER+","")</f>
        <v/>
      </c>
      <c r="Q135" s="4" t="str">
        <f>IF(Data_Set_2[[#This Row],[valor_bruto]]&lt;$W$14,"OUTLIER-","")</f>
        <v/>
      </c>
      <c r="R135" s="4"/>
      <c r="S135" s="4"/>
      <c r="AB135" t="str">
        <v>RES-100133</v>
      </c>
      <c r="AC135">
        <v>45822</v>
      </c>
      <c r="AD135">
        <v>0.47986111111111113</v>
      </c>
      <c r="AE135" t="str">
        <v>Poblado</v>
      </c>
      <c r="AF135" t="str">
        <v>Domicilio</v>
      </c>
      <c r="AG135" t="str">
        <v>Vegano</v>
      </c>
      <c r="AH135">
        <v>2</v>
      </c>
      <c r="AI135">
        <v>69274.080000000002</v>
      </c>
      <c r="AJ135">
        <v>5684.89</v>
      </c>
      <c r="AK135">
        <v>18</v>
      </c>
      <c r="AL135">
        <v>46</v>
      </c>
      <c r="AM135" t="str">
        <v>Efectivo</v>
      </c>
      <c r="AN135" t="str">
        <v>Cancelada</v>
      </c>
      <c r="AO135">
        <v>4</v>
      </c>
    </row>
    <row r="136" spans="1:41" x14ac:dyDescent="0.3">
      <c r="A136" t="s">
        <v>166</v>
      </c>
      <c r="B136" s="8">
        <v>45823</v>
      </c>
      <c r="C136" s="2">
        <v>0.52638888888888891</v>
      </c>
      <c r="D136" t="s">
        <v>27</v>
      </c>
      <c r="E136" t="s">
        <v>28</v>
      </c>
      <c r="F136" t="s">
        <v>36</v>
      </c>
      <c r="G136">
        <v>6</v>
      </c>
      <c r="H136" s="6">
        <v>63098.38</v>
      </c>
      <c r="I136" s="6">
        <v>2875.68</v>
      </c>
      <c r="J136">
        <v>21</v>
      </c>
      <c r="K136">
        <v>26</v>
      </c>
      <c r="L136" t="s">
        <v>30</v>
      </c>
      <c r="M136" t="s">
        <v>31</v>
      </c>
      <c r="N136">
        <v>5</v>
      </c>
      <c r="O136" s="4"/>
      <c r="P136" s="4" t="str">
        <f>IF(Data_Set_2[[#This Row],[valor_bruto]]&gt;$W$13,"OUTLIER+","")</f>
        <v/>
      </c>
      <c r="Q136" s="4" t="str">
        <f>IF(Data_Set_2[[#This Row],[valor_bruto]]&lt;$W$14,"OUTLIER-","")</f>
        <v/>
      </c>
      <c r="R136" s="4"/>
      <c r="S136" s="4"/>
      <c r="AB136" t="str">
        <v>RES-100134</v>
      </c>
      <c r="AC136">
        <v>45823</v>
      </c>
      <c r="AD136">
        <v>0.52638888888888891</v>
      </c>
      <c r="AE136" t="str">
        <v>Centro</v>
      </c>
      <c r="AF136" t="str">
        <v>Recoge</v>
      </c>
      <c r="AG136" t="str">
        <v>Bebidas</v>
      </c>
      <c r="AH136">
        <v>6</v>
      </c>
      <c r="AI136">
        <v>63098.38</v>
      </c>
      <c r="AJ136">
        <v>2875.68</v>
      </c>
      <c r="AK136">
        <v>21</v>
      </c>
      <c r="AL136">
        <v>26</v>
      </c>
      <c r="AM136" t="str">
        <v>App</v>
      </c>
      <c r="AN136" t="str">
        <v>Reembolsada</v>
      </c>
      <c r="AO136">
        <v>5</v>
      </c>
    </row>
    <row r="137" spans="1:41" x14ac:dyDescent="0.3">
      <c r="A137" t="s">
        <v>167</v>
      </c>
      <c r="B137" s="8">
        <v>45824</v>
      </c>
      <c r="C137" s="2">
        <v>0.57291666666666663</v>
      </c>
      <c r="D137" t="s">
        <v>33</v>
      </c>
      <c r="E137" t="s">
        <v>16</v>
      </c>
      <c r="F137" t="s">
        <v>17</v>
      </c>
      <c r="G137">
        <v>2</v>
      </c>
      <c r="H137" s="6">
        <v>49266.726966101662</v>
      </c>
      <c r="I137" s="6">
        <v>5741.8</v>
      </c>
      <c r="J137">
        <v>18</v>
      </c>
      <c r="K137">
        <v>39</v>
      </c>
      <c r="L137" t="s">
        <v>18</v>
      </c>
      <c r="M137" t="s">
        <v>19</v>
      </c>
      <c r="N137">
        <v>5</v>
      </c>
      <c r="O137" s="4"/>
      <c r="P137" s="4" t="str">
        <f>IF(Data_Set_2[[#This Row],[valor_bruto]]&gt;$W$13,"OUTLIER+","")</f>
        <v/>
      </c>
      <c r="Q137" s="4" t="str">
        <f>IF(Data_Set_2[[#This Row],[valor_bruto]]&lt;$W$14,"OUTLIER-","")</f>
        <v/>
      </c>
      <c r="R137" s="4"/>
      <c r="S137" s="4"/>
      <c r="AB137" t="str">
        <v>RES-100135</v>
      </c>
      <c r="AC137">
        <v>45824</v>
      </c>
      <c r="AD137">
        <v>0.57291666666666663</v>
      </c>
      <c r="AE137" t="str">
        <v>Envigado</v>
      </c>
      <c r="AF137" t="str">
        <v>Mesa</v>
      </c>
      <c r="AG137" t="str">
        <v>Comida rapida</v>
      </c>
      <c r="AH137">
        <v>2</v>
      </c>
      <c r="AI137">
        <v>49266.726966101662</v>
      </c>
      <c r="AJ137">
        <v>5741.8</v>
      </c>
      <c r="AK137">
        <v>18</v>
      </c>
      <c r="AL137">
        <v>39</v>
      </c>
      <c r="AM137" t="str">
        <v>Tarjeta</v>
      </c>
      <c r="AN137" t="str">
        <v>Entregada</v>
      </c>
      <c r="AO137">
        <v>5</v>
      </c>
    </row>
    <row r="138" spans="1:41" x14ac:dyDescent="0.3">
      <c r="A138" t="s">
        <v>168</v>
      </c>
      <c r="B138" s="8">
        <v>45825</v>
      </c>
      <c r="C138" s="2">
        <v>0.61944444444444446</v>
      </c>
      <c r="D138" t="s">
        <v>15</v>
      </c>
      <c r="E138" t="s">
        <v>22</v>
      </c>
      <c r="F138" t="s">
        <v>23</v>
      </c>
      <c r="G138">
        <v>2</v>
      </c>
      <c r="H138" s="6">
        <v>30313.01</v>
      </c>
      <c r="I138" s="6">
        <v>2862.84</v>
      </c>
      <c r="J138">
        <v>23</v>
      </c>
      <c r="K138">
        <v>23</v>
      </c>
      <c r="L138" t="s">
        <v>24</v>
      </c>
      <c r="M138" t="s">
        <v>25</v>
      </c>
      <c r="N138">
        <v>5</v>
      </c>
      <c r="O138" s="4"/>
      <c r="P138" s="4" t="str">
        <f>IF(Data_Set_2[[#This Row],[valor_bruto]]&gt;$W$13,"OUTLIER+","")</f>
        <v/>
      </c>
      <c r="Q138" s="4" t="str">
        <f>IF(Data_Set_2[[#This Row],[valor_bruto]]&lt;$W$14,"OUTLIER-","")</f>
        <v/>
      </c>
      <c r="R138" s="4"/>
      <c r="S138" s="4"/>
      <c r="AB138" t="str">
        <v>RES-100136</v>
      </c>
      <c r="AC138">
        <v>45825</v>
      </c>
      <c r="AD138">
        <v>0.61944444444444446</v>
      </c>
      <c r="AE138" t="str">
        <v>Laureles</v>
      </c>
      <c r="AF138" t="str">
        <v>Domicilio</v>
      </c>
      <c r="AG138" t="str">
        <v>Pasta</v>
      </c>
      <c r="AH138">
        <v>2</v>
      </c>
      <c r="AI138">
        <v>30313.01</v>
      </c>
      <c r="AJ138">
        <v>2862.84</v>
      </c>
      <c r="AK138">
        <v>23</v>
      </c>
      <c r="AL138">
        <v>23</v>
      </c>
      <c r="AM138" t="str">
        <v>Efectivo</v>
      </c>
      <c r="AN138" t="str">
        <v>Cancelada</v>
      </c>
      <c r="AO138">
        <v>5</v>
      </c>
    </row>
    <row r="139" spans="1:41" x14ac:dyDescent="0.3">
      <c r="A139" t="s">
        <v>169</v>
      </c>
      <c r="B139" s="8">
        <v>45826</v>
      </c>
      <c r="C139" s="2">
        <v>0.66597222222222219</v>
      </c>
      <c r="D139" t="s">
        <v>21</v>
      </c>
      <c r="E139" t="s">
        <v>28</v>
      </c>
      <c r="F139" t="s">
        <v>29</v>
      </c>
      <c r="G139">
        <v>4</v>
      </c>
      <c r="H139" s="6">
        <v>68193.47</v>
      </c>
      <c r="I139" s="6">
        <v>1621.88</v>
      </c>
      <c r="J139">
        <v>22</v>
      </c>
      <c r="K139">
        <v>53</v>
      </c>
      <c r="L139" t="s">
        <v>30</v>
      </c>
      <c r="M139" t="s">
        <v>31</v>
      </c>
      <c r="N139">
        <v>3</v>
      </c>
      <c r="O139" s="4"/>
      <c r="P139" s="4" t="str">
        <f>IF(Data_Set_2[[#This Row],[valor_bruto]]&gt;$W$13,"OUTLIER+","")</f>
        <v/>
      </c>
      <c r="Q139" s="4" t="str">
        <f>IF(Data_Set_2[[#This Row],[valor_bruto]]&lt;$W$14,"OUTLIER-","")</f>
        <v/>
      </c>
      <c r="R139" s="4"/>
      <c r="S139" s="4"/>
      <c r="AB139" t="str">
        <v>RES-100137</v>
      </c>
      <c r="AC139">
        <v>45826</v>
      </c>
      <c r="AD139">
        <v>0.66597222222222219</v>
      </c>
      <c r="AE139" t="str">
        <v>Poblado</v>
      </c>
      <c r="AF139" t="str">
        <v>Recoge</v>
      </c>
      <c r="AG139" t="str">
        <v>Parrilla</v>
      </c>
      <c r="AH139">
        <v>4</v>
      </c>
      <c r="AI139">
        <v>68193.47</v>
      </c>
      <c r="AJ139">
        <v>1621.88</v>
      </c>
      <c r="AK139">
        <v>22</v>
      </c>
      <c r="AL139">
        <v>53</v>
      </c>
      <c r="AM139" t="str">
        <v>App</v>
      </c>
      <c r="AN139" t="str">
        <v>Reembolsada</v>
      </c>
      <c r="AO139">
        <v>3</v>
      </c>
    </row>
    <row r="140" spans="1:41" x14ac:dyDescent="0.3">
      <c r="A140" t="s">
        <v>170</v>
      </c>
      <c r="B140" s="8">
        <v>45827</v>
      </c>
      <c r="C140" s="2">
        <v>0.67083333333333328</v>
      </c>
      <c r="D140" t="s">
        <v>27</v>
      </c>
      <c r="E140" t="s">
        <v>16</v>
      </c>
      <c r="F140" t="s">
        <v>34</v>
      </c>
      <c r="G140">
        <v>2</v>
      </c>
      <c r="H140" s="6">
        <v>60602.9</v>
      </c>
      <c r="I140" s="6">
        <v>7636.07</v>
      </c>
      <c r="J140">
        <v>29</v>
      </c>
      <c r="K140">
        <v>40</v>
      </c>
      <c r="L140" t="s">
        <v>18</v>
      </c>
      <c r="M140" t="s">
        <v>19</v>
      </c>
      <c r="N140">
        <v>5</v>
      </c>
      <c r="O140" s="4"/>
      <c r="P140" s="4" t="str">
        <f>IF(Data_Set_2[[#This Row],[valor_bruto]]&gt;$W$13,"OUTLIER+","")</f>
        <v/>
      </c>
      <c r="Q140" s="4" t="str">
        <f>IF(Data_Set_2[[#This Row],[valor_bruto]]&lt;$W$14,"OUTLIER-","")</f>
        <v/>
      </c>
      <c r="R140" s="4"/>
      <c r="S140" s="4"/>
      <c r="AB140" t="str">
        <v>RES-100138</v>
      </c>
      <c r="AC140">
        <v>45827</v>
      </c>
      <c r="AD140">
        <v>0.67083333333333328</v>
      </c>
      <c r="AE140" t="str">
        <v>Centro</v>
      </c>
      <c r="AF140" t="str">
        <v>Mesa</v>
      </c>
      <c r="AG140" t="str">
        <v>Vegano</v>
      </c>
      <c r="AH140">
        <v>2</v>
      </c>
      <c r="AI140">
        <v>60602.9</v>
      </c>
      <c r="AJ140">
        <v>7636.07</v>
      </c>
      <c r="AK140">
        <v>29</v>
      </c>
      <c r="AL140">
        <v>40</v>
      </c>
      <c r="AM140" t="str">
        <v>Tarjeta</v>
      </c>
      <c r="AN140" t="str">
        <v>Entregada</v>
      </c>
      <c r="AO140">
        <v>5</v>
      </c>
    </row>
    <row r="141" spans="1:41" x14ac:dyDescent="0.3">
      <c r="A141" t="s">
        <v>171</v>
      </c>
      <c r="B141" s="8">
        <v>45828</v>
      </c>
      <c r="C141" s="2">
        <v>0.71736111111111112</v>
      </c>
      <c r="D141" t="s">
        <v>33</v>
      </c>
      <c r="E141" t="s">
        <v>22</v>
      </c>
      <c r="F141" t="s">
        <v>36</v>
      </c>
      <c r="G141">
        <v>3</v>
      </c>
      <c r="H141" s="6">
        <v>68952.17</v>
      </c>
      <c r="I141" s="6">
        <v>5854.91</v>
      </c>
      <c r="J141">
        <v>14</v>
      </c>
      <c r="K141">
        <v>34</v>
      </c>
      <c r="L141" t="s">
        <v>24</v>
      </c>
      <c r="M141" t="s">
        <v>25</v>
      </c>
      <c r="N141">
        <v>3</v>
      </c>
      <c r="O141" s="4"/>
      <c r="P141" s="4" t="str">
        <f>IF(Data_Set_2[[#This Row],[valor_bruto]]&gt;$W$13,"OUTLIER+","")</f>
        <v/>
      </c>
      <c r="Q141" s="4" t="str">
        <f>IF(Data_Set_2[[#This Row],[valor_bruto]]&lt;$W$14,"OUTLIER-","")</f>
        <v/>
      </c>
      <c r="R141" s="4"/>
      <c r="S141" s="4"/>
      <c r="AB141" t="str">
        <v>RES-100139</v>
      </c>
      <c r="AC141">
        <v>45828</v>
      </c>
      <c r="AD141">
        <v>0.71736111111111112</v>
      </c>
      <c r="AE141" t="str">
        <v>Envigado</v>
      </c>
      <c r="AF141" t="str">
        <v>Domicilio</v>
      </c>
      <c r="AG141" t="str">
        <v>Bebidas</v>
      </c>
      <c r="AH141">
        <v>3</v>
      </c>
      <c r="AI141">
        <v>68952.17</v>
      </c>
      <c r="AJ141">
        <v>5854.91</v>
      </c>
      <c r="AK141">
        <v>14</v>
      </c>
      <c r="AL141">
        <v>34</v>
      </c>
      <c r="AM141" t="str">
        <v>Efectivo</v>
      </c>
      <c r="AN141" t="str">
        <v>Cancelada</v>
      </c>
      <c r="AO141">
        <v>3</v>
      </c>
    </row>
    <row r="142" spans="1:41" x14ac:dyDescent="0.3">
      <c r="A142" t="s">
        <v>172</v>
      </c>
      <c r="B142" s="8">
        <v>45829</v>
      </c>
      <c r="C142" s="2">
        <v>0.76388888888888884</v>
      </c>
      <c r="D142" t="s">
        <v>15</v>
      </c>
      <c r="E142" t="s">
        <v>28</v>
      </c>
      <c r="F142" t="s">
        <v>17</v>
      </c>
      <c r="G142">
        <v>6</v>
      </c>
      <c r="H142" s="6">
        <v>43362.66</v>
      </c>
      <c r="I142" s="6">
        <v>3735.65</v>
      </c>
      <c r="J142">
        <v>15</v>
      </c>
      <c r="K142">
        <v>27</v>
      </c>
      <c r="L142" t="s">
        <v>30</v>
      </c>
      <c r="M142" t="s">
        <v>31</v>
      </c>
      <c r="N142">
        <v>3</v>
      </c>
      <c r="O142" s="4"/>
      <c r="P142" s="4" t="str">
        <f>IF(Data_Set_2[[#This Row],[valor_bruto]]&gt;$W$13,"OUTLIER+","")</f>
        <v/>
      </c>
      <c r="Q142" s="4" t="str">
        <f>IF(Data_Set_2[[#This Row],[valor_bruto]]&lt;$W$14,"OUTLIER-","")</f>
        <v/>
      </c>
      <c r="R142" s="4"/>
      <c r="S142" s="4"/>
      <c r="AB142" t="str">
        <v>RES-100140</v>
      </c>
      <c r="AC142">
        <v>45829</v>
      </c>
      <c r="AD142">
        <v>0.76388888888888884</v>
      </c>
      <c r="AE142" t="str">
        <v>Laureles</v>
      </c>
      <c r="AF142" t="str">
        <v>Recoge</v>
      </c>
      <c r="AG142" t="str">
        <v>Comida rapida</v>
      </c>
      <c r="AH142">
        <v>6</v>
      </c>
      <c r="AI142">
        <v>43362.66</v>
      </c>
      <c r="AJ142">
        <v>3735.65</v>
      </c>
      <c r="AK142">
        <v>15</v>
      </c>
      <c r="AL142">
        <v>27</v>
      </c>
      <c r="AM142" t="str">
        <v>App</v>
      </c>
      <c r="AN142" t="str">
        <v>Reembolsada</v>
      </c>
      <c r="AO142">
        <v>3</v>
      </c>
    </row>
    <row r="143" spans="1:41" x14ac:dyDescent="0.3">
      <c r="A143" t="s">
        <v>173</v>
      </c>
      <c r="B143" s="8">
        <v>45830</v>
      </c>
      <c r="C143" s="2">
        <v>0.81041666666666667</v>
      </c>
      <c r="D143" t="s">
        <v>21</v>
      </c>
      <c r="E143" t="s">
        <v>16</v>
      </c>
      <c r="F143" t="s">
        <v>23</v>
      </c>
      <c r="G143">
        <v>6</v>
      </c>
      <c r="H143" s="6">
        <v>67604.39</v>
      </c>
      <c r="I143" s="6">
        <v>4967.6742105263156</v>
      </c>
      <c r="J143">
        <v>13</v>
      </c>
      <c r="K143">
        <v>44</v>
      </c>
      <c r="L143" t="s">
        <v>18</v>
      </c>
      <c r="M143" t="s">
        <v>19</v>
      </c>
      <c r="N143">
        <v>4</v>
      </c>
      <c r="O143" s="4"/>
      <c r="P143" s="4" t="str">
        <f>IF(Data_Set_2[[#This Row],[valor_bruto]]&gt;$W$13,"OUTLIER+","")</f>
        <v/>
      </c>
      <c r="Q143" s="4" t="str">
        <f>IF(Data_Set_2[[#This Row],[valor_bruto]]&lt;$W$14,"OUTLIER-","")</f>
        <v/>
      </c>
      <c r="R143" s="4"/>
      <c r="S143" s="4"/>
      <c r="AB143" t="str">
        <v>RES-100141</v>
      </c>
      <c r="AC143">
        <v>45830</v>
      </c>
      <c r="AD143">
        <v>0.81041666666666667</v>
      </c>
      <c r="AE143" t="str">
        <v>Poblado</v>
      </c>
      <c r="AF143" t="str">
        <v>Mesa</v>
      </c>
      <c r="AG143" t="str">
        <v>Pasta</v>
      </c>
      <c r="AH143">
        <v>6</v>
      </c>
      <c r="AI143">
        <v>67604.39</v>
      </c>
      <c r="AJ143">
        <v>4967.6742105263156</v>
      </c>
      <c r="AK143">
        <v>13</v>
      </c>
      <c r="AL143">
        <v>44</v>
      </c>
      <c r="AM143" t="str">
        <v>Tarjeta</v>
      </c>
      <c r="AN143" t="str">
        <v>Entregada</v>
      </c>
      <c r="AO143">
        <v>4</v>
      </c>
    </row>
    <row r="144" spans="1:41" x14ac:dyDescent="0.3">
      <c r="A144" t="s">
        <v>174</v>
      </c>
      <c r="B144" s="8">
        <v>45831</v>
      </c>
      <c r="C144" s="2">
        <v>0.8569444444444444</v>
      </c>
      <c r="D144" t="s">
        <v>27</v>
      </c>
      <c r="E144" t="s">
        <v>22</v>
      </c>
      <c r="F144" t="s">
        <v>29</v>
      </c>
      <c r="G144">
        <v>2</v>
      </c>
      <c r="H144" s="6">
        <v>54303.31</v>
      </c>
      <c r="I144" s="6">
        <v>4745.45</v>
      </c>
      <c r="J144">
        <v>17</v>
      </c>
      <c r="K144">
        <v>25</v>
      </c>
      <c r="L144" t="s">
        <v>24</v>
      </c>
      <c r="M144" t="s">
        <v>25</v>
      </c>
      <c r="N144">
        <v>4</v>
      </c>
      <c r="O144" s="4"/>
      <c r="P144" s="4" t="str">
        <f>IF(Data_Set_2[[#This Row],[valor_bruto]]&gt;$W$13,"OUTLIER+","")</f>
        <v/>
      </c>
      <c r="Q144" s="4" t="str">
        <f>IF(Data_Set_2[[#This Row],[valor_bruto]]&lt;$W$14,"OUTLIER-","")</f>
        <v/>
      </c>
      <c r="R144" s="4"/>
      <c r="S144" s="4"/>
      <c r="AB144" t="str">
        <v>RES-100142</v>
      </c>
      <c r="AC144">
        <v>45831</v>
      </c>
      <c r="AD144">
        <v>0.8569444444444444</v>
      </c>
      <c r="AE144" t="str">
        <v>Centro</v>
      </c>
      <c r="AF144" t="str">
        <v>Domicilio</v>
      </c>
      <c r="AG144" t="str">
        <v>Parrilla</v>
      </c>
      <c r="AH144">
        <v>2</v>
      </c>
      <c r="AI144">
        <v>54303.31</v>
      </c>
      <c r="AJ144">
        <v>4745.45</v>
      </c>
      <c r="AK144">
        <v>17</v>
      </c>
      <c r="AL144">
        <v>25</v>
      </c>
      <c r="AM144" t="str">
        <v>Efectivo</v>
      </c>
      <c r="AN144" t="str">
        <v>Cancelada</v>
      </c>
      <c r="AO144">
        <v>4</v>
      </c>
    </row>
    <row r="145" spans="1:41" x14ac:dyDescent="0.3">
      <c r="A145" t="s">
        <v>175</v>
      </c>
      <c r="B145" s="8">
        <v>45832</v>
      </c>
      <c r="C145" s="2">
        <v>0.90347222222222223</v>
      </c>
      <c r="D145" t="s">
        <v>33</v>
      </c>
      <c r="E145" t="s">
        <v>28</v>
      </c>
      <c r="F145" t="s">
        <v>34</v>
      </c>
      <c r="G145">
        <v>3</v>
      </c>
      <c r="H145" s="6">
        <v>40392.06</v>
      </c>
      <c r="I145" s="6">
        <v>8458.23</v>
      </c>
      <c r="J145">
        <v>27</v>
      </c>
      <c r="K145">
        <v>35</v>
      </c>
      <c r="L145" t="s">
        <v>30</v>
      </c>
      <c r="M145" t="s">
        <v>31</v>
      </c>
      <c r="N145">
        <v>5</v>
      </c>
      <c r="O145" s="4"/>
      <c r="P145" s="4" t="str">
        <f>IF(Data_Set_2[[#This Row],[valor_bruto]]&gt;$W$13,"OUTLIER+","")</f>
        <v/>
      </c>
      <c r="Q145" s="4" t="str">
        <f>IF(Data_Set_2[[#This Row],[valor_bruto]]&lt;$W$14,"OUTLIER-","")</f>
        <v/>
      </c>
      <c r="R145" s="4"/>
      <c r="S145" s="4"/>
      <c r="AB145" t="str">
        <v>RES-100143</v>
      </c>
      <c r="AC145">
        <v>45832</v>
      </c>
      <c r="AD145">
        <v>0.90347222222222223</v>
      </c>
      <c r="AE145" t="str">
        <v>Envigado</v>
      </c>
      <c r="AF145" t="str">
        <v>Recoge</v>
      </c>
      <c r="AG145" t="str">
        <v>Vegano</v>
      </c>
      <c r="AH145">
        <v>3</v>
      </c>
      <c r="AI145">
        <v>40392.06</v>
      </c>
      <c r="AJ145">
        <v>8458.23</v>
      </c>
      <c r="AK145">
        <v>27</v>
      </c>
      <c r="AL145">
        <v>35</v>
      </c>
      <c r="AM145" t="str">
        <v>App</v>
      </c>
      <c r="AN145" t="str">
        <v>Reembolsada</v>
      </c>
      <c r="AO145">
        <v>5</v>
      </c>
    </row>
    <row r="146" spans="1:41" x14ac:dyDescent="0.3">
      <c r="A146" t="s">
        <v>176</v>
      </c>
      <c r="B146" s="8">
        <v>45833</v>
      </c>
      <c r="C146" s="2">
        <v>0.45</v>
      </c>
      <c r="D146" t="s">
        <v>15</v>
      </c>
      <c r="E146" t="s">
        <v>16</v>
      </c>
      <c r="F146" t="s">
        <v>36</v>
      </c>
      <c r="G146">
        <v>4</v>
      </c>
      <c r="H146" s="6">
        <v>39033.4</v>
      </c>
      <c r="I146" s="6">
        <v>1407.66</v>
      </c>
      <c r="J146">
        <v>29</v>
      </c>
      <c r="K146">
        <v>53</v>
      </c>
      <c r="L146" t="s">
        <v>18</v>
      </c>
      <c r="M146" t="s">
        <v>19</v>
      </c>
      <c r="N146">
        <v>5</v>
      </c>
      <c r="O146" s="4"/>
      <c r="P146" s="4" t="str">
        <f>IF(Data_Set_2[[#This Row],[valor_bruto]]&gt;$W$13,"OUTLIER+","")</f>
        <v/>
      </c>
      <c r="Q146" s="4" t="str">
        <f>IF(Data_Set_2[[#This Row],[valor_bruto]]&lt;$W$14,"OUTLIER-","")</f>
        <v/>
      </c>
      <c r="R146" s="4"/>
      <c r="S146" s="4"/>
      <c r="AB146" t="str">
        <v>RES-100144</v>
      </c>
      <c r="AC146">
        <v>45833</v>
      </c>
      <c r="AD146">
        <v>0.45</v>
      </c>
      <c r="AE146" t="str">
        <v>Laureles</v>
      </c>
      <c r="AF146" t="str">
        <v>Mesa</v>
      </c>
      <c r="AG146" t="str">
        <v>Bebidas</v>
      </c>
      <c r="AH146">
        <v>4</v>
      </c>
      <c r="AI146">
        <v>39033.4</v>
      </c>
      <c r="AJ146">
        <v>1407.66</v>
      </c>
      <c r="AK146">
        <v>29</v>
      </c>
      <c r="AL146">
        <v>53</v>
      </c>
      <c r="AM146" t="str">
        <v>Tarjeta</v>
      </c>
      <c r="AN146" t="str">
        <v>Entregada</v>
      </c>
      <c r="AO146">
        <v>5</v>
      </c>
    </row>
    <row r="147" spans="1:41" x14ac:dyDescent="0.3">
      <c r="A147" t="s">
        <v>177</v>
      </c>
      <c r="B147" s="8">
        <v>45834</v>
      </c>
      <c r="C147" s="2">
        <v>0.49652777777777779</v>
      </c>
      <c r="D147" t="s">
        <v>21</v>
      </c>
      <c r="E147" t="s">
        <v>22</v>
      </c>
      <c r="F147" t="s">
        <v>17</v>
      </c>
      <c r="G147">
        <v>5</v>
      </c>
      <c r="H147" s="6">
        <v>67186.27</v>
      </c>
      <c r="I147" s="6">
        <v>4287.74</v>
      </c>
      <c r="J147">
        <v>24</v>
      </c>
      <c r="K147">
        <v>45</v>
      </c>
      <c r="L147" t="s">
        <v>24</v>
      </c>
      <c r="M147" t="s">
        <v>25</v>
      </c>
      <c r="N147">
        <v>5</v>
      </c>
      <c r="O147" s="4"/>
      <c r="P147" s="4" t="str">
        <f>IF(Data_Set_2[[#This Row],[valor_bruto]]&gt;$W$13,"OUTLIER+","")</f>
        <v/>
      </c>
      <c r="Q147" s="4" t="str">
        <f>IF(Data_Set_2[[#This Row],[valor_bruto]]&lt;$W$14,"OUTLIER-","")</f>
        <v/>
      </c>
      <c r="R147" s="4"/>
      <c r="S147" s="4"/>
      <c r="AB147" t="str">
        <v>RES-100145</v>
      </c>
      <c r="AC147">
        <v>45834</v>
      </c>
      <c r="AD147">
        <v>0.49652777777777779</v>
      </c>
      <c r="AE147" t="str">
        <v>Poblado</v>
      </c>
      <c r="AF147" t="str">
        <v>Domicilio</v>
      </c>
      <c r="AG147" t="str">
        <v>Comida rapida</v>
      </c>
      <c r="AH147">
        <v>5</v>
      </c>
      <c r="AI147">
        <v>67186.27</v>
      </c>
      <c r="AJ147">
        <v>4287.74</v>
      </c>
      <c r="AK147">
        <v>24</v>
      </c>
      <c r="AL147">
        <v>45</v>
      </c>
      <c r="AM147" t="str">
        <v>Efectivo</v>
      </c>
      <c r="AN147" t="str">
        <v>Cancelada</v>
      </c>
      <c r="AO147">
        <v>5</v>
      </c>
    </row>
    <row r="148" spans="1:41" x14ac:dyDescent="0.3">
      <c r="A148" t="s">
        <v>178</v>
      </c>
      <c r="B148" s="8">
        <v>45835</v>
      </c>
      <c r="C148" s="2">
        <v>0.50138888888888888</v>
      </c>
      <c r="D148" t="s">
        <v>27</v>
      </c>
      <c r="E148" t="s">
        <v>28</v>
      </c>
      <c r="F148" t="s">
        <v>23</v>
      </c>
      <c r="G148">
        <v>2</v>
      </c>
      <c r="H148" s="6">
        <v>54473.98</v>
      </c>
      <c r="I148" s="6">
        <v>3147.67</v>
      </c>
      <c r="J148">
        <v>18</v>
      </c>
      <c r="K148">
        <v>51</v>
      </c>
      <c r="L148" t="s">
        <v>30</v>
      </c>
      <c r="M148" t="s">
        <v>31</v>
      </c>
      <c r="N148">
        <v>5</v>
      </c>
      <c r="O148" s="4"/>
      <c r="P148" s="4" t="str">
        <f>IF(Data_Set_2[[#This Row],[valor_bruto]]&gt;$W$13,"OUTLIER+","")</f>
        <v/>
      </c>
      <c r="Q148" s="4" t="str">
        <f>IF(Data_Set_2[[#This Row],[valor_bruto]]&lt;$W$14,"OUTLIER-","")</f>
        <v/>
      </c>
      <c r="R148" s="4"/>
      <c r="S148" s="4"/>
      <c r="AB148" t="str">
        <v>RES-100146</v>
      </c>
      <c r="AC148">
        <v>45835</v>
      </c>
      <c r="AD148">
        <v>0.50138888888888888</v>
      </c>
      <c r="AE148" t="str">
        <v>Centro</v>
      </c>
      <c r="AF148" t="str">
        <v>Recoge</v>
      </c>
      <c r="AG148" t="str">
        <v>Pasta</v>
      </c>
      <c r="AH148">
        <v>2</v>
      </c>
      <c r="AI148">
        <v>54473.98</v>
      </c>
      <c r="AJ148">
        <v>3147.67</v>
      </c>
      <c r="AK148">
        <v>18</v>
      </c>
      <c r="AL148">
        <v>51</v>
      </c>
      <c r="AM148" t="str">
        <v>App</v>
      </c>
      <c r="AN148" t="str">
        <v>Reembolsada</v>
      </c>
      <c r="AO148">
        <v>5</v>
      </c>
    </row>
    <row r="149" spans="1:41" x14ac:dyDescent="0.3">
      <c r="A149" t="s">
        <v>179</v>
      </c>
      <c r="B149" s="8">
        <v>45836</v>
      </c>
      <c r="C149" s="2">
        <v>0.54791666666666672</v>
      </c>
      <c r="D149" t="s">
        <v>33</v>
      </c>
      <c r="E149" t="s">
        <v>16</v>
      </c>
      <c r="F149" t="s">
        <v>29</v>
      </c>
      <c r="G149">
        <v>2</v>
      </c>
      <c r="H149" s="6">
        <v>69375.97</v>
      </c>
      <c r="I149" s="6">
        <v>7402.58</v>
      </c>
      <c r="J149">
        <v>24</v>
      </c>
      <c r="K149">
        <v>30</v>
      </c>
      <c r="L149" t="s">
        <v>18</v>
      </c>
      <c r="M149" t="s">
        <v>19</v>
      </c>
      <c r="N149">
        <v>5</v>
      </c>
      <c r="O149" s="4"/>
      <c r="P149" s="4" t="str">
        <f>IF(Data_Set_2[[#This Row],[valor_bruto]]&gt;$W$13,"OUTLIER+","")</f>
        <v/>
      </c>
      <c r="Q149" s="4" t="str">
        <f>IF(Data_Set_2[[#This Row],[valor_bruto]]&lt;$W$14,"OUTLIER-","")</f>
        <v/>
      </c>
      <c r="R149" s="4"/>
      <c r="S149" s="4"/>
      <c r="AB149" t="str">
        <v>RES-100147</v>
      </c>
      <c r="AC149">
        <v>45836</v>
      </c>
      <c r="AD149">
        <v>0.54791666666666672</v>
      </c>
      <c r="AE149" t="str">
        <v>Envigado</v>
      </c>
      <c r="AF149" t="str">
        <v>Mesa</v>
      </c>
      <c r="AG149" t="str">
        <v>Parrilla</v>
      </c>
      <c r="AH149">
        <v>2</v>
      </c>
      <c r="AI149">
        <v>69375.97</v>
      </c>
      <c r="AJ149">
        <v>7402.58</v>
      </c>
      <c r="AK149">
        <v>24</v>
      </c>
      <c r="AL149">
        <v>30</v>
      </c>
      <c r="AM149" t="str">
        <v>Tarjeta</v>
      </c>
      <c r="AN149" t="str">
        <v>Entregada</v>
      </c>
      <c r="AO149">
        <v>5</v>
      </c>
    </row>
    <row r="150" spans="1:41" x14ac:dyDescent="0.3">
      <c r="A150" t="s">
        <v>180</v>
      </c>
      <c r="B150" s="8">
        <v>45837</v>
      </c>
      <c r="C150" s="2">
        <v>0.59444444444444444</v>
      </c>
      <c r="D150" t="s">
        <v>15</v>
      </c>
      <c r="E150" t="s">
        <v>22</v>
      </c>
      <c r="F150" t="s">
        <v>34</v>
      </c>
      <c r="G150">
        <v>5</v>
      </c>
      <c r="H150" s="6">
        <v>46025.37</v>
      </c>
      <c r="I150" s="6">
        <v>5079.6905263157896</v>
      </c>
      <c r="J150">
        <v>30</v>
      </c>
      <c r="K150">
        <v>31</v>
      </c>
      <c r="L150" t="s">
        <v>24</v>
      </c>
      <c r="M150" t="s">
        <v>25</v>
      </c>
      <c r="N150">
        <v>3</v>
      </c>
      <c r="O150" s="4"/>
      <c r="P150" s="4" t="str">
        <f>IF(Data_Set_2[[#This Row],[valor_bruto]]&gt;$W$13,"OUTLIER+","")</f>
        <v/>
      </c>
      <c r="Q150" s="4" t="str">
        <f>IF(Data_Set_2[[#This Row],[valor_bruto]]&lt;$W$14,"OUTLIER-","")</f>
        <v/>
      </c>
      <c r="R150" s="4"/>
      <c r="S150" s="4"/>
      <c r="AB150" t="str">
        <v>RES-100148</v>
      </c>
      <c r="AC150">
        <v>45837</v>
      </c>
      <c r="AD150">
        <v>0.59444444444444444</v>
      </c>
      <c r="AE150" t="str">
        <v>Laureles</v>
      </c>
      <c r="AF150" t="str">
        <v>Domicilio</v>
      </c>
      <c r="AG150" t="str">
        <v>Vegano</v>
      </c>
      <c r="AH150">
        <v>5</v>
      </c>
      <c r="AI150">
        <v>46025.37</v>
      </c>
      <c r="AJ150">
        <v>5079.6905263157896</v>
      </c>
      <c r="AK150">
        <v>30</v>
      </c>
      <c r="AL150">
        <v>31</v>
      </c>
      <c r="AM150" t="str">
        <v>Efectivo</v>
      </c>
      <c r="AN150" t="str">
        <v>Cancelada</v>
      </c>
      <c r="AO150">
        <v>3</v>
      </c>
    </row>
    <row r="151" spans="1:41" x14ac:dyDescent="0.3">
      <c r="A151" t="s">
        <v>181</v>
      </c>
      <c r="B151" s="8">
        <v>45838</v>
      </c>
      <c r="C151" s="2">
        <v>0.64097222222222228</v>
      </c>
      <c r="D151" t="s">
        <v>21</v>
      </c>
      <c r="E151" t="s">
        <v>28</v>
      </c>
      <c r="F151" t="s">
        <v>36</v>
      </c>
      <c r="G151">
        <v>4</v>
      </c>
      <c r="H151" s="6">
        <v>32598.86</v>
      </c>
      <c r="I151" s="6">
        <v>4698.6499999999996</v>
      </c>
      <c r="J151">
        <v>15</v>
      </c>
      <c r="K151">
        <v>41</v>
      </c>
      <c r="L151" t="s">
        <v>30</v>
      </c>
      <c r="M151" t="s">
        <v>31</v>
      </c>
      <c r="N151">
        <v>5</v>
      </c>
      <c r="O151" s="4"/>
      <c r="P151" s="4" t="str">
        <f>IF(Data_Set_2[[#This Row],[valor_bruto]]&gt;$W$13,"OUTLIER+","")</f>
        <v/>
      </c>
      <c r="Q151" s="4" t="str">
        <f>IF(Data_Set_2[[#This Row],[valor_bruto]]&lt;$W$14,"OUTLIER-","")</f>
        <v/>
      </c>
      <c r="R151" s="4"/>
      <c r="S151" s="4"/>
      <c r="AB151" t="str">
        <v>RES-100149</v>
      </c>
      <c r="AC151">
        <v>45838</v>
      </c>
      <c r="AD151">
        <v>0.64097222222222228</v>
      </c>
      <c r="AE151" t="str">
        <v>Poblado</v>
      </c>
      <c r="AF151" t="str">
        <v>Recoge</v>
      </c>
      <c r="AG151" t="str">
        <v>Bebidas</v>
      </c>
      <c r="AH151">
        <v>4</v>
      </c>
      <c r="AI151">
        <v>32598.86</v>
      </c>
      <c r="AJ151">
        <v>4698.6499999999996</v>
      </c>
      <c r="AK151">
        <v>15</v>
      </c>
      <c r="AL151">
        <v>41</v>
      </c>
      <c r="AM151" t="str">
        <v>App</v>
      </c>
      <c r="AN151" t="str">
        <v>Reembolsada</v>
      </c>
      <c r="AO151">
        <v>5</v>
      </c>
    </row>
    <row r="152" spans="1:41" x14ac:dyDescent="0.3">
      <c r="A152" t="s">
        <v>182</v>
      </c>
      <c r="B152" s="8">
        <v>45839</v>
      </c>
      <c r="C152" s="2">
        <v>0.6875</v>
      </c>
      <c r="D152" t="s">
        <v>27</v>
      </c>
      <c r="E152" t="s">
        <v>16</v>
      </c>
      <c r="F152" t="s">
        <v>17</v>
      </c>
      <c r="G152">
        <v>2</v>
      </c>
      <c r="H152" s="6">
        <v>41828.83</v>
      </c>
      <c r="I152" s="6">
        <v>2224.62</v>
      </c>
      <c r="J152">
        <v>24</v>
      </c>
      <c r="K152">
        <v>33</v>
      </c>
      <c r="L152" t="s">
        <v>18</v>
      </c>
      <c r="M152" t="s">
        <v>19</v>
      </c>
      <c r="N152">
        <v>5</v>
      </c>
      <c r="O152" s="4"/>
      <c r="P152" s="4" t="str">
        <f>IF(Data_Set_2[[#This Row],[valor_bruto]]&gt;$W$13,"OUTLIER+","")</f>
        <v/>
      </c>
      <c r="Q152" s="4" t="str">
        <f>IF(Data_Set_2[[#This Row],[valor_bruto]]&lt;$W$14,"OUTLIER-","")</f>
        <v/>
      </c>
      <c r="R152" s="4"/>
      <c r="S152" s="4"/>
      <c r="AB152" t="str">
        <v>RES-100150</v>
      </c>
      <c r="AC152">
        <v>45839</v>
      </c>
      <c r="AD152">
        <v>0.6875</v>
      </c>
      <c r="AE152" t="str">
        <v>Centro</v>
      </c>
      <c r="AF152" t="str">
        <v>Mesa</v>
      </c>
      <c r="AG152" t="str">
        <v>Comida rapida</v>
      </c>
      <c r="AH152">
        <v>2</v>
      </c>
      <c r="AI152">
        <v>41828.83</v>
      </c>
      <c r="AJ152">
        <v>2224.62</v>
      </c>
      <c r="AK152">
        <v>24</v>
      </c>
      <c r="AL152">
        <v>33</v>
      </c>
      <c r="AM152" t="str">
        <v>Tarjeta</v>
      </c>
      <c r="AN152" t="str">
        <v>Entregada</v>
      </c>
      <c r="AO152">
        <v>5</v>
      </c>
    </row>
    <row r="153" spans="1:41" x14ac:dyDescent="0.3">
      <c r="A153" t="s">
        <v>183</v>
      </c>
      <c r="B153" s="8">
        <v>45840</v>
      </c>
      <c r="C153" s="2">
        <v>0.73402777777777772</v>
      </c>
      <c r="D153" t="s">
        <v>33</v>
      </c>
      <c r="E153" t="s">
        <v>22</v>
      </c>
      <c r="F153" t="s">
        <v>23</v>
      </c>
      <c r="G153">
        <v>3</v>
      </c>
      <c r="H153" s="6">
        <v>65077.24</v>
      </c>
      <c r="I153" s="6">
        <v>618.57000000000005</v>
      </c>
      <c r="J153">
        <v>21</v>
      </c>
      <c r="K153">
        <v>34</v>
      </c>
      <c r="L153" t="s">
        <v>24</v>
      </c>
      <c r="M153" t="s">
        <v>25</v>
      </c>
      <c r="N153">
        <v>5</v>
      </c>
      <c r="O153" s="4"/>
      <c r="P153" s="4" t="str">
        <f>IF(Data_Set_2[[#This Row],[valor_bruto]]&gt;$W$13,"OUTLIER+","")</f>
        <v/>
      </c>
      <c r="Q153" s="4" t="str">
        <f>IF(Data_Set_2[[#This Row],[valor_bruto]]&lt;$W$14,"OUTLIER-","")</f>
        <v/>
      </c>
      <c r="R153" s="4"/>
      <c r="S153" s="4"/>
      <c r="AB153" t="str">
        <v>RES-100151</v>
      </c>
      <c r="AC153">
        <v>45840</v>
      </c>
      <c r="AD153">
        <v>0.73402777777777772</v>
      </c>
      <c r="AE153" t="str">
        <v>Envigado</v>
      </c>
      <c r="AF153" t="str">
        <v>Domicilio</v>
      </c>
      <c r="AG153" t="str">
        <v>Pasta</v>
      </c>
      <c r="AH153">
        <v>3</v>
      </c>
      <c r="AI153">
        <v>65077.24</v>
      </c>
      <c r="AJ153">
        <v>618.57000000000005</v>
      </c>
      <c r="AK153">
        <v>21</v>
      </c>
      <c r="AL153">
        <v>34</v>
      </c>
      <c r="AM153" t="str">
        <v>Efectivo</v>
      </c>
      <c r="AN153" t="str">
        <v>Cancelada</v>
      </c>
      <c r="AO153">
        <v>5</v>
      </c>
    </row>
    <row r="154" spans="1:41" x14ac:dyDescent="0.3">
      <c r="A154" t="s">
        <v>184</v>
      </c>
      <c r="B154" s="8">
        <v>45723</v>
      </c>
      <c r="C154" s="2">
        <v>0.78055555555555556</v>
      </c>
      <c r="D154" t="s">
        <v>15</v>
      </c>
      <c r="E154" t="s">
        <v>28</v>
      </c>
      <c r="F154" t="s">
        <v>29</v>
      </c>
      <c r="G154">
        <v>4</v>
      </c>
      <c r="H154" s="6">
        <v>66475.320000000007</v>
      </c>
      <c r="I154" s="6">
        <v>7856.2</v>
      </c>
      <c r="J154">
        <v>31</v>
      </c>
      <c r="K154">
        <v>51</v>
      </c>
      <c r="L154" t="s">
        <v>30</v>
      </c>
      <c r="M154" t="s">
        <v>31</v>
      </c>
      <c r="N154">
        <v>3</v>
      </c>
      <c r="O154" s="4"/>
      <c r="P154" s="4" t="str">
        <f>IF(Data_Set_2[[#This Row],[valor_bruto]]&gt;$W$13,"OUTLIER+","")</f>
        <v/>
      </c>
      <c r="Q154" s="4" t="str">
        <f>IF(Data_Set_2[[#This Row],[valor_bruto]]&lt;$W$14,"OUTLIER-","")</f>
        <v/>
      </c>
      <c r="R154" s="4"/>
      <c r="S154" s="4"/>
      <c r="AB154" t="str">
        <v>RES-100152</v>
      </c>
      <c r="AC154">
        <v>45723</v>
      </c>
      <c r="AD154">
        <v>0.78055555555555556</v>
      </c>
      <c r="AE154" t="str">
        <v>Laureles</v>
      </c>
      <c r="AF154" t="str">
        <v>Recoge</v>
      </c>
      <c r="AG154" t="str">
        <v>Parrilla</v>
      </c>
      <c r="AH154">
        <v>4</v>
      </c>
      <c r="AI154">
        <v>66475.320000000007</v>
      </c>
      <c r="AJ154">
        <v>7856.2</v>
      </c>
      <c r="AK154">
        <v>31</v>
      </c>
      <c r="AL154">
        <v>51</v>
      </c>
      <c r="AM154" t="str">
        <v>App</v>
      </c>
      <c r="AN154" t="str">
        <v>Reembolsada</v>
      </c>
      <c r="AO154">
        <v>3</v>
      </c>
    </row>
    <row r="155" spans="1:41" x14ac:dyDescent="0.3">
      <c r="A155" t="s">
        <v>185</v>
      </c>
      <c r="B155" s="8">
        <v>45842</v>
      </c>
      <c r="C155" s="2">
        <v>0.82708333333333328</v>
      </c>
      <c r="D155" t="s">
        <v>21</v>
      </c>
      <c r="E155" t="s">
        <v>16</v>
      </c>
      <c r="F155" t="s">
        <v>34</v>
      </c>
      <c r="G155">
        <v>5</v>
      </c>
      <c r="H155" s="6">
        <v>29522.86</v>
      </c>
      <c r="I155" s="6">
        <v>6037.28</v>
      </c>
      <c r="J155">
        <v>24</v>
      </c>
      <c r="K155">
        <v>30</v>
      </c>
      <c r="L155" t="s">
        <v>18</v>
      </c>
      <c r="M155" t="s">
        <v>19</v>
      </c>
      <c r="N155">
        <v>3</v>
      </c>
      <c r="O155" s="4"/>
      <c r="P155" s="4" t="str">
        <f>IF(Data_Set_2[[#This Row],[valor_bruto]]&gt;$W$13,"OUTLIER+","")</f>
        <v/>
      </c>
      <c r="Q155" s="4" t="str">
        <f>IF(Data_Set_2[[#This Row],[valor_bruto]]&lt;$W$14,"OUTLIER-","")</f>
        <v/>
      </c>
      <c r="R155" s="4"/>
      <c r="S155" s="4"/>
      <c r="AB155" t="str">
        <v>RES-100153</v>
      </c>
      <c r="AC155">
        <v>45842</v>
      </c>
      <c r="AD155">
        <v>0.82708333333333328</v>
      </c>
      <c r="AE155" t="str">
        <v>Poblado</v>
      </c>
      <c r="AF155" t="str">
        <v>Mesa</v>
      </c>
      <c r="AG155" t="str">
        <v>Vegano</v>
      </c>
      <c r="AH155">
        <v>5</v>
      </c>
      <c r="AI155">
        <v>29522.86</v>
      </c>
      <c r="AJ155">
        <v>6037.28</v>
      </c>
      <c r="AK155">
        <v>24</v>
      </c>
      <c r="AL155">
        <v>30</v>
      </c>
      <c r="AM155" t="str">
        <v>Tarjeta</v>
      </c>
      <c r="AN155" t="str">
        <v>Entregada</v>
      </c>
      <c r="AO155">
        <v>3</v>
      </c>
    </row>
    <row r="156" spans="1:41" x14ac:dyDescent="0.3">
      <c r="A156" t="s">
        <v>186</v>
      </c>
      <c r="B156" s="8">
        <v>45843</v>
      </c>
      <c r="C156" s="2">
        <v>0.87361111111111112</v>
      </c>
      <c r="D156" t="s">
        <v>27</v>
      </c>
      <c r="E156" t="s">
        <v>22</v>
      </c>
      <c r="F156" t="s">
        <v>36</v>
      </c>
      <c r="G156">
        <v>4</v>
      </c>
      <c r="H156" s="6">
        <v>52889.17</v>
      </c>
      <c r="I156" s="6">
        <v>4145.9799999999996</v>
      </c>
      <c r="J156">
        <v>23</v>
      </c>
      <c r="K156">
        <v>25</v>
      </c>
      <c r="L156" t="s">
        <v>24</v>
      </c>
      <c r="M156" t="s">
        <v>25</v>
      </c>
      <c r="N156">
        <v>3</v>
      </c>
      <c r="O156" s="4"/>
      <c r="P156" s="4" t="str">
        <f>IF(Data_Set_2[[#This Row],[valor_bruto]]&gt;$W$13,"OUTLIER+","")</f>
        <v/>
      </c>
      <c r="Q156" s="4" t="str">
        <f>IF(Data_Set_2[[#This Row],[valor_bruto]]&lt;$W$14,"OUTLIER-","")</f>
        <v/>
      </c>
      <c r="R156" s="4"/>
      <c r="S156" s="4"/>
      <c r="AB156" t="str">
        <v>RES-100154</v>
      </c>
      <c r="AC156">
        <v>45843</v>
      </c>
      <c r="AD156">
        <v>0.87361111111111112</v>
      </c>
      <c r="AE156" t="str">
        <v>Centro</v>
      </c>
      <c r="AF156" t="str">
        <v>Domicilio</v>
      </c>
      <c r="AG156" t="str">
        <v>Bebidas</v>
      </c>
      <c r="AH156">
        <v>4</v>
      </c>
      <c r="AI156">
        <v>52889.17</v>
      </c>
      <c r="AJ156">
        <v>4145.9799999999996</v>
      </c>
      <c r="AK156">
        <v>23</v>
      </c>
      <c r="AL156">
        <v>25</v>
      </c>
      <c r="AM156" t="str">
        <v>Efectivo</v>
      </c>
      <c r="AN156" t="str">
        <v>Cancelada</v>
      </c>
      <c r="AO156">
        <v>3</v>
      </c>
    </row>
    <row r="157" spans="1:41" x14ac:dyDescent="0.3">
      <c r="A157" t="s">
        <v>187</v>
      </c>
      <c r="B157" s="8">
        <v>45815</v>
      </c>
      <c r="C157" s="2">
        <v>0.87847222222222221</v>
      </c>
      <c r="D157" t="s">
        <v>33</v>
      </c>
      <c r="E157" t="s">
        <v>28</v>
      </c>
      <c r="F157" t="s">
        <v>17</v>
      </c>
      <c r="G157">
        <v>6</v>
      </c>
      <c r="H157" s="6">
        <v>27980.73</v>
      </c>
      <c r="I157" s="6">
        <v>7336.24</v>
      </c>
      <c r="J157">
        <v>30</v>
      </c>
      <c r="K157">
        <v>47</v>
      </c>
      <c r="L157" t="s">
        <v>30</v>
      </c>
      <c r="M157" t="s">
        <v>31</v>
      </c>
      <c r="N157">
        <v>3</v>
      </c>
      <c r="O157" s="4"/>
      <c r="P157" s="4" t="str">
        <f>IF(Data_Set_2[[#This Row],[valor_bruto]]&gt;$W$13,"OUTLIER+","")</f>
        <v/>
      </c>
      <c r="Q157" s="4" t="str">
        <f>IF(Data_Set_2[[#This Row],[valor_bruto]]&lt;$W$14,"OUTLIER-","")</f>
        <v/>
      </c>
      <c r="R157" s="4"/>
      <c r="S157" s="4"/>
      <c r="AB157" t="str">
        <v>RES-100155</v>
      </c>
      <c r="AC157">
        <v>45815</v>
      </c>
      <c r="AD157">
        <v>0.87847222222222221</v>
      </c>
      <c r="AE157" t="str">
        <v>Envigado</v>
      </c>
      <c r="AF157" t="str">
        <v>Recoge</v>
      </c>
      <c r="AG157" t="str">
        <v>Comida rapida</v>
      </c>
      <c r="AH157">
        <v>6</v>
      </c>
      <c r="AI157">
        <v>27980.73</v>
      </c>
      <c r="AJ157">
        <v>7336.24</v>
      </c>
      <c r="AK157">
        <v>30</v>
      </c>
      <c r="AL157">
        <v>47</v>
      </c>
      <c r="AM157" t="str">
        <v>App</v>
      </c>
      <c r="AN157" t="str">
        <v>Reembolsada</v>
      </c>
      <c r="AO157">
        <v>3</v>
      </c>
    </row>
    <row r="158" spans="1:41" x14ac:dyDescent="0.3">
      <c r="A158" t="s">
        <v>188</v>
      </c>
      <c r="B158" s="8">
        <v>45845</v>
      </c>
      <c r="C158" s="2">
        <v>0.42499999999999999</v>
      </c>
      <c r="D158" t="s">
        <v>15</v>
      </c>
      <c r="E158" t="s">
        <v>16</v>
      </c>
      <c r="F158" t="s">
        <v>23</v>
      </c>
      <c r="G158">
        <v>2</v>
      </c>
      <c r="H158" s="6">
        <v>35290.230000000003</v>
      </c>
      <c r="I158" s="6">
        <v>3863.04</v>
      </c>
      <c r="J158">
        <v>28</v>
      </c>
      <c r="K158">
        <v>47</v>
      </c>
      <c r="L158" t="s">
        <v>18</v>
      </c>
      <c r="M158" t="s">
        <v>19</v>
      </c>
      <c r="N158">
        <v>4</v>
      </c>
      <c r="O158" s="4"/>
      <c r="P158" s="4" t="str">
        <f>IF(Data_Set_2[[#This Row],[valor_bruto]]&gt;$W$13,"OUTLIER+","")</f>
        <v/>
      </c>
      <c r="Q158" s="4" t="str">
        <f>IF(Data_Set_2[[#This Row],[valor_bruto]]&lt;$W$14,"OUTLIER-","")</f>
        <v/>
      </c>
      <c r="R158" s="4"/>
      <c r="S158" s="4"/>
      <c r="AB158" t="str">
        <v>RES-100156</v>
      </c>
      <c r="AC158">
        <v>45845</v>
      </c>
      <c r="AD158">
        <v>0.42499999999999999</v>
      </c>
      <c r="AE158" t="str">
        <v>Laureles</v>
      </c>
      <c r="AF158" t="str">
        <v>Mesa</v>
      </c>
      <c r="AG158" t="str">
        <v>Pasta</v>
      </c>
      <c r="AH158">
        <v>2</v>
      </c>
      <c r="AI158">
        <v>35290.230000000003</v>
      </c>
      <c r="AJ158">
        <v>3863.04</v>
      </c>
      <c r="AK158">
        <v>28</v>
      </c>
      <c r="AL158">
        <v>47</v>
      </c>
      <c r="AM158" t="str">
        <v>Tarjeta</v>
      </c>
      <c r="AN158" t="str">
        <v>Entregada</v>
      </c>
      <c r="AO158">
        <v>4</v>
      </c>
    </row>
    <row r="159" spans="1:41" x14ac:dyDescent="0.3">
      <c r="A159" t="s">
        <v>189</v>
      </c>
      <c r="B159" s="8">
        <v>45846</v>
      </c>
      <c r="C159" s="2">
        <v>0.47152777777777777</v>
      </c>
      <c r="D159" t="s">
        <v>21</v>
      </c>
      <c r="E159" t="s">
        <v>22</v>
      </c>
      <c r="F159" t="s">
        <v>29</v>
      </c>
      <c r="G159">
        <v>6</v>
      </c>
      <c r="H159" s="6">
        <v>47560.29</v>
      </c>
      <c r="I159" s="6">
        <v>2076.4499999999998</v>
      </c>
      <c r="J159">
        <v>18</v>
      </c>
      <c r="K159">
        <v>36</v>
      </c>
      <c r="L159" t="s">
        <v>24</v>
      </c>
      <c r="M159" t="s">
        <v>25</v>
      </c>
      <c r="N159">
        <v>5</v>
      </c>
      <c r="O159" s="4"/>
      <c r="P159" s="4" t="str">
        <f>IF(Data_Set_2[[#This Row],[valor_bruto]]&gt;$W$13,"OUTLIER+","")</f>
        <v/>
      </c>
      <c r="Q159" s="4" t="str">
        <f>IF(Data_Set_2[[#This Row],[valor_bruto]]&lt;$W$14,"OUTLIER-","")</f>
        <v/>
      </c>
      <c r="R159" s="4"/>
      <c r="S159" s="4"/>
      <c r="AB159" t="str">
        <v>RES-100157</v>
      </c>
      <c r="AC159">
        <v>45846</v>
      </c>
      <c r="AD159">
        <v>0.47152777777777777</v>
      </c>
      <c r="AE159" t="str">
        <v>Poblado</v>
      </c>
      <c r="AF159" t="str">
        <v>Domicilio</v>
      </c>
      <c r="AG159" t="str">
        <v>Parrilla</v>
      </c>
      <c r="AH159">
        <v>6</v>
      </c>
      <c r="AI159">
        <v>47560.29</v>
      </c>
      <c r="AJ159">
        <v>2076.4499999999998</v>
      </c>
      <c r="AK159">
        <v>18</v>
      </c>
      <c r="AL159">
        <v>36</v>
      </c>
      <c r="AM159" t="str">
        <v>Efectivo</v>
      </c>
      <c r="AN159" t="str">
        <v>Cancelada</v>
      </c>
      <c r="AO159">
        <v>5</v>
      </c>
    </row>
    <row r="160" spans="1:41" x14ac:dyDescent="0.3">
      <c r="A160" t="s">
        <v>190</v>
      </c>
      <c r="B160" s="8">
        <v>45907</v>
      </c>
      <c r="C160" s="2">
        <v>0.5180555555555556</v>
      </c>
      <c r="D160" t="s">
        <v>27</v>
      </c>
      <c r="E160" t="s">
        <v>28</v>
      </c>
      <c r="F160" t="s">
        <v>34</v>
      </c>
      <c r="G160">
        <v>5</v>
      </c>
      <c r="H160" s="6">
        <v>67287.259999999995</v>
      </c>
      <c r="I160" s="6">
        <v>1658.61</v>
      </c>
      <c r="J160">
        <v>28</v>
      </c>
      <c r="K160">
        <v>44</v>
      </c>
      <c r="L160" t="s">
        <v>30</v>
      </c>
      <c r="M160" t="s">
        <v>31</v>
      </c>
      <c r="N160">
        <v>3</v>
      </c>
      <c r="O160" s="4"/>
      <c r="P160" s="4" t="str">
        <f>IF(Data_Set_2[[#This Row],[valor_bruto]]&gt;$W$13,"OUTLIER+","")</f>
        <v/>
      </c>
      <c r="Q160" s="4" t="str">
        <f>IF(Data_Set_2[[#This Row],[valor_bruto]]&lt;$W$14,"OUTLIER-","")</f>
        <v/>
      </c>
      <c r="R160" s="4"/>
      <c r="S160" s="4"/>
      <c r="AB160" t="str">
        <v>RES-100158</v>
      </c>
      <c r="AC160">
        <v>45907</v>
      </c>
      <c r="AD160">
        <v>0.5180555555555556</v>
      </c>
      <c r="AE160" t="str">
        <v>Centro</v>
      </c>
      <c r="AF160" t="str">
        <v>Recoge</v>
      </c>
      <c r="AG160" t="str">
        <v>Vegano</v>
      </c>
      <c r="AH160">
        <v>5</v>
      </c>
      <c r="AI160">
        <v>67287.259999999995</v>
      </c>
      <c r="AJ160">
        <v>1658.61</v>
      </c>
      <c r="AK160">
        <v>28</v>
      </c>
      <c r="AL160">
        <v>44</v>
      </c>
      <c r="AM160" t="str">
        <v>App</v>
      </c>
      <c r="AN160" t="str">
        <v>Reembolsada</v>
      </c>
      <c r="AO160">
        <v>3</v>
      </c>
    </row>
    <row r="161" spans="1:41" x14ac:dyDescent="0.3">
      <c r="A161" t="s">
        <v>191</v>
      </c>
      <c r="B161" s="8">
        <v>45848</v>
      </c>
      <c r="C161" s="2">
        <v>0.56458333333333333</v>
      </c>
      <c r="D161" t="s">
        <v>33</v>
      </c>
      <c r="E161" t="s">
        <v>16</v>
      </c>
      <c r="F161" t="s">
        <v>36</v>
      </c>
      <c r="G161">
        <v>2</v>
      </c>
      <c r="H161" s="6">
        <v>31613.38</v>
      </c>
      <c r="I161" s="6">
        <v>5824.4</v>
      </c>
      <c r="J161">
        <v>14</v>
      </c>
      <c r="K161">
        <v>26</v>
      </c>
      <c r="L161" t="s">
        <v>18</v>
      </c>
      <c r="M161" t="s">
        <v>19</v>
      </c>
      <c r="N161">
        <v>4</v>
      </c>
      <c r="O161" s="4"/>
      <c r="P161" s="4" t="str">
        <f>IF(Data_Set_2[[#This Row],[valor_bruto]]&gt;$W$13,"OUTLIER+","")</f>
        <v/>
      </c>
      <c r="Q161" s="4" t="str">
        <f>IF(Data_Set_2[[#This Row],[valor_bruto]]&lt;$W$14,"OUTLIER-","")</f>
        <v/>
      </c>
      <c r="R161" s="4"/>
      <c r="S161" s="4"/>
      <c r="AB161" t="str">
        <v>RES-100159</v>
      </c>
      <c r="AC161">
        <v>45848</v>
      </c>
      <c r="AD161">
        <v>0.56458333333333333</v>
      </c>
      <c r="AE161" t="str">
        <v>Envigado</v>
      </c>
      <c r="AF161" t="str">
        <v>Mesa</v>
      </c>
      <c r="AG161" t="str">
        <v>Bebidas</v>
      </c>
      <c r="AH161">
        <v>2</v>
      </c>
      <c r="AI161">
        <v>31613.38</v>
      </c>
      <c r="AJ161">
        <v>5824.4</v>
      </c>
      <c r="AK161">
        <v>14</v>
      </c>
      <c r="AL161">
        <v>26</v>
      </c>
      <c r="AM161" t="str">
        <v>Tarjeta</v>
      </c>
      <c r="AN161" t="str">
        <v>Entregada</v>
      </c>
      <c r="AO161">
        <v>4</v>
      </c>
    </row>
    <row r="162" spans="1:41" x14ac:dyDescent="0.3">
      <c r="A162" t="s">
        <v>192</v>
      </c>
      <c r="B162" s="8">
        <v>45849</v>
      </c>
      <c r="C162" s="2">
        <v>0.61111111111111116</v>
      </c>
      <c r="D162" t="s">
        <v>15</v>
      </c>
      <c r="E162" t="s">
        <v>22</v>
      </c>
      <c r="F162" t="s">
        <v>17</v>
      </c>
      <c r="G162">
        <v>4</v>
      </c>
      <c r="H162" s="6">
        <v>27454.06</v>
      </c>
      <c r="I162" s="6">
        <v>6108.26</v>
      </c>
      <c r="J162">
        <v>13</v>
      </c>
      <c r="K162">
        <v>40</v>
      </c>
      <c r="L162" t="s">
        <v>24</v>
      </c>
      <c r="M162" t="s">
        <v>25</v>
      </c>
      <c r="N162">
        <v>4</v>
      </c>
      <c r="O162" s="4"/>
      <c r="P162" s="4" t="str">
        <f>IF(Data_Set_2[[#This Row],[valor_bruto]]&gt;$W$13,"OUTLIER+","")</f>
        <v/>
      </c>
      <c r="Q162" s="4" t="str">
        <f>IF(Data_Set_2[[#This Row],[valor_bruto]]&lt;$W$14,"OUTLIER-","")</f>
        <v/>
      </c>
      <c r="R162" s="4"/>
      <c r="S162" s="4"/>
      <c r="AB162" t="str">
        <v>RES-100160</v>
      </c>
      <c r="AC162">
        <v>45849</v>
      </c>
      <c r="AD162">
        <v>0.61111111111111116</v>
      </c>
      <c r="AE162" t="str">
        <v>Laureles</v>
      </c>
      <c r="AF162" t="str">
        <v>Domicilio</v>
      </c>
      <c r="AG162" t="str">
        <v>Comida rapida</v>
      </c>
      <c r="AH162">
        <v>4</v>
      </c>
      <c r="AI162">
        <v>27454.06</v>
      </c>
      <c r="AJ162">
        <v>6108.26</v>
      </c>
      <c r="AK162">
        <v>13</v>
      </c>
      <c r="AL162">
        <v>40</v>
      </c>
      <c r="AM162" t="str">
        <v>Efectivo</v>
      </c>
      <c r="AN162" t="str">
        <v>Cancelada</v>
      </c>
      <c r="AO162">
        <v>4</v>
      </c>
    </row>
    <row r="163" spans="1:41" x14ac:dyDescent="0.3">
      <c r="A163" t="s">
        <v>193</v>
      </c>
      <c r="B163" s="8">
        <v>45998</v>
      </c>
      <c r="C163" s="2">
        <v>0.65763888888888888</v>
      </c>
      <c r="D163" t="s">
        <v>21</v>
      </c>
      <c r="E163" t="s">
        <v>28</v>
      </c>
      <c r="F163" t="s">
        <v>23</v>
      </c>
      <c r="G163">
        <v>5</v>
      </c>
      <c r="H163" s="6">
        <v>38358.04</v>
      </c>
      <c r="I163" s="6">
        <v>8324.91</v>
      </c>
      <c r="J163">
        <v>19</v>
      </c>
      <c r="K163">
        <v>46</v>
      </c>
      <c r="L163" t="s">
        <v>30</v>
      </c>
      <c r="M163" t="s">
        <v>31</v>
      </c>
      <c r="N163">
        <v>3</v>
      </c>
      <c r="O163" s="4"/>
      <c r="P163" s="4" t="str">
        <f>IF(Data_Set_2[[#This Row],[valor_bruto]]&gt;$W$13,"OUTLIER+","")</f>
        <v/>
      </c>
      <c r="Q163" s="4" t="str">
        <f>IF(Data_Set_2[[#This Row],[valor_bruto]]&lt;$W$14,"OUTLIER-","")</f>
        <v/>
      </c>
      <c r="R163" s="4"/>
      <c r="S163" s="4"/>
      <c r="AB163" t="str">
        <v>RES-100161</v>
      </c>
      <c r="AC163">
        <v>45998</v>
      </c>
      <c r="AD163">
        <v>0.65763888888888888</v>
      </c>
      <c r="AE163" t="str">
        <v>Poblado</v>
      </c>
      <c r="AF163" t="str">
        <v>Recoge</v>
      </c>
      <c r="AG163" t="str">
        <v>Pasta</v>
      </c>
      <c r="AH163">
        <v>5</v>
      </c>
      <c r="AI163">
        <v>38358.04</v>
      </c>
      <c r="AJ163">
        <v>8324.91</v>
      </c>
      <c r="AK163">
        <v>19</v>
      </c>
      <c r="AL163">
        <v>46</v>
      </c>
      <c r="AM163" t="str">
        <v>App</v>
      </c>
      <c r="AN163" t="str">
        <v>Reembolsada</v>
      </c>
      <c r="AO163">
        <v>3</v>
      </c>
    </row>
    <row r="164" spans="1:41" x14ac:dyDescent="0.3">
      <c r="A164" t="s">
        <v>194</v>
      </c>
      <c r="B164" s="8">
        <v>45851</v>
      </c>
      <c r="C164" s="2">
        <v>0.70416666666666672</v>
      </c>
      <c r="D164" t="s">
        <v>27</v>
      </c>
      <c r="E164" t="s">
        <v>16</v>
      </c>
      <c r="F164" t="s">
        <v>29</v>
      </c>
      <c r="G164">
        <v>6</v>
      </c>
      <c r="H164" s="6">
        <v>63651.95</v>
      </c>
      <c r="I164" s="6">
        <v>6238.7</v>
      </c>
      <c r="J164">
        <v>29</v>
      </c>
      <c r="K164">
        <v>49</v>
      </c>
      <c r="L164" t="s">
        <v>18</v>
      </c>
      <c r="M164" t="s">
        <v>19</v>
      </c>
      <c r="N164">
        <v>5</v>
      </c>
      <c r="O164" s="4"/>
      <c r="P164" s="4" t="str">
        <f>IF(Data_Set_2[[#This Row],[valor_bruto]]&gt;$W$13,"OUTLIER+","")</f>
        <v/>
      </c>
      <c r="Q164" s="4" t="str">
        <f>IF(Data_Set_2[[#This Row],[valor_bruto]]&lt;$W$14,"OUTLIER-","")</f>
        <v/>
      </c>
      <c r="R164" s="4"/>
      <c r="S164" s="4"/>
      <c r="AB164" t="str">
        <v>RES-100162</v>
      </c>
      <c r="AC164">
        <v>45851</v>
      </c>
      <c r="AD164">
        <v>0.70416666666666672</v>
      </c>
      <c r="AE164" t="str">
        <v>Centro</v>
      </c>
      <c r="AF164" t="str">
        <v>Mesa</v>
      </c>
      <c r="AG164" t="str">
        <v>Parrilla</v>
      </c>
      <c r="AH164">
        <v>6</v>
      </c>
      <c r="AI164">
        <v>63651.95</v>
      </c>
      <c r="AJ164">
        <v>6238.7</v>
      </c>
      <c r="AK164">
        <v>29</v>
      </c>
      <c r="AL164">
        <v>49</v>
      </c>
      <c r="AM164" t="str">
        <v>Tarjeta</v>
      </c>
      <c r="AN164" t="str">
        <v>Entregada</v>
      </c>
      <c r="AO164">
        <v>5</v>
      </c>
    </row>
    <row r="165" spans="1:41" x14ac:dyDescent="0.3">
      <c r="A165" t="s">
        <v>195</v>
      </c>
      <c r="B165" s="8">
        <v>45852</v>
      </c>
      <c r="C165" s="2">
        <v>0.70902777777777781</v>
      </c>
      <c r="D165" t="s">
        <v>33</v>
      </c>
      <c r="E165" t="s">
        <v>22</v>
      </c>
      <c r="F165" t="s">
        <v>34</v>
      </c>
      <c r="G165">
        <v>2</v>
      </c>
      <c r="H165" s="6">
        <v>58931.86</v>
      </c>
      <c r="I165" s="6">
        <v>2269.7800000000002</v>
      </c>
      <c r="J165">
        <v>18</v>
      </c>
      <c r="K165">
        <v>51</v>
      </c>
      <c r="L165" t="s">
        <v>24</v>
      </c>
      <c r="M165" t="s">
        <v>25</v>
      </c>
      <c r="N165">
        <v>4</v>
      </c>
      <c r="O165" s="4"/>
      <c r="P165" s="4" t="str">
        <f>IF(Data_Set_2[[#This Row],[valor_bruto]]&gt;$W$13,"OUTLIER+","")</f>
        <v/>
      </c>
      <c r="Q165" s="4" t="str">
        <f>IF(Data_Set_2[[#This Row],[valor_bruto]]&lt;$W$14,"OUTLIER-","")</f>
        <v/>
      </c>
      <c r="R165" s="4"/>
      <c r="S165" s="4"/>
      <c r="AB165" t="str">
        <v>RES-100163</v>
      </c>
      <c r="AC165">
        <v>45852</v>
      </c>
      <c r="AD165">
        <v>0.70902777777777781</v>
      </c>
      <c r="AE165" t="str">
        <v>Envigado</v>
      </c>
      <c r="AF165" t="str">
        <v>Domicilio</v>
      </c>
      <c r="AG165" t="str">
        <v>Vegano</v>
      </c>
      <c r="AH165">
        <v>2</v>
      </c>
      <c r="AI165">
        <v>58931.86</v>
      </c>
      <c r="AJ165">
        <v>2269.7800000000002</v>
      </c>
      <c r="AK165">
        <v>18</v>
      </c>
      <c r="AL165">
        <v>51</v>
      </c>
      <c r="AM165" t="str">
        <v>Efectivo</v>
      </c>
      <c r="AN165" t="str">
        <v>Cancelada</v>
      </c>
      <c r="AO165">
        <v>4</v>
      </c>
    </row>
    <row r="166" spans="1:41" x14ac:dyDescent="0.3">
      <c r="A166" t="s">
        <v>196</v>
      </c>
      <c r="B166" s="8">
        <v>45853</v>
      </c>
      <c r="C166" s="2">
        <v>0.75555555555555554</v>
      </c>
      <c r="D166" t="s">
        <v>15</v>
      </c>
      <c r="E166" t="s">
        <v>28</v>
      </c>
      <c r="F166" t="s">
        <v>36</v>
      </c>
      <c r="G166">
        <v>4</v>
      </c>
      <c r="H166" s="6">
        <v>49012.160000000003</v>
      </c>
      <c r="I166" s="6">
        <v>1505.56</v>
      </c>
      <c r="J166">
        <v>27</v>
      </c>
      <c r="K166">
        <v>27</v>
      </c>
      <c r="L166" t="s">
        <v>30</v>
      </c>
      <c r="M166" t="s">
        <v>31</v>
      </c>
      <c r="N166">
        <v>4</v>
      </c>
      <c r="O166" s="4"/>
      <c r="P166" s="4" t="str">
        <f>IF(Data_Set_2[[#This Row],[valor_bruto]]&gt;$W$13,"OUTLIER+","")</f>
        <v/>
      </c>
      <c r="Q166" s="4" t="str">
        <f>IF(Data_Set_2[[#This Row],[valor_bruto]]&lt;$W$14,"OUTLIER-","")</f>
        <v/>
      </c>
      <c r="R166" s="4"/>
      <c r="S166" s="4"/>
      <c r="AB166" t="str">
        <v>RES-100164</v>
      </c>
      <c r="AC166">
        <v>45853</v>
      </c>
      <c r="AD166">
        <v>0.75555555555555554</v>
      </c>
      <c r="AE166" t="str">
        <v>Laureles</v>
      </c>
      <c r="AF166" t="str">
        <v>Recoge</v>
      </c>
      <c r="AG166" t="str">
        <v>Bebidas</v>
      </c>
      <c r="AH166">
        <v>4</v>
      </c>
      <c r="AI166">
        <v>49012.160000000003</v>
      </c>
      <c r="AJ166">
        <v>1505.56</v>
      </c>
      <c r="AK166">
        <v>27</v>
      </c>
      <c r="AL166">
        <v>27</v>
      </c>
      <c r="AM166" t="str">
        <v>App</v>
      </c>
      <c r="AN166" t="str">
        <v>Reembolsada</v>
      </c>
      <c r="AO166">
        <v>4</v>
      </c>
    </row>
    <row r="167" spans="1:41" x14ac:dyDescent="0.3">
      <c r="A167" t="s">
        <v>197</v>
      </c>
      <c r="B167" s="8">
        <v>45854</v>
      </c>
      <c r="C167" s="2">
        <v>0.80208333333333337</v>
      </c>
      <c r="D167" t="s">
        <v>21</v>
      </c>
      <c r="E167" t="s">
        <v>16</v>
      </c>
      <c r="F167" t="s">
        <v>17</v>
      </c>
      <c r="G167">
        <v>3</v>
      </c>
      <c r="H167" s="6">
        <v>48463.05</v>
      </c>
      <c r="I167" s="6">
        <v>5394.07</v>
      </c>
      <c r="J167">
        <v>13</v>
      </c>
      <c r="K167">
        <v>49</v>
      </c>
      <c r="L167" t="s">
        <v>18</v>
      </c>
      <c r="M167" t="s">
        <v>19</v>
      </c>
      <c r="N167">
        <v>3</v>
      </c>
      <c r="O167" s="4"/>
      <c r="P167" s="4" t="str">
        <f>IF(Data_Set_2[[#This Row],[valor_bruto]]&gt;$W$13,"OUTLIER+","")</f>
        <v/>
      </c>
      <c r="Q167" s="4" t="str">
        <f>IF(Data_Set_2[[#This Row],[valor_bruto]]&lt;$W$14,"OUTLIER-","")</f>
        <v/>
      </c>
      <c r="R167" s="4"/>
      <c r="S167" s="4"/>
      <c r="AB167" t="str">
        <v>RES-100165</v>
      </c>
      <c r="AC167">
        <v>45854</v>
      </c>
      <c r="AD167">
        <v>0.80208333333333337</v>
      </c>
      <c r="AE167" t="str">
        <v>Poblado</v>
      </c>
      <c r="AF167" t="str">
        <v>Mesa</v>
      </c>
      <c r="AG167" t="str">
        <v>Comida rapida</v>
      </c>
      <c r="AH167">
        <v>3</v>
      </c>
      <c r="AI167">
        <v>48463.05</v>
      </c>
      <c r="AJ167">
        <v>5394.07</v>
      </c>
      <c r="AK167">
        <v>13</v>
      </c>
      <c r="AL167">
        <v>49</v>
      </c>
      <c r="AM167" t="str">
        <v>Tarjeta</v>
      </c>
      <c r="AN167" t="str">
        <v>Entregada</v>
      </c>
      <c r="AO167">
        <v>3</v>
      </c>
    </row>
    <row r="168" spans="1:41" x14ac:dyDescent="0.3">
      <c r="A168" t="s">
        <v>198</v>
      </c>
      <c r="B168" s="8">
        <v>45855</v>
      </c>
      <c r="C168" s="2">
        <v>0.84861111111111109</v>
      </c>
      <c r="D168" t="s">
        <v>27</v>
      </c>
      <c r="E168" t="s">
        <v>22</v>
      </c>
      <c r="F168" t="s">
        <v>23</v>
      </c>
      <c r="G168">
        <v>3</v>
      </c>
      <c r="H168" s="6">
        <v>58605.31</v>
      </c>
      <c r="I168" s="6">
        <v>522.20000000000005</v>
      </c>
      <c r="J168">
        <v>21</v>
      </c>
      <c r="K168">
        <v>42</v>
      </c>
      <c r="L168" t="s">
        <v>24</v>
      </c>
      <c r="M168" t="s">
        <v>25</v>
      </c>
      <c r="N168">
        <v>3</v>
      </c>
      <c r="O168" s="4"/>
      <c r="P168" s="4" t="str">
        <f>IF(Data_Set_2[[#This Row],[valor_bruto]]&gt;$W$13,"OUTLIER+","")</f>
        <v/>
      </c>
      <c r="Q168" s="4" t="str">
        <f>IF(Data_Set_2[[#This Row],[valor_bruto]]&lt;$W$14,"OUTLIER-","")</f>
        <v/>
      </c>
      <c r="R168" s="4"/>
      <c r="S168" s="4"/>
      <c r="AB168" t="str">
        <v>RES-100166</v>
      </c>
      <c r="AC168">
        <v>45855</v>
      </c>
      <c r="AD168">
        <v>0.84861111111111109</v>
      </c>
      <c r="AE168" t="str">
        <v>Centro</v>
      </c>
      <c r="AF168" t="str">
        <v>Domicilio</v>
      </c>
      <c r="AG168" t="str">
        <v>Pasta</v>
      </c>
      <c r="AH168">
        <v>3</v>
      </c>
      <c r="AI168">
        <v>58605.31</v>
      </c>
      <c r="AJ168">
        <v>522.20000000000005</v>
      </c>
      <c r="AK168">
        <v>21</v>
      </c>
      <c r="AL168">
        <v>42</v>
      </c>
      <c r="AM168" t="str">
        <v>Efectivo</v>
      </c>
      <c r="AN168" t="str">
        <v>Cancelada</v>
      </c>
      <c r="AO168">
        <v>3</v>
      </c>
    </row>
    <row r="169" spans="1:41" x14ac:dyDescent="0.3">
      <c r="A169" t="s">
        <v>199</v>
      </c>
      <c r="B169" s="8">
        <v>45856</v>
      </c>
      <c r="C169" s="2">
        <v>0.89513888888888893</v>
      </c>
      <c r="D169" t="s">
        <v>33</v>
      </c>
      <c r="E169" t="s">
        <v>28</v>
      </c>
      <c r="F169" t="s">
        <v>29</v>
      </c>
      <c r="G169">
        <v>3</v>
      </c>
      <c r="H169" s="6">
        <v>65221.36</v>
      </c>
      <c r="I169" s="6">
        <v>7944.51</v>
      </c>
      <c r="J169">
        <v>28</v>
      </c>
      <c r="K169">
        <v>40</v>
      </c>
      <c r="L169" t="s">
        <v>30</v>
      </c>
      <c r="M169" t="s">
        <v>31</v>
      </c>
      <c r="N169">
        <v>3</v>
      </c>
      <c r="O169" s="4"/>
      <c r="P169" s="4" t="str">
        <f>IF(Data_Set_2[[#This Row],[valor_bruto]]&gt;$W$13,"OUTLIER+","")</f>
        <v/>
      </c>
      <c r="Q169" s="4" t="str">
        <f>IF(Data_Set_2[[#This Row],[valor_bruto]]&lt;$W$14,"OUTLIER-","")</f>
        <v/>
      </c>
      <c r="R169" s="4"/>
      <c r="S169" s="4"/>
      <c r="AB169" t="str">
        <v>RES-100167</v>
      </c>
      <c r="AC169">
        <v>45856</v>
      </c>
      <c r="AD169">
        <v>0.89513888888888893</v>
      </c>
      <c r="AE169" t="str">
        <v>Envigado</v>
      </c>
      <c r="AF169" t="str">
        <v>Recoge</v>
      </c>
      <c r="AG169" t="str">
        <v>Parrilla</v>
      </c>
      <c r="AH169">
        <v>3</v>
      </c>
      <c r="AI169">
        <v>65221.36</v>
      </c>
      <c r="AJ169">
        <v>7944.51</v>
      </c>
      <c r="AK169">
        <v>28</v>
      </c>
      <c r="AL169">
        <v>40</v>
      </c>
      <c r="AM169" t="str">
        <v>App</v>
      </c>
      <c r="AN169" t="str">
        <v>Reembolsada</v>
      </c>
      <c r="AO169">
        <v>3</v>
      </c>
    </row>
    <row r="170" spans="1:41" x14ac:dyDescent="0.3">
      <c r="A170" t="s">
        <v>200</v>
      </c>
      <c r="B170" s="8">
        <v>45857</v>
      </c>
      <c r="C170" s="2">
        <v>0.44166666666666665</v>
      </c>
      <c r="D170" t="s">
        <v>15</v>
      </c>
      <c r="E170" t="s">
        <v>16</v>
      </c>
      <c r="F170" t="s">
        <v>34</v>
      </c>
      <c r="G170">
        <v>2</v>
      </c>
      <c r="H170" s="6">
        <v>26491.96</v>
      </c>
      <c r="I170" s="6">
        <v>544.64</v>
      </c>
      <c r="J170">
        <v>13</v>
      </c>
      <c r="K170">
        <v>50</v>
      </c>
      <c r="L170" t="s">
        <v>18</v>
      </c>
      <c r="M170" t="s">
        <v>19</v>
      </c>
      <c r="N170">
        <v>4</v>
      </c>
      <c r="O170" s="4"/>
      <c r="P170" s="4" t="str">
        <f>IF(Data_Set_2[[#This Row],[valor_bruto]]&gt;$W$13,"OUTLIER+","")</f>
        <v/>
      </c>
      <c r="Q170" s="4" t="str">
        <f>IF(Data_Set_2[[#This Row],[valor_bruto]]&lt;$W$14,"OUTLIER-","")</f>
        <v/>
      </c>
      <c r="R170" s="4"/>
      <c r="S170" s="4"/>
      <c r="AB170" t="str">
        <v>RES-100168</v>
      </c>
      <c r="AC170">
        <v>45857</v>
      </c>
      <c r="AD170">
        <v>0.44166666666666665</v>
      </c>
      <c r="AE170" t="str">
        <v>Laureles</v>
      </c>
      <c r="AF170" t="str">
        <v>Mesa</v>
      </c>
      <c r="AG170" t="str">
        <v>Vegano</v>
      </c>
      <c r="AH170">
        <v>2</v>
      </c>
      <c r="AI170">
        <v>26491.96</v>
      </c>
      <c r="AJ170">
        <v>544.64</v>
      </c>
      <c r="AK170">
        <v>13</v>
      </c>
      <c r="AL170">
        <v>50</v>
      </c>
      <c r="AM170" t="str">
        <v>Tarjeta</v>
      </c>
      <c r="AN170" t="str">
        <v>Entregada</v>
      </c>
      <c r="AO170">
        <v>4</v>
      </c>
    </row>
    <row r="171" spans="1:41" x14ac:dyDescent="0.3">
      <c r="A171" t="s">
        <v>201</v>
      </c>
      <c r="B171" s="8">
        <v>45858</v>
      </c>
      <c r="C171" s="2">
        <v>0.48819444444444443</v>
      </c>
      <c r="D171" t="s">
        <v>21</v>
      </c>
      <c r="E171" t="s">
        <v>22</v>
      </c>
      <c r="F171" t="s">
        <v>36</v>
      </c>
      <c r="G171">
        <v>5</v>
      </c>
      <c r="H171" s="6">
        <v>61458.23</v>
      </c>
      <c r="I171" s="6">
        <v>2707.95</v>
      </c>
      <c r="J171">
        <v>13</v>
      </c>
      <c r="K171">
        <v>47</v>
      </c>
      <c r="L171" t="s">
        <v>24</v>
      </c>
      <c r="M171" t="s">
        <v>25</v>
      </c>
      <c r="N171">
        <v>5</v>
      </c>
      <c r="O171" s="4"/>
      <c r="P171" s="4" t="str">
        <f>IF(Data_Set_2[[#This Row],[valor_bruto]]&gt;$W$13,"OUTLIER+","")</f>
        <v/>
      </c>
      <c r="Q171" s="4" t="str">
        <f>IF(Data_Set_2[[#This Row],[valor_bruto]]&lt;$W$14,"OUTLIER-","")</f>
        <v/>
      </c>
      <c r="R171" s="4"/>
      <c r="S171" s="4"/>
      <c r="AB171" t="str">
        <v>RES-100169</v>
      </c>
      <c r="AC171">
        <v>45858</v>
      </c>
      <c r="AD171">
        <v>0.48819444444444443</v>
      </c>
      <c r="AE171" t="str">
        <v>Poblado</v>
      </c>
      <c r="AF171" t="str">
        <v>Domicilio</v>
      </c>
      <c r="AG171" t="str">
        <v>Bebidas</v>
      </c>
      <c r="AH171">
        <v>5</v>
      </c>
      <c r="AI171">
        <v>61458.23</v>
      </c>
      <c r="AJ171">
        <v>2707.95</v>
      </c>
      <c r="AK171">
        <v>13</v>
      </c>
      <c r="AL171">
        <v>47</v>
      </c>
      <c r="AM171" t="str">
        <v>Efectivo</v>
      </c>
      <c r="AN171" t="str">
        <v>Cancelada</v>
      </c>
      <c r="AO171">
        <v>5</v>
      </c>
    </row>
    <row r="172" spans="1:41" x14ac:dyDescent="0.3">
      <c r="A172" t="s">
        <v>202</v>
      </c>
      <c r="B172" s="8">
        <v>45859</v>
      </c>
      <c r="C172" s="2">
        <v>0.53472222222222221</v>
      </c>
      <c r="D172" t="s">
        <v>27</v>
      </c>
      <c r="E172" t="s">
        <v>28</v>
      </c>
      <c r="F172" t="s">
        <v>17</v>
      </c>
      <c r="G172">
        <v>4</v>
      </c>
      <c r="H172" s="6">
        <v>52282.79</v>
      </c>
      <c r="I172" s="6">
        <v>3913.9</v>
      </c>
      <c r="J172">
        <v>19</v>
      </c>
      <c r="K172">
        <v>35</v>
      </c>
      <c r="L172" t="s">
        <v>30</v>
      </c>
      <c r="M172" t="s">
        <v>31</v>
      </c>
      <c r="N172">
        <v>4</v>
      </c>
      <c r="O172" s="4"/>
      <c r="P172" s="4" t="str">
        <f>IF(Data_Set_2[[#This Row],[valor_bruto]]&gt;$W$13,"OUTLIER+","")</f>
        <v/>
      </c>
      <c r="Q172" s="4" t="str">
        <f>IF(Data_Set_2[[#This Row],[valor_bruto]]&lt;$W$14,"OUTLIER-","")</f>
        <v/>
      </c>
      <c r="R172" s="4"/>
      <c r="S172" s="4"/>
      <c r="AB172" t="str">
        <v>RES-100170</v>
      </c>
      <c r="AC172">
        <v>45859</v>
      </c>
      <c r="AD172">
        <v>0.53472222222222221</v>
      </c>
      <c r="AE172" t="str">
        <v>Centro</v>
      </c>
      <c r="AF172" t="str">
        <v>Recoge</v>
      </c>
      <c r="AG172" t="str">
        <v>Comida rapida</v>
      </c>
      <c r="AH172">
        <v>4</v>
      </c>
      <c r="AI172">
        <v>52282.79</v>
      </c>
      <c r="AJ172">
        <v>3913.9</v>
      </c>
      <c r="AK172">
        <v>19</v>
      </c>
      <c r="AL172">
        <v>35</v>
      </c>
      <c r="AM172" t="str">
        <v>App</v>
      </c>
      <c r="AN172" t="str">
        <v>Reembolsada</v>
      </c>
      <c r="AO172">
        <v>4</v>
      </c>
    </row>
    <row r="173" spans="1:41" x14ac:dyDescent="0.3">
      <c r="A173" t="s">
        <v>203</v>
      </c>
      <c r="B173" s="8">
        <v>45860</v>
      </c>
      <c r="C173" s="2">
        <v>0.58125000000000004</v>
      </c>
      <c r="D173" t="s">
        <v>33</v>
      </c>
      <c r="E173" t="s">
        <v>16</v>
      </c>
      <c r="F173" t="s">
        <v>23</v>
      </c>
      <c r="G173">
        <v>4</v>
      </c>
      <c r="H173" s="6">
        <v>57607.15</v>
      </c>
      <c r="I173" s="6">
        <v>4896.1000000000004</v>
      </c>
      <c r="J173">
        <v>26</v>
      </c>
      <c r="K173">
        <v>28</v>
      </c>
      <c r="L173" t="s">
        <v>18</v>
      </c>
      <c r="M173" t="s">
        <v>19</v>
      </c>
      <c r="N173">
        <v>5</v>
      </c>
      <c r="O173" s="4"/>
      <c r="P173" s="4" t="str">
        <f>IF(Data_Set_2[[#This Row],[valor_bruto]]&gt;$W$13,"OUTLIER+","")</f>
        <v/>
      </c>
      <c r="Q173" s="4" t="str">
        <f>IF(Data_Set_2[[#This Row],[valor_bruto]]&lt;$W$14,"OUTLIER-","")</f>
        <v/>
      </c>
      <c r="R173" s="4"/>
      <c r="S173" s="4"/>
      <c r="AB173" t="str">
        <v>RES-100171</v>
      </c>
      <c r="AC173">
        <v>45860</v>
      </c>
      <c r="AD173">
        <v>0.58125000000000004</v>
      </c>
      <c r="AE173" t="str">
        <v>Envigado</v>
      </c>
      <c r="AF173" t="str">
        <v>Mesa</v>
      </c>
      <c r="AG173" t="str">
        <v>Pasta</v>
      </c>
      <c r="AH173">
        <v>4</v>
      </c>
      <c r="AI173">
        <v>57607.15</v>
      </c>
      <c r="AJ173">
        <v>4896.1000000000004</v>
      </c>
      <c r="AK173">
        <v>26</v>
      </c>
      <c r="AL173">
        <v>28</v>
      </c>
      <c r="AM173" t="str">
        <v>Tarjeta</v>
      </c>
      <c r="AN173" t="str">
        <v>Entregada</v>
      </c>
      <c r="AO173">
        <v>5</v>
      </c>
    </row>
    <row r="174" spans="1:41" x14ac:dyDescent="0.3">
      <c r="A174" t="s">
        <v>204</v>
      </c>
      <c r="B174" s="8">
        <v>45861</v>
      </c>
      <c r="C174" s="2">
        <v>0.58611111111111114</v>
      </c>
      <c r="D174" t="s">
        <v>15</v>
      </c>
      <c r="E174" t="s">
        <v>22</v>
      </c>
      <c r="F174" t="s">
        <v>29</v>
      </c>
      <c r="G174">
        <v>2</v>
      </c>
      <c r="H174" s="6">
        <v>36428.480000000003</v>
      </c>
      <c r="I174" s="6">
        <v>2225.91</v>
      </c>
      <c r="J174">
        <v>31</v>
      </c>
      <c r="K174">
        <v>43</v>
      </c>
      <c r="L174" t="s">
        <v>24</v>
      </c>
      <c r="M174" t="s">
        <v>25</v>
      </c>
      <c r="N174">
        <v>4</v>
      </c>
      <c r="O174" s="4"/>
      <c r="P174" s="4" t="str">
        <f>IF(Data_Set_2[[#This Row],[valor_bruto]]&gt;$W$13,"OUTLIER+","")</f>
        <v/>
      </c>
      <c r="Q174" s="4" t="str">
        <f>IF(Data_Set_2[[#This Row],[valor_bruto]]&lt;$W$14,"OUTLIER-","")</f>
        <v/>
      </c>
      <c r="R174" s="4"/>
      <c r="S174" s="4"/>
      <c r="AB174" t="str">
        <v>RES-100172</v>
      </c>
      <c r="AC174">
        <v>45861</v>
      </c>
      <c r="AD174">
        <v>0.58611111111111114</v>
      </c>
      <c r="AE174" t="str">
        <v>Laureles</v>
      </c>
      <c r="AF174" t="str">
        <v>Domicilio</v>
      </c>
      <c r="AG174" t="str">
        <v>Parrilla</v>
      </c>
      <c r="AH174">
        <v>2</v>
      </c>
      <c r="AI174">
        <v>36428.480000000003</v>
      </c>
      <c r="AJ174">
        <v>2225.91</v>
      </c>
      <c r="AK174">
        <v>31</v>
      </c>
      <c r="AL174">
        <v>43</v>
      </c>
      <c r="AM174" t="str">
        <v>Efectivo</v>
      </c>
      <c r="AN174" t="str">
        <v>Cancelada</v>
      </c>
      <c r="AO174">
        <v>4</v>
      </c>
    </row>
    <row r="175" spans="1:41" x14ac:dyDescent="0.3">
      <c r="A175" t="s">
        <v>205</v>
      </c>
      <c r="B175" s="8">
        <v>45862</v>
      </c>
      <c r="C175" s="2">
        <v>0.63263888888888886</v>
      </c>
      <c r="D175" t="s">
        <v>21</v>
      </c>
      <c r="E175" t="s">
        <v>28</v>
      </c>
      <c r="F175" t="s">
        <v>34</v>
      </c>
      <c r="G175">
        <v>4</v>
      </c>
      <c r="H175" s="6">
        <v>37766.68</v>
      </c>
      <c r="I175" s="6">
        <v>6954.85</v>
      </c>
      <c r="J175">
        <v>19</v>
      </c>
      <c r="K175">
        <v>34</v>
      </c>
      <c r="L175" t="s">
        <v>30</v>
      </c>
      <c r="M175" t="s">
        <v>31</v>
      </c>
      <c r="N175">
        <v>3</v>
      </c>
      <c r="O175" s="4"/>
      <c r="P175" s="4" t="str">
        <f>IF(Data_Set_2[[#This Row],[valor_bruto]]&gt;$W$13,"OUTLIER+","")</f>
        <v/>
      </c>
      <c r="Q175" s="4" t="str">
        <f>IF(Data_Set_2[[#This Row],[valor_bruto]]&lt;$W$14,"OUTLIER-","")</f>
        <v/>
      </c>
      <c r="R175" s="4"/>
      <c r="S175" s="4"/>
      <c r="AB175" t="str">
        <v>RES-100173</v>
      </c>
      <c r="AC175">
        <v>45862</v>
      </c>
      <c r="AD175">
        <v>0.63263888888888886</v>
      </c>
      <c r="AE175" t="str">
        <v>Poblado</v>
      </c>
      <c r="AF175" t="str">
        <v>Recoge</v>
      </c>
      <c r="AG175" t="str">
        <v>Vegano</v>
      </c>
      <c r="AH175">
        <v>4</v>
      </c>
      <c r="AI175">
        <v>37766.68</v>
      </c>
      <c r="AJ175">
        <v>6954.85</v>
      </c>
      <c r="AK175">
        <v>19</v>
      </c>
      <c r="AL175">
        <v>34</v>
      </c>
      <c r="AM175" t="str">
        <v>App</v>
      </c>
      <c r="AN175" t="str">
        <v>Reembolsada</v>
      </c>
      <c r="AO175">
        <v>3</v>
      </c>
    </row>
    <row r="176" spans="1:41" x14ac:dyDescent="0.3">
      <c r="A176" t="s">
        <v>206</v>
      </c>
      <c r="B176" s="8">
        <v>45863</v>
      </c>
      <c r="C176" s="2">
        <v>0.6791666666666667</v>
      </c>
      <c r="D176" t="s">
        <v>27</v>
      </c>
      <c r="E176" t="s">
        <v>16</v>
      </c>
      <c r="F176" t="s">
        <v>36</v>
      </c>
      <c r="G176">
        <v>6</v>
      </c>
      <c r="H176" s="6">
        <v>53770.78</v>
      </c>
      <c r="I176" s="6">
        <v>4064.97</v>
      </c>
      <c r="J176">
        <v>21</v>
      </c>
      <c r="K176">
        <v>24</v>
      </c>
      <c r="L176" t="s">
        <v>18</v>
      </c>
      <c r="M176" t="s">
        <v>19</v>
      </c>
      <c r="N176">
        <v>4</v>
      </c>
      <c r="O176" s="4"/>
      <c r="P176" s="4" t="str">
        <f>IF(Data_Set_2[[#This Row],[valor_bruto]]&gt;$W$13,"OUTLIER+","")</f>
        <v/>
      </c>
      <c r="Q176" s="4" t="str">
        <f>IF(Data_Set_2[[#This Row],[valor_bruto]]&lt;$W$14,"OUTLIER-","")</f>
        <v/>
      </c>
      <c r="R176" s="4"/>
      <c r="S176" s="4"/>
      <c r="AB176" t="str">
        <v>RES-100174</v>
      </c>
      <c r="AC176">
        <v>45863</v>
      </c>
      <c r="AD176">
        <v>0.6791666666666667</v>
      </c>
      <c r="AE176" t="str">
        <v>Centro</v>
      </c>
      <c r="AF176" t="str">
        <v>Mesa</v>
      </c>
      <c r="AG176" t="str">
        <v>Bebidas</v>
      </c>
      <c r="AH176">
        <v>6</v>
      </c>
      <c r="AI176">
        <v>53770.78</v>
      </c>
      <c r="AJ176">
        <v>4064.97</v>
      </c>
      <c r="AK176">
        <v>21</v>
      </c>
      <c r="AL176">
        <v>24</v>
      </c>
      <c r="AM176" t="str">
        <v>Tarjeta</v>
      </c>
      <c r="AN176" t="str">
        <v>Entregada</v>
      </c>
      <c r="AO176">
        <v>4</v>
      </c>
    </row>
    <row r="177" spans="1:41" x14ac:dyDescent="0.3">
      <c r="A177" t="s">
        <v>207</v>
      </c>
      <c r="B177" s="8">
        <v>45864</v>
      </c>
      <c r="C177" s="2">
        <v>0.72569444444444442</v>
      </c>
      <c r="D177" t="s">
        <v>33</v>
      </c>
      <c r="E177" t="s">
        <v>22</v>
      </c>
      <c r="F177" t="s">
        <v>17</v>
      </c>
      <c r="G177">
        <v>2</v>
      </c>
      <c r="H177" s="6">
        <v>39898.720000000001</v>
      </c>
      <c r="I177" s="6">
        <v>5535.76</v>
      </c>
      <c r="J177">
        <v>31</v>
      </c>
      <c r="K177">
        <v>42</v>
      </c>
      <c r="L177" t="s">
        <v>24</v>
      </c>
      <c r="M177" t="s">
        <v>25</v>
      </c>
      <c r="N177">
        <v>5</v>
      </c>
      <c r="O177" s="4"/>
      <c r="P177" s="4" t="str">
        <f>IF(Data_Set_2[[#This Row],[valor_bruto]]&gt;$W$13,"OUTLIER+","")</f>
        <v/>
      </c>
      <c r="Q177" s="4" t="str">
        <f>IF(Data_Set_2[[#This Row],[valor_bruto]]&lt;$W$14,"OUTLIER-","")</f>
        <v/>
      </c>
      <c r="R177" s="4"/>
      <c r="S177" s="4"/>
      <c r="AB177" t="str">
        <v>RES-100175</v>
      </c>
      <c r="AC177">
        <v>45864</v>
      </c>
      <c r="AD177">
        <v>0.72569444444444442</v>
      </c>
      <c r="AE177" t="str">
        <v>Envigado</v>
      </c>
      <c r="AF177" t="str">
        <v>Domicilio</v>
      </c>
      <c r="AG177" t="str">
        <v>Comida rapida</v>
      </c>
      <c r="AH177">
        <v>2</v>
      </c>
      <c r="AI177">
        <v>39898.720000000001</v>
      </c>
      <c r="AJ177">
        <v>5535.76</v>
      </c>
      <c r="AK177">
        <v>31</v>
      </c>
      <c r="AL177">
        <v>42</v>
      </c>
      <c r="AM177" t="str">
        <v>Efectivo</v>
      </c>
      <c r="AN177" t="str">
        <v>Cancelada</v>
      </c>
      <c r="AO177">
        <v>5</v>
      </c>
    </row>
    <row r="178" spans="1:41" x14ac:dyDescent="0.3">
      <c r="A178" t="s">
        <v>208</v>
      </c>
      <c r="B178" s="8">
        <v>45865</v>
      </c>
      <c r="C178" s="2">
        <v>0.77222222222222225</v>
      </c>
      <c r="D178" t="s">
        <v>15</v>
      </c>
      <c r="E178" t="s">
        <v>28</v>
      </c>
      <c r="F178" t="s">
        <v>23</v>
      </c>
      <c r="G178">
        <v>6</v>
      </c>
      <c r="H178" s="6">
        <v>37469.97</v>
      </c>
      <c r="I178" s="6">
        <v>724.89</v>
      </c>
      <c r="J178">
        <v>22</v>
      </c>
      <c r="K178">
        <v>49</v>
      </c>
      <c r="L178" t="s">
        <v>30</v>
      </c>
      <c r="M178" t="s">
        <v>31</v>
      </c>
      <c r="N178">
        <v>3</v>
      </c>
      <c r="O178" s="4"/>
      <c r="P178" s="4" t="str">
        <f>IF(Data_Set_2[[#This Row],[valor_bruto]]&gt;$W$13,"OUTLIER+","")</f>
        <v/>
      </c>
      <c r="Q178" s="4" t="str">
        <f>IF(Data_Set_2[[#This Row],[valor_bruto]]&lt;$W$14,"OUTLIER-","")</f>
        <v/>
      </c>
      <c r="R178" s="4"/>
      <c r="S178" s="4"/>
      <c r="AB178" t="str">
        <v>RES-100176</v>
      </c>
      <c r="AC178">
        <v>45865</v>
      </c>
      <c r="AD178">
        <v>0.77222222222222225</v>
      </c>
      <c r="AE178" t="str">
        <v>Laureles</v>
      </c>
      <c r="AF178" t="str">
        <v>Recoge</v>
      </c>
      <c r="AG178" t="str">
        <v>Pasta</v>
      </c>
      <c r="AH178">
        <v>6</v>
      </c>
      <c r="AI178">
        <v>37469.97</v>
      </c>
      <c r="AJ178">
        <v>724.89</v>
      </c>
      <c r="AK178">
        <v>22</v>
      </c>
      <c r="AL178">
        <v>49</v>
      </c>
      <c r="AM178" t="str">
        <v>App</v>
      </c>
      <c r="AN178" t="str">
        <v>Reembolsada</v>
      </c>
      <c r="AO178">
        <v>3</v>
      </c>
    </row>
    <row r="179" spans="1:41" x14ac:dyDescent="0.3">
      <c r="A179" t="s">
        <v>209</v>
      </c>
      <c r="B179" s="8">
        <v>45866</v>
      </c>
      <c r="C179" s="2">
        <v>0.81874999999999998</v>
      </c>
      <c r="D179" t="s">
        <v>21</v>
      </c>
      <c r="E179" t="s">
        <v>16</v>
      </c>
      <c r="F179" t="s">
        <v>29</v>
      </c>
      <c r="G179">
        <v>2</v>
      </c>
      <c r="H179" s="6">
        <v>49187.57</v>
      </c>
      <c r="I179" s="6">
        <v>1997.15</v>
      </c>
      <c r="J179">
        <v>26</v>
      </c>
      <c r="K179">
        <v>38</v>
      </c>
      <c r="L179" t="s">
        <v>18</v>
      </c>
      <c r="M179" t="s">
        <v>19</v>
      </c>
      <c r="N179">
        <v>5</v>
      </c>
      <c r="O179" s="4"/>
      <c r="P179" s="4" t="str">
        <f>IF(Data_Set_2[[#This Row],[valor_bruto]]&gt;$W$13,"OUTLIER+","")</f>
        <v/>
      </c>
      <c r="Q179" s="4" t="str">
        <f>IF(Data_Set_2[[#This Row],[valor_bruto]]&lt;$W$14,"OUTLIER-","")</f>
        <v/>
      </c>
      <c r="R179" s="4"/>
      <c r="S179" s="4"/>
      <c r="AB179" t="str">
        <v>RES-100177</v>
      </c>
      <c r="AC179">
        <v>45866</v>
      </c>
      <c r="AD179">
        <v>0.81874999999999998</v>
      </c>
      <c r="AE179" t="str">
        <v>Poblado</v>
      </c>
      <c r="AF179" t="str">
        <v>Mesa</v>
      </c>
      <c r="AG179" t="str">
        <v>Parrilla</v>
      </c>
      <c r="AH179">
        <v>2</v>
      </c>
      <c r="AI179">
        <v>49187.57</v>
      </c>
      <c r="AJ179">
        <v>1997.15</v>
      </c>
      <c r="AK179">
        <v>26</v>
      </c>
      <c r="AL179">
        <v>38</v>
      </c>
      <c r="AM179" t="str">
        <v>Tarjeta</v>
      </c>
      <c r="AN179" t="str">
        <v>Entregada</v>
      </c>
      <c r="AO179">
        <v>5</v>
      </c>
    </row>
    <row r="180" spans="1:41" x14ac:dyDescent="0.3">
      <c r="A180" t="s">
        <v>210</v>
      </c>
      <c r="B180" s="8">
        <v>45867</v>
      </c>
      <c r="C180" s="2">
        <v>0.86527777777777781</v>
      </c>
      <c r="D180" t="s">
        <v>27</v>
      </c>
      <c r="E180" t="s">
        <v>22</v>
      </c>
      <c r="F180" t="s">
        <v>34</v>
      </c>
      <c r="G180">
        <v>5</v>
      </c>
      <c r="H180" s="6">
        <v>69173.31</v>
      </c>
      <c r="I180" s="6">
        <v>4683.87</v>
      </c>
      <c r="J180">
        <v>30</v>
      </c>
      <c r="K180">
        <v>51</v>
      </c>
      <c r="L180" t="s">
        <v>24</v>
      </c>
      <c r="M180" t="s">
        <v>25</v>
      </c>
      <c r="N180">
        <v>5</v>
      </c>
      <c r="O180" s="4"/>
      <c r="P180" s="4" t="str">
        <f>IF(Data_Set_2[[#This Row],[valor_bruto]]&gt;$W$13,"OUTLIER+","")</f>
        <v/>
      </c>
      <c r="Q180" s="4" t="str">
        <f>IF(Data_Set_2[[#This Row],[valor_bruto]]&lt;$W$14,"OUTLIER-","")</f>
        <v/>
      </c>
      <c r="R180" s="4"/>
      <c r="S180" s="4"/>
      <c r="AB180" t="str">
        <v>RES-100178</v>
      </c>
      <c r="AC180">
        <v>45867</v>
      </c>
      <c r="AD180">
        <v>0.86527777777777781</v>
      </c>
      <c r="AE180" t="str">
        <v>Centro</v>
      </c>
      <c r="AF180" t="str">
        <v>Domicilio</v>
      </c>
      <c r="AG180" t="str">
        <v>Vegano</v>
      </c>
      <c r="AH180">
        <v>5</v>
      </c>
      <c r="AI180">
        <v>69173.31</v>
      </c>
      <c r="AJ180">
        <v>4683.87</v>
      </c>
      <c r="AK180">
        <v>30</v>
      </c>
      <c r="AL180">
        <v>51</v>
      </c>
      <c r="AM180" t="str">
        <v>Efectivo</v>
      </c>
      <c r="AN180" t="str">
        <v>Cancelada</v>
      </c>
      <c r="AO180">
        <v>5</v>
      </c>
    </row>
    <row r="181" spans="1:41" x14ac:dyDescent="0.3">
      <c r="A181" t="s">
        <v>211</v>
      </c>
      <c r="B181" s="8">
        <v>45868</v>
      </c>
      <c r="C181" s="2">
        <v>0.91180555555555554</v>
      </c>
      <c r="D181" t="s">
        <v>33</v>
      </c>
      <c r="E181" t="s">
        <v>28</v>
      </c>
      <c r="F181" t="s">
        <v>36</v>
      </c>
      <c r="G181">
        <v>3</v>
      </c>
      <c r="H181" s="6">
        <v>26891.65</v>
      </c>
      <c r="I181" s="6">
        <v>6185.53</v>
      </c>
      <c r="J181">
        <v>18</v>
      </c>
      <c r="K181">
        <v>27</v>
      </c>
      <c r="L181" t="s">
        <v>30</v>
      </c>
      <c r="M181" t="s">
        <v>31</v>
      </c>
      <c r="N181">
        <v>5</v>
      </c>
      <c r="O181" s="4"/>
      <c r="P181" s="4" t="str">
        <f>IF(Data_Set_2[[#This Row],[valor_bruto]]&gt;$W$13,"OUTLIER+","")</f>
        <v/>
      </c>
      <c r="Q181" s="4" t="str">
        <f>IF(Data_Set_2[[#This Row],[valor_bruto]]&lt;$W$14,"OUTLIER-","")</f>
        <v/>
      </c>
      <c r="R181" s="4"/>
      <c r="S181" s="4"/>
      <c r="AB181" t="str">
        <v>RES-100179</v>
      </c>
      <c r="AC181">
        <v>45868</v>
      </c>
      <c r="AD181">
        <v>0.91180555555555554</v>
      </c>
      <c r="AE181" t="str">
        <v>Envigado</v>
      </c>
      <c r="AF181" t="str">
        <v>Recoge</v>
      </c>
      <c r="AG181" t="str">
        <v>Bebidas</v>
      </c>
      <c r="AH181">
        <v>3</v>
      </c>
      <c r="AI181">
        <v>26891.65</v>
      </c>
      <c r="AJ181">
        <v>6185.53</v>
      </c>
      <c r="AK181">
        <v>18</v>
      </c>
      <c r="AL181">
        <v>27</v>
      </c>
      <c r="AM181" t="str">
        <v>App</v>
      </c>
      <c r="AN181" t="str">
        <v>Reembolsada</v>
      </c>
      <c r="AO181">
        <v>5</v>
      </c>
    </row>
    <row r="182" spans="1:41" x14ac:dyDescent="0.3">
      <c r="A182" t="s">
        <v>212</v>
      </c>
      <c r="B182" s="8">
        <v>45869</v>
      </c>
      <c r="C182" s="2">
        <v>0.41666666666666669</v>
      </c>
      <c r="D182" t="s">
        <v>15</v>
      </c>
      <c r="E182" t="s">
        <v>16</v>
      </c>
      <c r="F182" t="s">
        <v>17</v>
      </c>
      <c r="G182">
        <v>6</v>
      </c>
      <c r="H182" s="6">
        <v>39265.21</v>
      </c>
      <c r="I182" s="6">
        <v>6621.87</v>
      </c>
      <c r="J182">
        <v>30</v>
      </c>
      <c r="K182">
        <v>32</v>
      </c>
      <c r="L182" t="s">
        <v>18</v>
      </c>
      <c r="M182" t="s">
        <v>19</v>
      </c>
      <c r="N182">
        <v>4</v>
      </c>
      <c r="O182" s="4"/>
      <c r="P182" s="4" t="str">
        <f>IF(Data_Set_2[[#This Row],[valor_bruto]]&gt;$W$13,"OUTLIER+","")</f>
        <v/>
      </c>
      <c r="Q182" s="4" t="str">
        <f>IF(Data_Set_2[[#This Row],[valor_bruto]]&lt;$W$14,"OUTLIER-","")</f>
        <v/>
      </c>
      <c r="R182" s="4"/>
      <c r="S182" s="4"/>
      <c r="AB182" t="str">
        <v>RES-100180</v>
      </c>
      <c r="AC182">
        <v>45869</v>
      </c>
      <c r="AD182">
        <v>0.41666666666666669</v>
      </c>
      <c r="AE182" t="str">
        <v>Laureles</v>
      </c>
      <c r="AF182" t="str">
        <v>Mesa</v>
      </c>
      <c r="AG182" t="str">
        <v>Comida rapida</v>
      </c>
      <c r="AH182">
        <v>6</v>
      </c>
      <c r="AI182">
        <v>39265.21</v>
      </c>
      <c r="AJ182">
        <v>6621.87</v>
      </c>
      <c r="AK182">
        <v>30</v>
      </c>
      <c r="AL182">
        <v>32</v>
      </c>
      <c r="AM182" t="str">
        <v>Tarjeta</v>
      </c>
      <c r="AN182" t="str">
        <v>Entregada</v>
      </c>
      <c r="AO182">
        <v>4</v>
      </c>
    </row>
    <row r="183" spans="1:41" x14ac:dyDescent="0.3">
      <c r="A183" t="s">
        <v>213</v>
      </c>
      <c r="B183" s="8">
        <v>45870</v>
      </c>
      <c r="C183" s="2">
        <v>0.46319444444444446</v>
      </c>
      <c r="D183" t="s">
        <v>21</v>
      </c>
      <c r="E183" t="s">
        <v>22</v>
      </c>
      <c r="F183" t="s">
        <v>23</v>
      </c>
      <c r="G183">
        <v>3</v>
      </c>
      <c r="H183" s="6">
        <v>60012.7</v>
      </c>
      <c r="I183" s="6">
        <v>2340.6799999999998</v>
      </c>
      <c r="J183">
        <v>17</v>
      </c>
      <c r="K183">
        <v>48</v>
      </c>
      <c r="L183" t="s">
        <v>24</v>
      </c>
      <c r="M183" t="s">
        <v>25</v>
      </c>
      <c r="N183">
        <v>3</v>
      </c>
      <c r="O183" s="4"/>
      <c r="P183" s="4" t="str">
        <f>IF(Data_Set_2[[#This Row],[valor_bruto]]&gt;$W$13,"OUTLIER+","")</f>
        <v/>
      </c>
      <c r="Q183" s="4" t="str">
        <f>IF(Data_Set_2[[#This Row],[valor_bruto]]&lt;$W$14,"OUTLIER-","")</f>
        <v/>
      </c>
      <c r="R183" s="4"/>
      <c r="S183" s="4"/>
      <c r="AB183" t="str">
        <v>RES-100181</v>
      </c>
      <c r="AC183">
        <v>45870</v>
      </c>
      <c r="AD183">
        <v>0.46319444444444446</v>
      </c>
      <c r="AE183" t="str">
        <v>Poblado</v>
      </c>
      <c r="AF183" t="str">
        <v>Domicilio</v>
      </c>
      <c r="AG183" t="str">
        <v>Pasta</v>
      </c>
      <c r="AH183">
        <v>3</v>
      </c>
      <c r="AI183">
        <v>60012.7</v>
      </c>
      <c r="AJ183">
        <v>2340.6799999999998</v>
      </c>
      <c r="AK183">
        <v>17</v>
      </c>
      <c r="AL183">
        <v>48</v>
      </c>
      <c r="AM183" t="str">
        <v>Efectivo</v>
      </c>
      <c r="AN183" t="str">
        <v>Cancelada</v>
      </c>
      <c r="AO183">
        <v>3</v>
      </c>
    </row>
    <row r="184" spans="1:41" x14ac:dyDescent="0.3">
      <c r="A184" t="s">
        <v>214</v>
      </c>
      <c r="B184" s="8">
        <v>45696</v>
      </c>
      <c r="C184" s="2">
        <v>0.50972222222222219</v>
      </c>
      <c r="D184" t="s">
        <v>27</v>
      </c>
      <c r="E184" t="s">
        <v>28</v>
      </c>
      <c r="F184" t="s">
        <v>29</v>
      </c>
      <c r="G184">
        <v>5</v>
      </c>
      <c r="H184" s="6">
        <v>26909.42</v>
      </c>
      <c r="I184" s="6">
        <v>697.36</v>
      </c>
      <c r="J184">
        <v>18</v>
      </c>
      <c r="K184">
        <v>53</v>
      </c>
      <c r="L184" t="s">
        <v>30</v>
      </c>
      <c r="M184" t="s">
        <v>31</v>
      </c>
      <c r="N184">
        <v>3</v>
      </c>
      <c r="O184" s="4"/>
      <c r="P184" s="4" t="str">
        <f>IF(Data_Set_2[[#This Row],[valor_bruto]]&gt;$W$13,"OUTLIER+","")</f>
        <v/>
      </c>
      <c r="Q184" s="4" t="str">
        <f>IF(Data_Set_2[[#This Row],[valor_bruto]]&lt;$W$14,"OUTLIER-","")</f>
        <v/>
      </c>
      <c r="R184" s="4"/>
      <c r="S184" s="4"/>
      <c r="AB184" t="str">
        <v>RES-100182</v>
      </c>
      <c r="AC184">
        <v>45696</v>
      </c>
      <c r="AD184">
        <v>0.50972222222222219</v>
      </c>
      <c r="AE184" t="str">
        <v>Centro</v>
      </c>
      <c r="AF184" t="str">
        <v>Recoge</v>
      </c>
      <c r="AG184" t="str">
        <v>Parrilla</v>
      </c>
      <c r="AH184">
        <v>5</v>
      </c>
      <c r="AI184">
        <v>26909.42</v>
      </c>
      <c r="AJ184">
        <v>697.36</v>
      </c>
      <c r="AK184">
        <v>18</v>
      </c>
      <c r="AL184">
        <v>53</v>
      </c>
      <c r="AM184" t="str">
        <v>App</v>
      </c>
      <c r="AN184" t="str">
        <v>Reembolsada</v>
      </c>
      <c r="AO184">
        <v>3</v>
      </c>
    </row>
    <row r="185" spans="1:41" x14ac:dyDescent="0.3">
      <c r="A185" t="s">
        <v>215</v>
      </c>
      <c r="B185" s="8">
        <v>45872</v>
      </c>
      <c r="C185" s="2">
        <v>0.55625000000000002</v>
      </c>
      <c r="D185" t="s">
        <v>33</v>
      </c>
      <c r="E185" t="s">
        <v>16</v>
      </c>
      <c r="F185" t="s">
        <v>34</v>
      </c>
      <c r="G185">
        <v>3</v>
      </c>
      <c r="H185" s="6">
        <v>53520.89</v>
      </c>
      <c r="I185" s="6">
        <v>5173.6000000000004</v>
      </c>
      <c r="J185">
        <v>23</v>
      </c>
      <c r="K185">
        <v>39</v>
      </c>
      <c r="L185" t="s">
        <v>18</v>
      </c>
      <c r="M185" t="s">
        <v>19</v>
      </c>
      <c r="N185">
        <v>4</v>
      </c>
      <c r="O185" s="4"/>
      <c r="P185" s="4" t="str">
        <f>IF(Data_Set_2[[#This Row],[valor_bruto]]&gt;$W$13,"OUTLIER+","")</f>
        <v/>
      </c>
      <c r="Q185" s="4" t="str">
        <f>IF(Data_Set_2[[#This Row],[valor_bruto]]&lt;$W$14,"OUTLIER-","")</f>
        <v/>
      </c>
      <c r="R185" s="4"/>
      <c r="S185" s="4"/>
      <c r="AB185" t="str">
        <v>RES-100183</v>
      </c>
      <c r="AC185">
        <v>45872</v>
      </c>
      <c r="AD185">
        <v>0.55625000000000002</v>
      </c>
      <c r="AE185" t="str">
        <v>Envigado</v>
      </c>
      <c r="AF185" t="str">
        <v>Mesa</v>
      </c>
      <c r="AG185" t="str">
        <v>Vegano</v>
      </c>
      <c r="AH185">
        <v>3</v>
      </c>
      <c r="AI185">
        <v>53520.89</v>
      </c>
      <c r="AJ185">
        <v>5173.6000000000004</v>
      </c>
      <c r="AK185">
        <v>23</v>
      </c>
      <c r="AL185">
        <v>39</v>
      </c>
      <c r="AM185" t="str">
        <v>Tarjeta</v>
      </c>
      <c r="AN185" t="str">
        <v>Entregada</v>
      </c>
      <c r="AO185">
        <v>4</v>
      </c>
    </row>
    <row r="186" spans="1:41" x14ac:dyDescent="0.3">
      <c r="A186" t="s">
        <v>216</v>
      </c>
      <c r="B186" s="8">
        <v>45873</v>
      </c>
      <c r="C186" s="2">
        <v>0.60277777777777775</v>
      </c>
      <c r="D186" t="s">
        <v>15</v>
      </c>
      <c r="E186" t="s">
        <v>22</v>
      </c>
      <c r="F186" t="s">
        <v>36</v>
      </c>
      <c r="G186">
        <v>4</v>
      </c>
      <c r="H186" s="6">
        <v>31105.38</v>
      </c>
      <c r="I186" s="6">
        <v>5946.62</v>
      </c>
      <c r="J186">
        <v>25</v>
      </c>
      <c r="K186">
        <v>30</v>
      </c>
      <c r="L186" t="s">
        <v>24</v>
      </c>
      <c r="M186" t="s">
        <v>25</v>
      </c>
      <c r="N186">
        <v>3</v>
      </c>
      <c r="O186" s="4"/>
      <c r="P186" s="4" t="str">
        <f>IF(Data_Set_2[[#This Row],[valor_bruto]]&gt;$W$13,"OUTLIER+","")</f>
        <v/>
      </c>
      <c r="Q186" s="4" t="str">
        <f>IF(Data_Set_2[[#This Row],[valor_bruto]]&lt;$W$14,"OUTLIER-","")</f>
        <v/>
      </c>
      <c r="R186" s="4"/>
      <c r="S186" s="4"/>
      <c r="AB186" t="str">
        <v>RES-100184</v>
      </c>
      <c r="AC186">
        <v>45873</v>
      </c>
      <c r="AD186">
        <v>0.60277777777777775</v>
      </c>
      <c r="AE186" t="str">
        <v>Laureles</v>
      </c>
      <c r="AF186" t="str">
        <v>Domicilio</v>
      </c>
      <c r="AG186" t="str">
        <v>Bebidas</v>
      </c>
      <c r="AH186">
        <v>4</v>
      </c>
      <c r="AI186">
        <v>31105.38</v>
      </c>
      <c r="AJ186">
        <v>5946.62</v>
      </c>
      <c r="AK186">
        <v>25</v>
      </c>
      <c r="AL186">
        <v>30</v>
      </c>
      <c r="AM186" t="str">
        <v>Efectivo</v>
      </c>
      <c r="AN186" t="str">
        <v>Cancelada</v>
      </c>
      <c r="AO186">
        <v>3</v>
      </c>
    </row>
    <row r="187" spans="1:41" x14ac:dyDescent="0.3">
      <c r="A187" t="s">
        <v>217</v>
      </c>
      <c r="B187" s="8">
        <v>45785</v>
      </c>
      <c r="C187" s="2">
        <v>0.64930555555555558</v>
      </c>
      <c r="D187" t="s">
        <v>21</v>
      </c>
      <c r="E187" t="s">
        <v>28</v>
      </c>
      <c r="F187" t="s">
        <v>17</v>
      </c>
      <c r="G187">
        <v>2</v>
      </c>
      <c r="H187" s="6">
        <v>47653.88</v>
      </c>
      <c r="I187" s="6">
        <v>4251.9005882352949</v>
      </c>
      <c r="J187">
        <v>19</v>
      </c>
      <c r="K187">
        <v>52</v>
      </c>
      <c r="L187" t="s">
        <v>30</v>
      </c>
      <c r="M187" t="s">
        <v>31</v>
      </c>
      <c r="N187">
        <v>4</v>
      </c>
      <c r="O187" s="4"/>
      <c r="P187" s="4" t="str">
        <f>IF(Data_Set_2[[#This Row],[valor_bruto]]&gt;$W$13,"OUTLIER+","")</f>
        <v/>
      </c>
      <c r="Q187" s="4" t="str">
        <f>IF(Data_Set_2[[#This Row],[valor_bruto]]&lt;$W$14,"OUTLIER-","")</f>
        <v/>
      </c>
      <c r="R187" s="4"/>
      <c r="S187" s="4"/>
      <c r="AB187" t="str">
        <v>RES-100185</v>
      </c>
      <c r="AC187">
        <v>45785</v>
      </c>
      <c r="AD187">
        <v>0.64930555555555558</v>
      </c>
      <c r="AE187" t="str">
        <v>Poblado</v>
      </c>
      <c r="AF187" t="str">
        <v>Recoge</v>
      </c>
      <c r="AG187" t="str">
        <v>Comida rapida</v>
      </c>
      <c r="AH187">
        <v>2</v>
      </c>
      <c r="AI187">
        <v>47653.88</v>
      </c>
      <c r="AJ187">
        <v>4251.9005882352949</v>
      </c>
      <c r="AK187">
        <v>19</v>
      </c>
      <c r="AL187">
        <v>52</v>
      </c>
      <c r="AM187" t="str">
        <v>App</v>
      </c>
      <c r="AN187" t="str">
        <v>Reembolsada</v>
      </c>
      <c r="AO187">
        <v>4</v>
      </c>
    </row>
    <row r="188" spans="1:41" x14ac:dyDescent="0.3">
      <c r="A188" t="s">
        <v>218</v>
      </c>
      <c r="B188" s="8">
        <v>45875</v>
      </c>
      <c r="C188" s="2">
        <v>0.6958333333333333</v>
      </c>
      <c r="D188" t="s">
        <v>27</v>
      </c>
      <c r="E188" t="s">
        <v>16</v>
      </c>
      <c r="F188" t="s">
        <v>23</v>
      </c>
      <c r="G188">
        <v>2</v>
      </c>
      <c r="H188" s="6">
        <v>43416.02</v>
      </c>
      <c r="I188" s="6">
        <v>6131.38</v>
      </c>
      <c r="J188">
        <v>28</v>
      </c>
      <c r="K188">
        <v>47</v>
      </c>
      <c r="L188" t="s">
        <v>18</v>
      </c>
      <c r="M188" t="s">
        <v>19</v>
      </c>
      <c r="N188">
        <v>3</v>
      </c>
      <c r="O188" s="4"/>
      <c r="P188" s="4" t="str">
        <f>IF(Data_Set_2[[#This Row],[valor_bruto]]&gt;$W$13,"OUTLIER+","")</f>
        <v/>
      </c>
      <c r="Q188" s="4" t="str">
        <f>IF(Data_Set_2[[#This Row],[valor_bruto]]&lt;$W$14,"OUTLIER-","")</f>
        <v/>
      </c>
      <c r="R188" s="4"/>
      <c r="S188" s="4"/>
      <c r="AB188" t="str">
        <v>RES-100186</v>
      </c>
      <c r="AC188">
        <v>45875</v>
      </c>
      <c r="AD188">
        <v>0.6958333333333333</v>
      </c>
      <c r="AE188" t="str">
        <v>Centro</v>
      </c>
      <c r="AF188" t="str">
        <v>Mesa</v>
      </c>
      <c r="AG188" t="str">
        <v>Pasta</v>
      </c>
      <c r="AH188">
        <v>2</v>
      </c>
      <c r="AI188">
        <v>43416.02</v>
      </c>
      <c r="AJ188">
        <v>6131.38</v>
      </c>
      <c r="AK188">
        <v>28</v>
      </c>
      <c r="AL188">
        <v>47</v>
      </c>
      <c r="AM188" t="str">
        <v>Tarjeta</v>
      </c>
      <c r="AN188" t="str">
        <v>Entregada</v>
      </c>
      <c r="AO188">
        <v>3</v>
      </c>
    </row>
    <row r="189" spans="1:41" x14ac:dyDescent="0.3">
      <c r="A189" t="s">
        <v>219</v>
      </c>
      <c r="B189" s="8">
        <v>45876</v>
      </c>
      <c r="C189" s="2">
        <v>0.74236111111111114</v>
      </c>
      <c r="D189" t="s">
        <v>33</v>
      </c>
      <c r="E189" t="s">
        <v>22</v>
      </c>
      <c r="F189" t="s">
        <v>29</v>
      </c>
      <c r="G189">
        <v>5</v>
      </c>
      <c r="H189" s="6">
        <v>39834.019999999997</v>
      </c>
      <c r="I189" s="6">
        <v>3270.91</v>
      </c>
      <c r="J189">
        <v>25</v>
      </c>
      <c r="K189">
        <v>53</v>
      </c>
      <c r="L189" t="s">
        <v>24</v>
      </c>
      <c r="M189" t="s">
        <v>25</v>
      </c>
      <c r="N189">
        <v>4</v>
      </c>
      <c r="O189" s="4"/>
      <c r="P189" s="4" t="str">
        <f>IF(Data_Set_2[[#This Row],[valor_bruto]]&gt;$W$13,"OUTLIER+","")</f>
        <v/>
      </c>
      <c r="Q189" s="4" t="str">
        <f>IF(Data_Set_2[[#This Row],[valor_bruto]]&lt;$W$14,"OUTLIER-","")</f>
        <v/>
      </c>
      <c r="R189" s="4"/>
      <c r="S189" s="4"/>
      <c r="AB189" t="str">
        <v>RES-100187</v>
      </c>
      <c r="AC189">
        <v>45876</v>
      </c>
      <c r="AD189">
        <v>0.74236111111111114</v>
      </c>
      <c r="AE189" t="str">
        <v>Envigado</v>
      </c>
      <c r="AF189" t="str">
        <v>Domicilio</v>
      </c>
      <c r="AG189" t="str">
        <v>Parrilla</v>
      </c>
      <c r="AH189">
        <v>5</v>
      </c>
      <c r="AI189">
        <v>39834.019999999997</v>
      </c>
      <c r="AJ189">
        <v>3270.91</v>
      </c>
      <c r="AK189">
        <v>25</v>
      </c>
      <c r="AL189">
        <v>53</v>
      </c>
      <c r="AM189" t="str">
        <v>Efectivo</v>
      </c>
      <c r="AN189" t="str">
        <v>Cancelada</v>
      </c>
      <c r="AO189">
        <v>4</v>
      </c>
    </row>
    <row r="190" spans="1:41" x14ac:dyDescent="0.3">
      <c r="A190" t="s">
        <v>220</v>
      </c>
      <c r="B190" s="8">
        <v>45877</v>
      </c>
      <c r="C190" s="2">
        <v>0.78888888888888886</v>
      </c>
      <c r="D190" t="s">
        <v>15</v>
      </c>
      <c r="E190" t="s">
        <v>28</v>
      </c>
      <c r="F190" t="s">
        <v>34</v>
      </c>
      <c r="G190">
        <v>4</v>
      </c>
      <c r="H190" s="6">
        <v>66764.62</v>
      </c>
      <c r="I190" s="6">
        <v>1367.72</v>
      </c>
      <c r="J190">
        <v>30</v>
      </c>
      <c r="K190">
        <v>51</v>
      </c>
      <c r="L190" t="s">
        <v>30</v>
      </c>
      <c r="M190" t="s">
        <v>31</v>
      </c>
      <c r="N190">
        <v>3</v>
      </c>
      <c r="O190" s="4"/>
      <c r="P190" s="4" t="str">
        <f>IF(Data_Set_2[[#This Row],[valor_bruto]]&gt;$W$13,"OUTLIER+","")</f>
        <v/>
      </c>
      <c r="Q190" s="4" t="str">
        <f>IF(Data_Set_2[[#This Row],[valor_bruto]]&lt;$W$14,"OUTLIER-","")</f>
        <v/>
      </c>
      <c r="R190" s="4"/>
      <c r="S190" s="4"/>
      <c r="AB190" t="str">
        <v>RES-100188</v>
      </c>
      <c r="AC190">
        <v>45877</v>
      </c>
      <c r="AD190">
        <v>0.78888888888888886</v>
      </c>
      <c r="AE190" t="str">
        <v>Laureles</v>
      </c>
      <c r="AF190" t="str">
        <v>Recoge</v>
      </c>
      <c r="AG190" t="str">
        <v>Vegano</v>
      </c>
      <c r="AH190">
        <v>4</v>
      </c>
      <c r="AI190">
        <v>66764.62</v>
      </c>
      <c r="AJ190">
        <v>1367.72</v>
      </c>
      <c r="AK190">
        <v>30</v>
      </c>
      <c r="AL190">
        <v>51</v>
      </c>
      <c r="AM190" t="str">
        <v>App</v>
      </c>
      <c r="AN190" t="str">
        <v>Reembolsada</v>
      </c>
      <c r="AO190">
        <v>3</v>
      </c>
    </row>
    <row r="191" spans="1:41" x14ac:dyDescent="0.3">
      <c r="A191" t="s">
        <v>221</v>
      </c>
      <c r="B191" s="8">
        <v>45878</v>
      </c>
      <c r="C191" s="2">
        <v>0.79374999999999996</v>
      </c>
      <c r="D191" t="s">
        <v>21</v>
      </c>
      <c r="E191" t="s">
        <v>16</v>
      </c>
      <c r="F191" t="s">
        <v>36</v>
      </c>
      <c r="G191">
        <v>4</v>
      </c>
      <c r="H191" s="6">
        <v>37655.94</v>
      </c>
      <c r="I191" s="6">
        <v>7502.6</v>
      </c>
      <c r="J191">
        <v>15</v>
      </c>
      <c r="K191">
        <v>32</v>
      </c>
      <c r="L191" t="s">
        <v>18</v>
      </c>
      <c r="M191" t="s">
        <v>19</v>
      </c>
      <c r="N191">
        <v>4</v>
      </c>
      <c r="O191" s="4"/>
      <c r="P191" s="4" t="str">
        <f>IF(Data_Set_2[[#This Row],[valor_bruto]]&gt;$W$13,"OUTLIER+","")</f>
        <v/>
      </c>
      <c r="Q191" s="4" t="str">
        <f>IF(Data_Set_2[[#This Row],[valor_bruto]]&lt;$W$14,"OUTLIER-","")</f>
        <v/>
      </c>
      <c r="R191" s="4"/>
      <c r="S191" s="4"/>
      <c r="AB191" t="str">
        <v>RES-100189</v>
      </c>
      <c r="AC191">
        <v>45878</v>
      </c>
      <c r="AD191">
        <v>0.79374999999999996</v>
      </c>
      <c r="AE191" t="str">
        <v>Poblado</v>
      </c>
      <c r="AF191" t="str">
        <v>Mesa</v>
      </c>
      <c r="AG191" t="str">
        <v>Bebidas</v>
      </c>
      <c r="AH191">
        <v>4</v>
      </c>
      <c r="AI191">
        <v>37655.94</v>
      </c>
      <c r="AJ191">
        <v>7502.6</v>
      </c>
      <c r="AK191">
        <v>15</v>
      </c>
      <c r="AL191">
        <v>32</v>
      </c>
      <c r="AM191" t="str">
        <v>Tarjeta</v>
      </c>
      <c r="AN191" t="str">
        <v>Entregada</v>
      </c>
      <c r="AO191">
        <v>4</v>
      </c>
    </row>
    <row r="192" spans="1:41" x14ac:dyDescent="0.3">
      <c r="A192" t="s">
        <v>222</v>
      </c>
      <c r="B192" s="8">
        <v>45879</v>
      </c>
      <c r="C192" s="2">
        <v>0.84027777777777779</v>
      </c>
      <c r="D192" t="s">
        <v>27</v>
      </c>
      <c r="E192" t="s">
        <v>22</v>
      </c>
      <c r="F192" t="s">
        <v>17</v>
      </c>
      <c r="G192">
        <v>5</v>
      </c>
      <c r="H192" s="6">
        <v>48358.06</v>
      </c>
      <c r="I192" s="6">
        <v>617.17999999999995</v>
      </c>
      <c r="J192">
        <v>25</v>
      </c>
      <c r="K192">
        <v>32</v>
      </c>
      <c r="L192" t="s">
        <v>24</v>
      </c>
      <c r="M192" t="s">
        <v>25</v>
      </c>
      <c r="N192">
        <v>5</v>
      </c>
      <c r="O192" s="4"/>
      <c r="P192" s="4" t="str">
        <f>IF(Data_Set_2[[#This Row],[valor_bruto]]&gt;$W$13,"OUTLIER+","")</f>
        <v/>
      </c>
      <c r="Q192" s="4" t="str">
        <f>IF(Data_Set_2[[#This Row],[valor_bruto]]&lt;$W$14,"OUTLIER-","")</f>
        <v/>
      </c>
      <c r="R192" s="4"/>
      <c r="S192" s="4"/>
      <c r="AB192" t="str">
        <v>RES-100190</v>
      </c>
      <c r="AC192">
        <v>45879</v>
      </c>
      <c r="AD192">
        <v>0.84027777777777779</v>
      </c>
      <c r="AE192" t="str">
        <v>Centro</v>
      </c>
      <c r="AF192" t="str">
        <v>Domicilio</v>
      </c>
      <c r="AG192" t="str">
        <v>Comida rapida</v>
      </c>
      <c r="AH192">
        <v>5</v>
      </c>
      <c r="AI192">
        <v>48358.06</v>
      </c>
      <c r="AJ192">
        <v>617.17999999999995</v>
      </c>
      <c r="AK192">
        <v>25</v>
      </c>
      <c r="AL192">
        <v>32</v>
      </c>
      <c r="AM192" t="str">
        <v>Efectivo</v>
      </c>
      <c r="AN192" t="str">
        <v>Cancelada</v>
      </c>
      <c r="AO192">
        <v>5</v>
      </c>
    </row>
    <row r="193" spans="1:41" x14ac:dyDescent="0.3">
      <c r="A193" t="s">
        <v>223</v>
      </c>
      <c r="B193" s="8">
        <v>45969</v>
      </c>
      <c r="C193" s="2">
        <v>0.88680555555555551</v>
      </c>
      <c r="D193" t="s">
        <v>33</v>
      </c>
      <c r="E193" t="s">
        <v>28</v>
      </c>
      <c r="F193" t="s">
        <v>23</v>
      </c>
      <c r="G193">
        <v>4</v>
      </c>
      <c r="H193" s="6">
        <v>29415.83</v>
      </c>
      <c r="I193" s="6">
        <v>7549.74</v>
      </c>
      <c r="J193">
        <v>13</v>
      </c>
      <c r="K193">
        <v>33</v>
      </c>
      <c r="L193" t="s">
        <v>30</v>
      </c>
      <c r="M193" t="s">
        <v>31</v>
      </c>
      <c r="N193">
        <v>3</v>
      </c>
      <c r="O193" s="4"/>
      <c r="P193" s="4" t="str">
        <f>IF(Data_Set_2[[#This Row],[valor_bruto]]&gt;$W$13,"OUTLIER+","")</f>
        <v/>
      </c>
      <c r="Q193" s="4" t="str">
        <f>IF(Data_Set_2[[#This Row],[valor_bruto]]&lt;$W$14,"OUTLIER-","")</f>
        <v/>
      </c>
      <c r="R193" s="4"/>
      <c r="S193" s="4"/>
      <c r="AB193" t="str">
        <v>RES-100191</v>
      </c>
      <c r="AC193">
        <v>45969</v>
      </c>
      <c r="AD193">
        <v>0.88680555555555551</v>
      </c>
      <c r="AE193" t="str">
        <v>Envigado</v>
      </c>
      <c r="AF193" t="str">
        <v>Recoge</v>
      </c>
      <c r="AG193" t="str">
        <v>Pasta</v>
      </c>
      <c r="AH193">
        <v>4</v>
      </c>
      <c r="AI193">
        <v>29415.83</v>
      </c>
      <c r="AJ193">
        <v>7549.74</v>
      </c>
      <c r="AK193">
        <v>13</v>
      </c>
      <c r="AL193">
        <v>33</v>
      </c>
      <c r="AM193" t="str">
        <v>App</v>
      </c>
      <c r="AN193" t="str">
        <v>Reembolsada</v>
      </c>
      <c r="AO193">
        <v>3</v>
      </c>
    </row>
    <row r="194" spans="1:41" x14ac:dyDescent="0.3">
      <c r="A194" t="s">
        <v>224</v>
      </c>
      <c r="B194" s="8">
        <v>45881</v>
      </c>
      <c r="C194" s="2">
        <v>0.43333333333333335</v>
      </c>
      <c r="D194" t="s">
        <v>15</v>
      </c>
      <c r="E194" t="s">
        <v>16</v>
      </c>
      <c r="F194" t="s">
        <v>29</v>
      </c>
      <c r="G194">
        <v>6</v>
      </c>
      <c r="H194" s="6">
        <v>38523.65</v>
      </c>
      <c r="I194" s="6">
        <v>814.45</v>
      </c>
      <c r="J194">
        <v>19</v>
      </c>
      <c r="K194">
        <v>24</v>
      </c>
      <c r="L194" t="s">
        <v>18</v>
      </c>
      <c r="M194" t="s">
        <v>19</v>
      </c>
      <c r="N194">
        <v>3</v>
      </c>
      <c r="O194" s="4"/>
      <c r="P194" s="4" t="str">
        <f>IF(Data_Set_2[[#This Row],[valor_bruto]]&gt;$W$13,"OUTLIER+","")</f>
        <v/>
      </c>
      <c r="Q194" s="4" t="str">
        <f>IF(Data_Set_2[[#This Row],[valor_bruto]]&lt;$W$14,"OUTLIER-","")</f>
        <v/>
      </c>
      <c r="R194" s="4"/>
      <c r="S194" s="4"/>
      <c r="AB194" t="str">
        <v>RES-100192</v>
      </c>
      <c r="AC194">
        <v>45881</v>
      </c>
      <c r="AD194">
        <v>0.43333333333333335</v>
      </c>
      <c r="AE194" t="str">
        <v>Laureles</v>
      </c>
      <c r="AF194" t="str">
        <v>Mesa</v>
      </c>
      <c r="AG194" t="str">
        <v>Parrilla</v>
      </c>
      <c r="AH194">
        <v>6</v>
      </c>
      <c r="AI194">
        <v>38523.65</v>
      </c>
      <c r="AJ194">
        <v>814.45</v>
      </c>
      <c r="AK194">
        <v>19</v>
      </c>
      <c r="AL194">
        <v>24</v>
      </c>
      <c r="AM194" t="str">
        <v>Tarjeta</v>
      </c>
      <c r="AN194" t="str">
        <v>Entregada</v>
      </c>
      <c r="AO194">
        <v>3</v>
      </c>
    </row>
    <row r="195" spans="1:41" x14ac:dyDescent="0.3">
      <c r="A195" t="s">
        <v>225</v>
      </c>
      <c r="B195" s="8">
        <v>45882</v>
      </c>
      <c r="C195" s="2">
        <v>0.47986111111111113</v>
      </c>
      <c r="D195" t="s">
        <v>21</v>
      </c>
      <c r="E195" t="s">
        <v>22</v>
      </c>
      <c r="F195" t="s">
        <v>34</v>
      </c>
      <c r="G195">
        <v>6</v>
      </c>
      <c r="H195" s="6">
        <v>29422.66</v>
      </c>
      <c r="I195" s="6">
        <v>5866.54</v>
      </c>
      <c r="J195">
        <v>26</v>
      </c>
      <c r="K195">
        <v>30</v>
      </c>
      <c r="L195" t="s">
        <v>24</v>
      </c>
      <c r="M195" t="s">
        <v>25</v>
      </c>
      <c r="N195">
        <v>4</v>
      </c>
      <c r="O195" s="4"/>
      <c r="P195" s="4" t="str">
        <f>IF(Data_Set_2[[#This Row],[valor_bruto]]&gt;$W$13,"OUTLIER+","")</f>
        <v/>
      </c>
      <c r="Q195" s="4" t="str">
        <f>IF(Data_Set_2[[#This Row],[valor_bruto]]&lt;$W$14,"OUTLIER-","")</f>
        <v/>
      </c>
      <c r="R195" s="4"/>
      <c r="S195" s="4"/>
      <c r="AB195" t="str">
        <v>RES-100193</v>
      </c>
      <c r="AC195">
        <v>45882</v>
      </c>
      <c r="AD195">
        <v>0.47986111111111113</v>
      </c>
      <c r="AE195" t="str">
        <v>Poblado</v>
      </c>
      <c r="AF195" t="str">
        <v>Domicilio</v>
      </c>
      <c r="AG195" t="str">
        <v>Vegano</v>
      </c>
      <c r="AH195">
        <v>6</v>
      </c>
      <c r="AI195">
        <v>29422.66</v>
      </c>
      <c r="AJ195">
        <v>5866.54</v>
      </c>
      <c r="AK195">
        <v>26</v>
      </c>
      <c r="AL195">
        <v>30</v>
      </c>
      <c r="AM195" t="str">
        <v>Efectivo</v>
      </c>
      <c r="AN195" t="str">
        <v>Cancelada</v>
      </c>
      <c r="AO195">
        <v>4</v>
      </c>
    </row>
    <row r="196" spans="1:41" x14ac:dyDescent="0.3">
      <c r="A196" t="s">
        <v>226</v>
      </c>
      <c r="B196" s="8">
        <v>45883</v>
      </c>
      <c r="C196" s="2">
        <v>0.52638888888888891</v>
      </c>
      <c r="D196" t="s">
        <v>27</v>
      </c>
      <c r="E196" t="s">
        <v>28</v>
      </c>
      <c r="F196" t="s">
        <v>36</v>
      </c>
      <c r="G196">
        <v>2</v>
      </c>
      <c r="H196" s="6">
        <v>69819.7</v>
      </c>
      <c r="I196" s="6">
        <v>5128.5</v>
      </c>
      <c r="J196">
        <v>20</v>
      </c>
      <c r="K196">
        <v>41</v>
      </c>
      <c r="L196" t="s">
        <v>30</v>
      </c>
      <c r="M196" t="s">
        <v>31</v>
      </c>
      <c r="N196">
        <v>5</v>
      </c>
      <c r="O196" s="4"/>
      <c r="P196" s="4" t="str">
        <f>IF(Data_Set_2[[#This Row],[valor_bruto]]&gt;$W$13,"OUTLIER+","")</f>
        <v/>
      </c>
      <c r="Q196" s="4" t="str">
        <f>IF(Data_Set_2[[#This Row],[valor_bruto]]&lt;$W$14,"OUTLIER-","")</f>
        <v/>
      </c>
      <c r="R196" s="4"/>
      <c r="S196" s="4"/>
      <c r="AB196" t="str">
        <v>RES-100194</v>
      </c>
      <c r="AC196">
        <v>45883</v>
      </c>
      <c r="AD196">
        <v>0.52638888888888891</v>
      </c>
      <c r="AE196" t="str">
        <v>Centro</v>
      </c>
      <c r="AF196" t="str">
        <v>Recoge</v>
      </c>
      <c r="AG196" t="str">
        <v>Bebidas</v>
      </c>
      <c r="AH196">
        <v>2</v>
      </c>
      <c r="AI196">
        <v>69819.7</v>
      </c>
      <c r="AJ196">
        <v>5128.5</v>
      </c>
      <c r="AK196">
        <v>20</v>
      </c>
      <c r="AL196">
        <v>41</v>
      </c>
      <c r="AM196" t="str">
        <v>App</v>
      </c>
      <c r="AN196" t="str">
        <v>Reembolsada</v>
      </c>
      <c r="AO196">
        <v>5</v>
      </c>
    </row>
    <row r="197" spans="1:41" x14ac:dyDescent="0.3">
      <c r="A197" t="s">
        <v>227</v>
      </c>
      <c r="B197" s="8">
        <v>45884</v>
      </c>
      <c r="C197" s="2">
        <v>0.57291666666666663</v>
      </c>
      <c r="D197" t="s">
        <v>33</v>
      </c>
      <c r="E197" t="s">
        <v>16</v>
      </c>
      <c r="F197" t="s">
        <v>17</v>
      </c>
      <c r="G197">
        <v>2</v>
      </c>
      <c r="H197" s="6">
        <v>52797.279999999999</v>
      </c>
      <c r="I197" s="6">
        <v>2860.81</v>
      </c>
      <c r="J197">
        <v>24</v>
      </c>
      <c r="K197">
        <v>46</v>
      </c>
      <c r="L197" t="s">
        <v>18</v>
      </c>
      <c r="M197" t="s">
        <v>19</v>
      </c>
      <c r="N197">
        <v>4</v>
      </c>
      <c r="O197" s="4"/>
      <c r="P197" s="4" t="str">
        <f>IF(Data_Set_2[[#This Row],[valor_bruto]]&gt;$W$13,"OUTLIER+","")</f>
        <v/>
      </c>
      <c r="Q197" s="4" t="str">
        <f>IF(Data_Set_2[[#This Row],[valor_bruto]]&lt;$W$14,"OUTLIER-","")</f>
        <v/>
      </c>
      <c r="R197" s="4"/>
      <c r="S197" s="4"/>
      <c r="AB197" t="str">
        <v>RES-100195</v>
      </c>
      <c r="AC197">
        <v>45884</v>
      </c>
      <c r="AD197">
        <v>0.57291666666666663</v>
      </c>
      <c r="AE197" t="str">
        <v>Envigado</v>
      </c>
      <c r="AF197" t="str">
        <v>Mesa</v>
      </c>
      <c r="AG197" t="str">
        <v>Comida rapida</v>
      </c>
      <c r="AH197">
        <v>2</v>
      </c>
      <c r="AI197">
        <v>52797.279999999999</v>
      </c>
      <c r="AJ197">
        <v>2860.81</v>
      </c>
      <c r="AK197">
        <v>24</v>
      </c>
      <c r="AL197">
        <v>46</v>
      </c>
      <c r="AM197" t="str">
        <v>Tarjeta</v>
      </c>
      <c r="AN197" t="str">
        <v>Entregada</v>
      </c>
      <c r="AO197">
        <v>4</v>
      </c>
    </row>
    <row r="198" spans="1:41" x14ac:dyDescent="0.3">
      <c r="A198" t="s">
        <v>228</v>
      </c>
      <c r="B198" s="8">
        <v>45885</v>
      </c>
      <c r="C198" s="2">
        <v>0.61944444444444446</v>
      </c>
      <c r="D198" t="s">
        <v>15</v>
      </c>
      <c r="E198" t="s">
        <v>22</v>
      </c>
      <c r="F198" t="s">
        <v>23</v>
      </c>
      <c r="G198">
        <v>2</v>
      </c>
      <c r="H198" s="6">
        <v>49850.31</v>
      </c>
      <c r="I198" s="6">
        <v>4603.22</v>
      </c>
      <c r="J198">
        <v>30</v>
      </c>
      <c r="K198">
        <v>33</v>
      </c>
      <c r="L198" t="s">
        <v>24</v>
      </c>
      <c r="M198" t="s">
        <v>25</v>
      </c>
      <c r="N198">
        <v>5</v>
      </c>
      <c r="O198" s="4"/>
      <c r="P198" s="4" t="str">
        <f>IF(Data_Set_2[[#This Row],[valor_bruto]]&gt;$W$13,"OUTLIER+","")</f>
        <v/>
      </c>
      <c r="Q198" s="4" t="str">
        <f>IF(Data_Set_2[[#This Row],[valor_bruto]]&lt;$W$14,"OUTLIER-","")</f>
        <v/>
      </c>
      <c r="R198" s="4"/>
      <c r="S198" s="4"/>
      <c r="AB198" t="str">
        <v>RES-100196</v>
      </c>
      <c r="AC198">
        <v>45885</v>
      </c>
      <c r="AD198">
        <v>0.61944444444444446</v>
      </c>
      <c r="AE198" t="str">
        <v>Laureles</v>
      </c>
      <c r="AF198" t="str">
        <v>Domicilio</v>
      </c>
      <c r="AG198" t="str">
        <v>Pasta</v>
      </c>
      <c r="AH198">
        <v>2</v>
      </c>
      <c r="AI198">
        <v>49850.31</v>
      </c>
      <c r="AJ198">
        <v>4603.22</v>
      </c>
      <c r="AK198">
        <v>30</v>
      </c>
      <c r="AL198">
        <v>33</v>
      </c>
      <c r="AM198" t="str">
        <v>Efectivo</v>
      </c>
      <c r="AN198" t="str">
        <v>Cancelada</v>
      </c>
      <c r="AO198">
        <v>5</v>
      </c>
    </row>
    <row r="199" spans="1:41" x14ac:dyDescent="0.3">
      <c r="A199" t="s">
        <v>229</v>
      </c>
      <c r="B199" s="8">
        <v>45886</v>
      </c>
      <c r="C199" s="2">
        <v>0.66597222222222219</v>
      </c>
      <c r="D199" t="s">
        <v>21</v>
      </c>
      <c r="E199" t="s">
        <v>28</v>
      </c>
      <c r="F199" t="s">
        <v>29</v>
      </c>
      <c r="G199">
        <v>4</v>
      </c>
      <c r="H199" s="6">
        <v>43983.71</v>
      </c>
      <c r="I199" s="6">
        <v>1470.77</v>
      </c>
      <c r="J199">
        <v>18</v>
      </c>
      <c r="K199">
        <v>25</v>
      </c>
      <c r="L199" t="s">
        <v>30</v>
      </c>
      <c r="M199" t="s">
        <v>31</v>
      </c>
      <c r="N199">
        <v>3</v>
      </c>
      <c r="O199" s="4"/>
      <c r="P199" s="4" t="str">
        <f>IF(Data_Set_2[[#This Row],[valor_bruto]]&gt;$W$13,"OUTLIER+","")</f>
        <v/>
      </c>
      <c r="Q199" s="4" t="str">
        <f>IF(Data_Set_2[[#This Row],[valor_bruto]]&lt;$W$14,"OUTLIER-","")</f>
        <v/>
      </c>
      <c r="R199" s="4"/>
      <c r="S199" s="4"/>
      <c r="AB199" t="str">
        <v>RES-100197</v>
      </c>
      <c r="AC199">
        <v>45886</v>
      </c>
      <c r="AD199">
        <v>0.66597222222222219</v>
      </c>
      <c r="AE199" t="str">
        <v>Poblado</v>
      </c>
      <c r="AF199" t="str">
        <v>Recoge</v>
      </c>
      <c r="AG199" t="str">
        <v>Parrilla</v>
      </c>
      <c r="AH199">
        <v>4</v>
      </c>
      <c r="AI199">
        <v>43983.71</v>
      </c>
      <c r="AJ199">
        <v>1470.77</v>
      </c>
      <c r="AK199">
        <v>18</v>
      </c>
      <c r="AL199">
        <v>25</v>
      </c>
      <c r="AM199" t="str">
        <v>App</v>
      </c>
      <c r="AN199" t="str">
        <v>Reembolsada</v>
      </c>
      <c r="AO199">
        <v>3</v>
      </c>
    </row>
    <row r="200" spans="1:41" x14ac:dyDescent="0.3">
      <c r="A200" t="s">
        <v>230</v>
      </c>
      <c r="B200" s="8">
        <v>45887</v>
      </c>
      <c r="C200" s="2">
        <v>0.67083333333333328</v>
      </c>
      <c r="D200" t="s">
        <v>27</v>
      </c>
      <c r="E200" t="s">
        <v>16</v>
      </c>
      <c r="F200" t="s">
        <v>34</v>
      </c>
      <c r="G200">
        <v>6</v>
      </c>
      <c r="H200" s="6">
        <v>26691.74</v>
      </c>
      <c r="I200" s="6">
        <v>917.31</v>
      </c>
      <c r="J200">
        <v>18</v>
      </c>
      <c r="K200">
        <v>47</v>
      </c>
      <c r="L200" t="s">
        <v>18</v>
      </c>
      <c r="M200" t="s">
        <v>19</v>
      </c>
      <c r="N200">
        <v>4</v>
      </c>
      <c r="O200" s="4"/>
      <c r="P200" s="4" t="str">
        <f>IF(Data_Set_2[[#This Row],[valor_bruto]]&gt;$W$13,"OUTLIER+","")</f>
        <v/>
      </c>
      <c r="Q200" s="4" t="str">
        <f>IF(Data_Set_2[[#This Row],[valor_bruto]]&lt;$W$14,"OUTLIER-","")</f>
        <v/>
      </c>
      <c r="R200" s="4"/>
      <c r="S200" s="4"/>
      <c r="AB200" t="str">
        <v>RES-100198</v>
      </c>
      <c r="AC200">
        <v>45887</v>
      </c>
      <c r="AD200">
        <v>0.67083333333333328</v>
      </c>
      <c r="AE200" t="str">
        <v>Centro</v>
      </c>
      <c r="AF200" t="str">
        <v>Mesa</v>
      </c>
      <c r="AG200" t="str">
        <v>Vegano</v>
      </c>
      <c r="AH200">
        <v>6</v>
      </c>
      <c r="AI200">
        <v>26691.74</v>
      </c>
      <c r="AJ200">
        <v>917.31</v>
      </c>
      <c r="AK200">
        <v>18</v>
      </c>
      <c r="AL200">
        <v>47</v>
      </c>
      <c r="AM200" t="str">
        <v>Tarjeta</v>
      </c>
      <c r="AN200" t="str">
        <v>Entregada</v>
      </c>
      <c r="AO200">
        <v>4</v>
      </c>
    </row>
    <row r="201" spans="1:41" x14ac:dyDescent="0.3">
      <c r="A201" t="s">
        <v>231</v>
      </c>
      <c r="B201" s="8">
        <v>45888</v>
      </c>
      <c r="C201" s="2">
        <v>0.71736111111111112</v>
      </c>
      <c r="D201" t="s">
        <v>33</v>
      </c>
      <c r="E201" t="s">
        <v>22</v>
      </c>
      <c r="F201" t="s">
        <v>36</v>
      </c>
      <c r="G201">
        <v>5</v>
      </c>
      <c r="H201" s="6">
        <v>61045.83</v>
      </c>
      <c r="I201" s="6">
        <v>1526.99</v>
      </c>
      <c r="J201">
        <v>20</v>
      </c>
      <c r="K201">
        <v>25</v>
      </c>
      <c r="L201" t="s">
        <v>24</v>
      </c>
      <c r="M201" t="s">
        <v>25</v>
      </c>
      <c r="N201">
        <v>3</v>
      </c>
      <c r="O201" s="4"/>
      <c r="P201" s="4" t="str">
        <f>IF(Data_Set_2[[#This Row],[valor_bruto]]&gt;$W$13,"OUTLIER+","")</f>
        <v/>
      </c>
      <c r="Q201" s="4" t="str">
        <f>IF(Data_Set_2[[#This Row],[valor_bruto]]&lt;$W$14,"OUTLIER-","")</f>
        <v/>
      </c>
      <c r="R201" s="4"/>
      <c r="S201" s="4"/>
      <c r="AB201" t="str">
        <v>RES-100199</v>
      </c>
      <c r="AC201">
        <v>45888</v>
      </c>
      <c r="AD201">
        <v>0.71736111111111112</v>
      </c>
      <c r="AE201" t="str">
        <v>Envigado</v>
      </c>
      <c r="AF201" t="str">
        <v>Domicilio</v>
      </c>
      <c r="AG201" t="str">
        <v>Bebidas</v>
      </c>
      <c r="AH201">
        <v>5</v>
      </c>
      <c r="AI201">
        <v>61045.83</v>
      </c>
      <c r="AJ201">
        <v>1526.99</v>
      </c>
      <c r="AK201">
        <v>20</v>
      </c>
      <c r="AL201">
        <v>25</v>
      </c>
      <c r="AM201" t="str">
        <v>Efectivo</v>
      </c>
      <c r="AN201" t="str">
        <v>Cancelada</v>
      </c>
      <c r="AO201">
        <v>3</v>
      </c>
    </row>
    <row r="202" spans="1:41" x14ac:dyDescent="0.3">
      <c r="A202" t="s">
        <v>232</v>
      </c>
      <c r="B202" s="8">
        <v>45889</v>
      </c>
      <c r="C202" s="2">
        <v>0.76388888888888884</v>
      </c>
      <c r="D202" t="s">
        <v>15</v>
      </c>
      <c r="E202" t="s">
        <v>28</v>
      </c>
      <c r="F202" t="s">
        <v>17</v>
      </c>
      <c r="G202">
        <v>2</v>
      </c>
      <c r="H202" s="6">
        <v>27536.69</v>
      </c>
      <c r="I202" s="6">
        <v>5697.09</v>
      </c>
      <c r="J202">
        <v>27</v>
      </c>
      <c r="K202">
        <v>24</v>
      </c>
      <c r="L202" t="s">
        <v>30</v>
      </c>
      <c r="M202" t="s">
        <v>31</v>
      </c>
      <c r="N202">
        <v>5</v>
      </c>
      <c r="O202" s="4"/>
      <c r="P202" s="4" t="str">
        <f>IF(Data_Set_2[[#This Row],[valor_bruto]]&gt;$W$13,"OUTLIER+","")</f>
        <v/>
      </c>
      <c r="Q202" s="4" t="str">
        <f>IF(Data_Set_2[[#This Row],[valor_bruto]]&lt;$W$14,"OUTLIER-","")</f>
        <v/>
      </c>
      <c r="R202" s="4"/>
      <c r="S202" s="4"/>
      <c r="AB202" t="str">
        <v>RES-100200</v>
      </c>
      <c r="AC202">
        <v>45889</v>
      </c>
      <c r="AD202">
        <v>0.76388888888888884</v>
      </c>
      <c r="AE202" t="str">
        <v>Laureles</v>
      </c>
      <c r="AF202" t="str">
        <v>Recoge</v>
      </c>
      <c r="AG202" t="str">
        <v>Comida rapida</v>
      </c>
      <c r="AH202">
        <v>2</v>
      </c>
      <c r="AI202">
        <v>27536.69</v>
      </c>
      <c r="AJ202">
        <v>5697.09</v>
      </c>
      <c r="AK202">
        <v>27</v>
      </c>
      <c r="AL202">
        <v>24</v>
      </c>
      <c r="AM202" t="str">
        <v>App</v>
      </c>
      <c r="AN202" t="str">
        <v>Reembolsada</v>
      </c>
      <c r="AO202">
        <v>5</v>
      </c>
    </row>
    <row r="203" spans="1:41" x14ac:dyDescent="0.3">
      <c r="A203" t="s">
        <v>233</v>
      </c>
      <c r="B203" s="8">
        <v>45890</v>
      </c>
      <c r="C203" s="2">
        <v>0.81041666666666667</v>
      </c>
      <c r="D203" t="s">
        <v>21</v>
      </c>
      <c r="E203" t="s">
        <v>16</v>
      </c>
      <c r="F203" t="s">
        <v>23</v>
      </c>
      <c r="G203">
        <v>3</v>
      </c>
      <c r="H203" s="6">
        <v>56138.37</v>
      </c>
      <c r="I203" s="6">
        <v>4295.12</v>
      </c>
      <c r="J203">
        <v>17</v>
      </c>
      <c r="K203">
        <v>31</v>
      </c>
      <c r="L203" t="s">
        <v>18</v>
      </c>
      <c r="M203" t="s">
        <v>19</v>
      </c>
      <c r="N203">
        <v>5</v>
      </c>
      <c r="O203" s="4"/>
      <c r="P203" s="4" t="str">
        <f>IF(Data_Set_2[[#This Row],[valor_bruto]]&gt;$W$13,"OUTLIER+","")</f>
        <v/>
      </c>
      <c r="Q203" s="4" t="str">
        <f>IF(Data_Set_2[[#This Row],[valor_bruto]]&lt;$W$14,"OUTLIER-","")</f>
        <v/>
      </c>
      <c r="R203" s="4"/>
      <c r="S203" s="4"/>
      <c r="AB203" t="str">
        <v>RES-100201</v>
      </c>
      <c r="AC203">
        <v>45890</v>
      </c>
      <c r="AD203">
        <v>0.81041666666666667</v>
      </c>
      <c r="AE203" t="str">
        <v>Poblado</v>
      </c>
      <c r="AF203" t="str">
        <v>Mesa</v>
      </c>
      <c r="AG203" t="str">
        <v>Pasta</v>
      </c>
      <c r="AH203">
        <v>3</v>
      </c>
      <c r="AI203">
        <v>56138.37</v>
      </c>
      <c r="AJ203">
        <v>4295.12</v>
      </c>
      <c r="AK203">
        <v>17</v>
      </c>
      <c r="AL203">
        <v>31</v>
      </c>
      <c r="AM203" t="str">
        <v>Tarjeta</v>
      </c>
      <c r="AN203" t="str">
        <v>Entregada</v>
      </c>
      <c r="AO203">
        <v>5</v>
      </c>
    </row>
    <row r="204" spans="1:41" x14ac:dyDescent="0.3">
      <c r="A204" t="s">
        <v>234</v>
      </c>
      <c r="B204" s="8">
        <v>45891</v>
      </c>
      <c r="C204" s="2">
        <v>0.8569444444444444</v>
      </c>
      <c r="D204" t="s">
        <v>27</v>
      </c>
      <c r="E204" t="s">
        <v>22</v>
      </c>
      <c r="F204" t="s">
        <v>29</v>
      </c>
      <c r="G204">
        <v>3</v>
      </c>
      <c r="H204" s="6">
        <v>43234.93</v>
      </c>
      <c r="I204" s="6">
        <v>7832.04</v>
      </c>
      <c r="J204">
        <v>19</v>
      </c>
      <c r="K204">
        <v>52</v>
      </c>
      <c r="L204" t="s">
        <v>24</v>
      </c>
      <c r="M204" t="s">
        <v>25</v>
      </c>
      <c r="N204">
        <v>5</v>
      </c>
      <c r="O204" s="4"/>
      <c r="P204" s="4" t="str">
        <f>IF(Data_Set_2[[#This Row],[valor_bruto]]&gt;$W$13,"OUTLIER+","")</f>
        <v/>
      </c>
      <c r="Q204" s="4" t="str">
        <f>IF(Data_Set_2[[#This Row],[valor_bruto]]&lt;$W$14,"OUTLIER-","")</f>
        <v/>
      </c>
      <c r="R204" s="4"/>
      <c r="S204" s="4"/>
      <c r="AB204" t="str">
        <v>RES-100202</v>
      </c>
      <c r="AC204">
        <v>45891</v>
      </c>
      <c r="AD204">
        <v>0.8569444444444444</v>
      </c>
      <c r="AE204" t="str">
        <v>Centro</v>
      </c>
      <c r="AF204" t="str">
        <v>Domicilio</v>
      </c>
      <c r="AG204" t="str">
        <v>Parrilla</v>
      </c>
      <c r="AH204">
        <v>3</v>
      </c>
      <c r="AI204">
        <v>43234.93</v>
      </c>
      <c r="AJ204">
        <v>7832.04</v>
      </c>
      <c r="AK204">
        <v>19</v>
      </c>
      <c r="AL204">
        <v>52</v>
      </c>
      <c r="AM204" t="str">
        <v>Efectivo</v>
      </c>
      <c r="AN204" t="str">
        <v>Cancelada</v>
      </c>
      <c r="AO204">
        <v>5</v>
      </c>
    </row>
    <row r="205" spans="1:41" x14ac:dyDescent="0.3">
      <c r="A205" t="s">
        <v>235</v>
      </c>
      <c r="B205" s="8">
        <v>45892</v>
      </c>
      <c r="C205" s="2">
        <v>0.90347222222222223</v>
      </c>
      <c r="D205" t="s">
        <v>33</v>
      </c>
      <c r="E205" t="s">
        <v>28</v>
      </c>
      <c r="F205" t="s">
        <v>34</v>
      </c>
      <c r="G205">
        <v>2</v>
      </c>
      <c r="H205" s="6">
        <v>69313.710000000006</v>
      </c>
      <c r="I205" s="6">
        <v>3496.17</v>
      </c>
      <c r="J205">
        <v>20</v>
      </c>
      <c r="K205">
        <v>39</v>
      </c>
      <c r="L205" t="s">
        <v>30</v>
      </c>
      <c r="M205" t="s">
        <v>31</v>
      </c>
      <c r="N205">
        <v>5</v>
      </c>
      <c r="O205" s="4"/>
      <c r="P205" s="4" t="str">
        <f>IF(Data_Set_2[[#This Row],[valor_bruto]]&gt;$W$13,"OUTLIER+","")</f>
        <v/>
      </c>
      <c r="Q205" s="4" t="str">
        <f>IF(Data_Set_2[[#This Row],[valor_bruto]]&lt;$W$14,"OUTLIER-","")</f>
        <v/>
      </c>
      <c r="R205" s="4"/>
      <c r="S205" s="4"/>
      <c r="AB205" t="str">
        <v>RES-100203</v>
      </c>
      <c r="AC205">
        <v>45892</v>
      </c>
      <c r="AD205">
        <v>0.90347222222222223</v>
      </c>
      <c r="AE205" t="str">
        <v>Envigado</v>
      </c>
      <c r="AF205" t="str">
        <v>Recoge</v>
      </c>
      <c r="AG205" t="str">
        <v>Vegano</v>
      </c>
      <c r="AH205">
        <v>2</v>
      </c>
      <c r="AI205">
        <v>69313.710000000006</v>
      </c>
      <c r="AJ205">
        <v>3496.17</v>
      </c>
      <c r="AK205">
        <v>20</v>
      </c>
      <c r="AL205">
        <v>39</v>
      </c>
      <c r="AM205" t="str">
        <v>App</v>
      </c>
      <c r="AN205" t="str">
        <v>Reembolsada</v>
      </c>
      <c r="AO205">
        <v>5</v>
      </c>
    </row>
    <row r="206" spans="1:41" x14ac:dyDescent="0.3">
      <c r="A206" t="s">
        <v>236</v>
      </c>
      <c r="B206" s="8">
        <v>45893</v>
      </c>
      <c r="C206" s="2">
        <v>0.45</v>
      </c>
      <c r="D206" t="s">
        <v>15</v>
      </c>
      <c r="E206" t="s">
        <v>16</v>
      </c>
      <c r="F206" t="s">
        <v>36</v>
      </c>
      <c r="G206">
        <v>4</v>
      </c>
      <c r="H206" s="6">
        <v>57587.51</v>
      </c>
      <c r="I206" s="6">
        <v>6985.43</v>
      </c>
      <c r="J206">
        <v>16</v>
      </c>
      <c r="K206">
        <v>41</v>
      </c>
      <c r="L206" t="s">
        <v>18</v>
      </c>
      <c r="M206" t="s">
        <v>19</v>
      </c>
      <c r="N206">
        <v>3</v>
      </c>
      <c r="O206" s="4"/>
      <c r="P206" s="4" t="str">
        <f>IF(Data_Set_2[[#This Row],[valor_bruto]]&gt;$W$13,"OUTLIER+","")</f>
        <v/>
      </c>
      <c r="Q206" s="4" t="str">
        <f>IF(Data_Set_2[[#This Row],[valor_bruto]]&lt;$W$14,"OUTLIER-","")</f>
        <v/>
      </c>
      <c r="R206" s="4"/>
      <c r="S206" s="4"/>
      <c r="AB206" t="str">
        <v>RES-100204</v>
      </c>
      <c r="AC206">
        <v>45893</v>
      </c>
      <c r="AD206">
        <v>0.45</v>
      </c>
      <c r="AE206" t="str">
        <v>Laureles</v>
      </c>
      <c r="AF206" t="str">
        <v>Mesa</v>
      </c>
      <c r="AG206" t="str">
        <v>Bebidas</v>
      </c>
      <c r="AH206">
        <v>4</v>
      </c>
      <c r="AI206">
        <v>57587.51</v>
      </c>
      <c r="AJ206">
        <v>6985.43</v>
      </c>
      <c r="AK206">
        <v>16</v>
      </c>
      <c r="AL206">
        <v>41</v>
      </c>
      <c r="AM206" t="str">
        <v>Tarjeta</v>
      </c>
      <c r="AN206" t="str">
        <v>Entregada</v>
      </c>
      <c r="AO206">
        <v>3</v>
      </c>
    </row>
    <row r="207" spans="1:41" x14ac:dyDescent="0.3">
      <c r="A207" t="s">
        <v>237</v>
      </c>
      <c r="B207" s="8">
        <v>45894</v>
      </c>
      <c r="C207" s="2">
        <v>0.49652777777777779</v>
      </c>
      <c r="D207" t="s">
        <v>21</v>
      </c>
      <c r="E207" t="s">
        <v>22</v>
      </c>
      <c r="F207" t="s">
        <v>17</v>
      </c>
      <c r="G207">
        <v>6</v>
      </c>
      <c r="H207" s="6">
        <v>68039.83</v>
      </c>
      <c r="I207" s="6">
        <v>4247.6000000000004</v>
      </c>
      <c r="J207">
        <v>20</v>
      </c>
      <c r="K207">
        <v>38</v>
      </c>
      <c r="L207" t="s">
        <v>24</v>
      </c>
      <c r="M207" t="s">
        <v>25</v>
      </c>
      <c r="N207">
        <f>VLOOKUP(Data_Set_2[[#This Row],[estado]],M2:N206,2,0)</f>
        <v>3</v>
      </c>
      <c r="O207" s="4"/>
      <c r="P207" s="4" t="str">
        <f>IF(Data_Set_2[[#This Row],[valor_bruto]]&gt;$W$13,"OUTLIER+","")</f>
        <v/>
      </c>
      <c r="Q207" s="4" t="str">
        <f>IF(Data_Set_2[[#This Row],[valor_bruto]]&lt;$W$14,"OUTLIER-","")</f>
        <v/>
      </c>
      <c r="R207" s="4"/>
      <c r="S207" s="4"/>
      <c r="AB207" t="str">
        <v>RES-100205</v>
      </c>
      <c r="AC207">
        <v>45894</v>
      </c>
      <c r="AD207">
        <v>0.49652777777777779</v>
      </c>
      <c r="AE207" t="str">
        <v>Poblado</v>
      </c>
      <c r="AF207" t="str">
        <v>Domicilio</v>
      </c>
      <c r="AG207" t="str">
        <v>Comida rapida</v>
      </c>
      <c r="AH207">
        <v>6</v>
      </c>
      <c r="AI207">
        <v>68039.83</v>
      </c>
      <c r="AJ207">
        <v>4247.6000000000004</v>
      </c>
      <c r="AK207">
        <v>20</v>
      </c>
      <c r="AL207">
        <v>38</v>
      </c>
      <c r="AM207" t="str">
        <v>Efectivo</v>
      </c>
      <c r="AN207" t="str">
        <v>Cancelada</v>
      </c>
      <c r="AO207">
        <v>3</v>
      </c>
    </row>
    <row r="208" spans="1:41" x14ac:dyDescent="0.3">
      <c r="A208" t="s">
        <v>238</v>
      </c>
      <c r="B208" s="8">
        <v>45895</v>
      </c>
      <c r="C208" s="2">
        <v>0.50138888888888888</v>
      </c>
      <c r="D208" t="s">
        <v>27</v>
      </c>
      <c r="E208" t="s">
        <v>28</v>
      </c>
      <c r="F208" t="s">
        <v>23</v>
      </c>
      <c r="G208">
        <v>3</v>
      </c>
      <c r="H208" s="6">
        <v>35299.370000000003</v>
      </c>
      <c r="I208" s="6">
        <v>771.05</v>
      </c>
      <c r="J208">
        <v>27</v>
      </c>
      <c r="K208">
        <v>28</v>
      </c>
      <c r="L208" t="s">
        <v>30</v>
      </c>
      <c r="M208" t="s">
        <v>31</v>
      </c>
      <c r="N208">
        <v>3</v>
      </c>
      <c r="O208" s="4"/>
      <c r="P208" s="4" t="str">
        <f>IF(Data_Set_2[[#This Row],[valor_bruto]]&gt;$W$13,"OUTLIER+","")</f>
        <v/>
      </c>
      <c r="Q208" s="4" t="str">
        <f>IF(Data_Set_2[[#This Row],[valor_bruto]]&lt;$W$14,"OUTLIER-","")</f>
        <v/>
      </c>
      <c r="R208" s="4"/>
      <c r="S208" s="4"/>
      <c r="AB208" t="str">
        <v>RES-100206</v>
      </c>
      <c r="AC208">
        <v>45895</v>
      </c>
      <c r="AD208">
        <v>0.50138888888888888</v>
      </c>
      <c r="AE208" t="str">
        <v>Centro</v>
      </c>
      <c r="AF208" t="str">
        <v>Recoge</v>
      </c>
      <c r="AG208" t="str">
        <v>Pasta</v>
      </c>
      <c r="AH208">
        <v>3</v>
      </c>
      <c r="AI208">
        <v>35299.370000000003</v>
      </c>
      <c r="AJ208">
        <v>771.05</v>
      </c>
      <c r="AK208">
        <v>27</v>
      </c>
      <c r="AL208">
        <v>28</v>
      </c>
      <c r="AM208" t="str">
        <v>App</v>
      </c>
      <c r="AN208" t="str">
        <v>Reembolsada</v>
      </c>
      <c r="AO208">
        <v>3</v>
      </c>
    </row>
    <row r="209" spans="1:41" x14ac:dyDescent="0.3">
      <c r="A209" t="s">
        <v>239</v>
      </c>
      <c r="B209" s="8">
        <v>45896</v>
      </c>
      <c r="C209" s="2">
        <v>0.54791666666666672</v>
      </c>
      <c r="D209" t="s">
        <v>33</v>
      </c>
      <c r="E209" t="s">
        <v>16</v>
      </c>
      <c r="F209" t="s">
        <v>29</v>
      </c>
      <c r="G209">
        <v>5</v>
      </c>
      <c r="H209" s="6">
        <v>52950.35</v>
      </c>
      <c r="I209" s="6">
        <v>6449.77</v>
      </c>
      <c r="J209">
        <v>29</v>
      </c>
      <c r="K209">
        <v>40</v>
      </c>
      <c r="L209" t="s">
        <v>18</v>
      </c>
      <c r="M209" t="s">
        <v>19</v>
      </c>
      <c r="N209">
        <v>5</v>
      </c>
      <c r="O209" s="4"/>
      <c r="P209" s="4" t="str">
        <f>IF(Data_Set_2[[#This Row],[valor_bruto]]&gt;$W$13,"OUTLIER+","")</f>
        <v/>
      </c>
      <c r="Q209" s="4" t="str">
        <f>IF(Data_Set_2[[#This Row],[valor_bruto]]&lt;$W$14,"OUTLIER-","")</f>
        <v/>
      </c>
      <c r="R209" s="4"/>
      <c r="S209" s="4"/>
      <c r="AB209" t="str">
        <v>RES-100207</v>
      </c>
      <c r="AC209">
        <v>45896</v>
      </c>
      <c r="AD209">
        <v>0.54791666666666672</v>
      </c>
      <c r="AE209" t="str">
        <v>Envigado</v>
      </c>
      <c r="AF209" t="str">
        <v>Mesa</v>
      </c>
      <c r="AG209" t="str">
        <v>Parrilla</v>
      </c>
      <c r="AH209">
        <v>5</v>
      </c>
      <c r="AI209">
        <v>52950.35</v>
      </c>
      <c r="AJ209">
        <v>6449.77</v>
      </c>
      <c r="AK209">
        <v>29</v>
      </c>
      <c r="AL209">
        <v>40</v>
      </c>
      <c r="AM209" t="str">
        <v>Tarjeta</v>
      </c>
      <c r="AN209" t="str">
        <v>Entregada</v>
      </c>
      <c r="AO209">
        <v>5</v>
      </c>
    </row>
    <row r="210" spans="1:41" x14ac:dyDescent="0.3">
      <c r="A210" t="s">
        <v>240</v>
      </c>
      <c r="B210" s="8">
        <v>45897</v>
      </c>
      <c r="C210" s="2">
        <v>0.59444444444444444</v>
      </c>
      <c r="D210" t="s">
        <v>15</v>
      </c>
      <c r="E210" t="s">
        <v>22</v>
      </c>
      <c r="F210" t="s">
        <v>34</v>
      </c>
      <c r="G210">
        <v>2</v>
      </c>
      <c r="H210" s="6">
        <v>69760.34</v>
      </c>
      <c r="I210" s="6">
        <v>3759.86</v>
      </c>
      <c r="J210">
        <v>16</v>
      </c>
      <c r="K210">
        <v>47</v>
      </c>
      <c r="L210" t="s">
        <v>24</v>
      </c>
      <c r="M210" t="s">
        <v>25</v>
      </c>
      <c r="N210">
        <v>5</v>
      </c>
      <c r="O210" s="4"/>
      <c r="P210" s="4" t="str">
        <f>IF(Data_Set_2[[#This Row],[valor_bruto]]&gt;$W$13,"OUTLIER+","")</f>
        <v/>
      </c>
      <c r="Q210" s="4" t="str">
        <f>IF(Data_Set_2[[#This Row],[valor_bruto]]&lt;$W$14,"OUTLIER-","")</f>
        <v/>
      </c>
      <c r="R210" s="4"/>
      <c r="S210" s="4"/>
      <c r="AB210" t="str">
        <v>RES-100208</v>
      </c>
      <c r="AC210">
        <v>45897</v>
      </c>
      <c r="AD210">
        <v>0.59444444444444444</v>
      </c>
      <c r="AE210" t="str">
        <v>Laureles</v>
      </c>
      <c r="AF210" t="str">
        <v>Domicilio</v>
      </c>
      <c r="AG210" t="str">
        <v>Vegano</v>
      </c>
      <c r="AH210">
        <v>2</v>
      </c>
      <c r="AI210">
        <v>69760.34</v>
      </c>
      <c r="AJ210">
        <v>3759.86</v>
      </c>
      <c r="AK210">
        <v>16</v>
      </c>
      <c r="AL210">
        <v>47</v>
      </c>
      <c r="AM210" t="str">
        <v>Efectivo</v>
      </c>
      <c r="AN210" t="str">
        <v>Cancelada</v>
      </c>
      <c r="AO210">
        <v>5</v>
      </c>
    </row>
    <row r="211" spans="1:41" x14ac:dyDescent="0.3">
      <c r="A211" t="s">
        <v>241</v>
      </c>
      <c r="B211" s="8">
        <v>45898</v>
      </c>
      <c r="C211" s="2">
        <v>0.64097222222222228</v>
      </c>
      <c r="D211" t="s">
        <v>21</v>
      </c>
      <c r="E211" t="s">
        <v>28</v>
      </c>
      <c r="F211" t="s">
        <v>36</v>
      </c>
      <c r="G211">
        <v>3</v>
      </c>
      <c r="H211" s="6">
        <v>43573.24</v>
      </c>
      <c r="I211" s="6">
        <v>2155.8000000000002</v>
      </c>
      <c r="J211">
        <v>20</v>
      </c>
      <c r="K211">
        <v>52</v>
      </c>
      <c r="L211" t="s">
        <v>30</v>
      </c>
      <c r="M211" t="s">
        <v>31</v>
      </c>
      <c r="N211">
        <v>4</v>
      </c>
      <c r="O211" s="4"/>
      <c r="P211" s="4" t="str">
        <f>IF(Data_Set_2[[#This Row],[valor_bruto]]&gt;$W$13,"OUTLIER+","")</f>
        <v/>
      </c>
      <c r="Q211" s="4" t="str">
        <f>IF(Data_Set_2[[#This Row],[valor_bruto]]&lt;$W$14,"OUTLIER-","")</f>
        <v/>
      </c>
      <c r="R211" s="4"/>
      <c r="S211" s="4"/>
      <c r="AB211" t="str">
        <v>RES-100209</v>
      </c>
      <c r="AC211">
        <v>45898</v>
      </c>
      <c r="AD211">
        <v>0.64097222222222228</v>
      </c>
      <c r="AE211" t="str">
        <v>Poblado</v>
      </c>
      <c r="AF211" t="str">
        <v>Recoge</v>
      </c>
      <c r="AG211" t="str">
        <v>Bebidas</v>
      </c>
      <c r="AH211">
        <v>3</v>
      </c>
      <c r="AI211">
        <v>43573.24</v>
      </c>
      <c r="AJ211">
        <v>2155.8000000000002</v>
      </c>
      <c r="AK211">
        <v>20</v>
      </c>
      <c r="AL211">
        <v>52</v>
      </c>
      <c r="AM211" t="str">
        <v>App</v>
      </c>
      <c r="AN211" t="str">
        <v>Reembolsada</v>
      </c>
      <c r="AO211">
        <v>4</v>
      </c>
    </row>
    <row r="212" spans="1:41" x14ac:dyDescent="0.3">
      <c r="A212" t="s">
        <v>242</v>
      </c>
      <c r="B212" s="8">
        <v>45899</v>
      </c>
      <c r="C212" s="2">
        <v>0.6875</v>
      </c>
      <c r="D212" t="s">
        <v>27</v>
      </c>
      <c r="E212" t="s">
        <v>16</v>
      </c>
      <c r="F212" t="s">
        <v>17</v>
      </c>
      <c r="G212">
        <v>5</v>
      </c>
      <c r="H212" s="6">
        <v>66847.55</v>
      </c>
      <c r="I212" s="6">
        <v>6891.91</v>
      </c>
      <c r="J212">
        <v>20</v>
      </c>
      <c r="K212">
        <v>23</v>
      </c>
      <c r="L212" t="s">
        <v>18</v>
      </c>
      <c r="M212" t="s">
        <v>19</v>
      </c>
      <c r="N212">
        <v>4</v>
      </c>
      <c r="O212" s="4"/>
      <c r="P212" s="4" t="str">
        <f>IF(Data_Set_2[[#This Row],[valor_bruto]]&gt;$W$13,"OUTLIER+","")</f>
        <v/>
      </c>
      <c r="Q212" s="4" t="str">
        <f>IF(Data_Set_2[[#This Row],[valor_bruto]]&lt;$W$14,"OUTLIER-","")</f>
        <v/>
      </c>
      <c r="R212" s="4"/>
      <c r="S212" s="4"/>
      <c r="AB212" t="str">
        <v>RES-100210</v>
      </c>
      <c r="AC212">
        <v>45899</v>
      </c>
      <c r="AD212">
        <v>0.6875</v>
      </c>
      <c r="AE212" t="str">
        <v>Centro</v>
      </c>
      <c r="AF212" t="str">
        <v>Mesa</v>
      </c>
      <c r="AG212" t="str">
        <v>Comida rapida</v>
      </c>
      <c r="AH212">
        <v>5</v>
      </c>
      <c r="AI212">
        <v>66847.55</v>
      </c>
      <c r="AJ212">
        <v>6891.91</v>
      </c>
      <c r="AK212">
        <v>20</v>
      </c>
      <c r="AL212">
        <v>23</v>
      </c>
      <c r="AM212" t="str">
        <v>Tarjeta</v>
      </c>
      <c r="AN212" t="str">
        <v>Entregada</v>
      </c>
      <c r="AO212">
        <v>4</v>
      </c>
    </row>
    <row r="213" spans="1:41" x14ac:dyDescent="0.3">
      <c r="A213" t="s">
        <v>243</v>
      </c>
      <c r="B213" s="8">
        <v>45900</v>
      </c>
      <c r="C213" s="2">
        <v>0.73402777777777772</v>
      </c>
      <c r="D213" t="s">
        <v>33</v>
      </c>
      <c r="E213" t="s">
        <v>22</v>
      </c>
      <c r="F213" t="s">
        <v>23</v>
      </c>
      <c r="G213">
        <v>6</v>
      </c>
      <c r="H213" s="6">
        <v>44553.2</v>
      </c>
      <c r="I213" s="6">
        <v>974.61</v>
      </c>
      <c r="J213">
        <v>30</v>
      </c>
      <c r="K213">
        <v>40</v>
      </c>
      <c r="L213" t="s">
        <v>24</v>
      </c>
      <c r="M213" t="s">
        <v>25</v>
      </c>
      <c r="N213">
        <v>3</v>
      </c>
      <c r="O213" s="4"/>
      <c r="P213" s="4" t="str">
        <f>IF(Data_Set_2[[#This Row],[valor_bruto]]&gt;$W$13,"OUTLIER+","")</f>
        <v/>
      </c>
      <c r="Q213" s="4" t="str">
        <f>IF(Data_Set_2[[#This Row],[valor_bruto]]&lt;$W$14,"OUTLIER-","")</f>
        <v/>
      </c>
      <c r="R213" s="4"/>
      <c r="S213" s="4"/>
      <c r="AB213" t="str">
        <v>RES-100211</v>
      </c>
      <c r="AC213">
        <v>45900</v>
      </c>
      <c r="AD213">
        <v>0.73402777777777772</v>
      </c>
      <c r="AE213" t="str">
        <v>Envigado</v>
      </c>
      <c r="AF213" t="str">
        <v>Domicilio</v>
      </c>
      <c r="AG213" t="str">
        <v>Pasta</v>
      </c>
      <c r="AH213">
        <v>6</v>
      </c>
      <c r="AI213">
        <v>44553.2</v>
      </c>
      <c r="AJ213">
        <v>974.61</v>
      </c>
      <c r="AK213">
        <v>30</v>
      </c>
      <c r="AL213">
        <v>40</v>
      </c>
      <c r="AM213" t="str">
        <v>Efectivo</v>
      </c>
      <c r="AN213" t="str">
        <v>Cancelada</v>
      </c>
      <c r="AO213">
        <v>3</v>
      </c>
    </row>
    <row r="214" spans="1:41" x14ac:dyDescent="0.3">
      <c r="A214" t="s">
        <v>244</v>
      </c>
      <c r="B214" s="8">
        <v>45666</v>
      </c>
      <c r="C214" s="2">
        <v>0.78055555555555556</v>
      </c>
      <c r="D214" t="s">
        <v>15</v>
      </c>
      <c r="E214" t="s">
        <v>28</v>
      </c>
      <c r="F214" t="s">
        <v>29</v>
      </c>
      <c r="G214">
        <v>5</v>
      </c>
      <c r="H214" s="6">
        <v>37555.69</v>
      </c>
      <c r="I214" s="6">
        <v>4692.4399999999996</v>
      </c>
      <c r="J214">
        <v>30</v>
      </c>
      <c r="K214">
        <v>23</v>
      </c>
      <c r="L214" t="s">
        <v>30</v>
      </c>
      <c r="M214" t="s">
        <v>31</v>
      </c>
      <c r="N214">
        <v>4</v>
      </c>
      <c r="O214" s="4"/>
      <c r="P214" s="4" t="str">
        <f>IF(Data_Set_2[[#This Row],[valor_bruto]]&gt;$W$13,"OUTLIER+","")</f>
        <v/>
      </c>
      <c r="Q214" s="4" t="str">
        <f>IF(Data_Set_2[[#This Row],[valor_bruto]]&lt;$W$14,"OUTLIER-","")</f>
        <v/>
      </c>
      <c r="R214" s="4"/>
      <c r="S214" s="4"/>
      <c r="AB214" t="str">
        <v>RES-100212</v>
      </c>
      <c r="AC214">
        <v>45666</v>
      </c>
      <c r="AD214">
        <v>0.78055555555555556</v>
      </c>
      <c r="AE214" t="str">
        <v>Laureles</v>
      </c>
      <c r="AF214" t="str">
        <v>Recoge</v>
      </c>
      <c r="AG214" t="str">
        <v>Parrilla</v>
      </c>
      <c r="AH214">
        <v>5</v>
      </c>
      <c r="AI214">
        <v>37555.69</v>
      </c>
      <c r="AJ214">
        <v>4692.4399999999996</v>
      </c>
      <c r="AK214">
        <v>30</v>
      </c>
      <c r="AL214">
        <v>23</v>
      </c>
      <c r="AM214" t="str">
        <v>App</v>
      </c>
      <c r="AN214" t="str">
        <v>Reembolsada</v>
      </c>
      <c r="AO214">
        <v>4</v>
      </c>
    </row>
    <row r="215" spans="1:41" x14ac:dyDescent="0.3">
      <c r="A215" t="s">
        <v>245</v>
      </c>
      <c r="B215" s="8">
        <v>45902</v>
      </c>
      <c r="C215" s="2">
        <v>0.82708333333333328</v>
      </c>
      <c r="D215" t="s">
        <v>21</v>
      </c>
      <c r="E215" t="s">
        <v>16</v>
      </c>
      <c r="F215" t="s">
        <v>34</v>
      </c>
      <c r="G215">
        <v>4</v>
      </c>
      <c r="H215" s="6">
        <v>64856.65</v>
      </c>
      <c r="I215" s="6">
        <v>1715.09</v>
      </c>
      <c r="J215">
        <v>29</v>
      </c>
      <c r="K215">
        <v>39</v>
      </c>
      <c r="L215" t="s">
        <v>18</v>
      </c>
      <c r="M215" t="s">
        <v>19</v>
      </c>
      <c r="N215">
        <v>4</v>
      </c>
      <c r="O215" s="4"/>
      <c r="P215" s="4" t="str">
        <f>IF(Data_Set_2[[#This Row],[valor_bruto]]&gt;$W$13,"OUTLIER+","")</f>
        <v/>
      </c>
      <c r="Q215" s="4" t="str">
        <f>IF(Data_Set_2[[#This Row],[valor_bruto]]&lt;$W$14,"OUTLIER-","")</f>
        <v/>
      </c>
      <c r="R215" s="4"/>
      <c r="S215" s="4"/>
      <c r="AB215" t="str">
        <v>RES-100213</v>
      </c>
      <c r="AC215">
        <v>45902</v>
      </c>
      <c r="AD215">
        <v>0.82708333333333328</v>
      </c>
      <c r="AE215" t="str">
        <v>Poblado</v>
      </c>
      <c r="AF215" t="str">
        <v>Mesa</v>
      </c>
      <c r="AG215" t="str">
        <v>Vegano</v>
      </c>
      <c r="AH215">
        <v>4</v>
      </c>
      <c r="AI215">
        <v>64856.65</v>
      </c>
      <c r="AJ215">
        <v>1715.09</v>
      </c>
      <c r="AK215">
        <v>29</v>
      </c>
      <c r="AL215">
        <v>39</v>
      </c>
      <c r="AM215" t="str">
        <v>Tarjeta</v>
      </c>
      <c r="AN215" t="str">
        <v>Entregada</v>
      </c>
      <c r="AO215">
        <v>4</v>
      </c>
    </row>
    <row r="216" spans="1:41" x14ac:dyDescent="0.3">
      <c r="A216" t="s">
        <v>246</v>
      </c>
      <c r="B216" s="8">
        <v>45903</v>
      </c>
      <c r="C216" s="2">
        <v>0.87361111111111112</v>
      </c>
      <c r="D216" t="s">
        <v>27</v>
      </c>
      <c r="E216" t="s">
        <v>22</v>
      </c>
      <c r="F216" t="s">
        <v>36</v>
      </c>
      <c r="G216">
        <v>3</v>
      </c>
      <c r="H216" s="6">
        <v>30852.95</v>
      </c>
      <c r="I216" s="6">
        <v>4503.41</v>
      </c>
      <c r="J216">
        <v>24</v>
      </c>
      <c r="K216">
        <v>25</v>
      </c>
      <c r="L216" t="s">
        <v>24</v>
      </c>
      <c r="M216" t="s">
        <v>25</v>
      </c>
      <c r="N216">
        <v>4</v>
      </c>
      <c r="O216" s="4"/>
      <c r="P216" s="4" t="str">
        <f>IF(Data_Set_2[[#This Row],[valor_bruto]]&gt;$W$13,"OUTLIER+","")</f>
        <v/>
      </c>
      <c r="Q216" s="4" t="str">
        <f>IF(Data_Set_2[[#This Row],[valor_bruto]]&lt;$W$14,"OUTLIER-","")</f>
        <v/>
      </c>
      <c r="R216" s="4"/>
      <c r="S216" s="4"/>
      <c r="AB216" t="str">
        <v>RES-100214</v>
      </c>
      <c r="AC216">
        <v>45903</v>
      </c>
      <c r="AD216">
        <v>0.87361111111111112</v>
      </c>
      <c r="AE216" t="str">
        <v>Centro</v>
      </c>
      <c r="AF216" t="str">
        <v>Domicilio</v>
      </c>
      <c r="AG216" t="str">
        <v>Bebidas</v>
      </c>
      <c r="AH216">
        <v>3</v>
      </c>
      <c r="AI216">
        <v>30852.95</v>
      </c>
      <c r="AJ216">
        <v>4503.41</v>
      </c>
      <c r="AK216">
        <v>24</v>
      </c>
      <c r="AL216">
        <v>25</v>
      </c>
      <c r="AM216" t="str">
        <v>Efectivo</v>
      </c>
      <c r="AN216" t="str">
        <v>Cancelada</v>
      </c>
      <c r="AO216">
        <v>4</v>
      </c>
    </row>
    <row r="217" spans="1:41" x14ac:dyDescent="0.3">
      <c r="A217" t="s">
        <v>247</v>
      </c>
      <c r="B217" s="8">
        <v>45756</v>
      </c>
      <c r="C217" s="2">
        <v>0.87847222222222221</v>
      </c>
      <c r="D217" t="s">
        <v>33</v>
      </c>
      <c r="E217" t="s">
        <v>28</v>
      </c>
      <c r="F217" t="s">
        <v>17</v>
      </c>
      <c r="G217">
        <v>4</v>
      </c>
      <c r="H217" s="6">
        <v>65883.570000000007</v>
      </c>
      <c r="I217" s="6">
        <v>7573.77</v>
      </c>
      <c r="J217">
        <v>27</v>
      </c>
      <c r="K217">
        <v>52</v>
      </c>
      <c r="L217" t="s">
        <v>30</v>
      </c>
      <c r="M217" t="s">
        <v>31</v>
      </c>
      <c r="N217">
        <v>5</v>
      </c>
      <c r="O217" s="4"/>
      <c r="P217" s="4" t="str">
        <f>IF(Data_Set_2[[#This Row],[valor_bruto]]&gt;$W$13,"OUTLIER+","")</f>
        <v/>
      </c>
      <c r="Q217" s="4" t="str">
        <f>IF(Data_Set_2[[#This Row],[valor_bruto]]&lt;$W$14,"OUTLIER-","")</f>
        <v/>
      </c>
      <c r="R217" s="4"/>
      <c r="S217" s="4"/>
      <c r="AB217" t="str">
        <v>RES-100215</v>
      </c>
      <c r="AC217">
        <v>45756</v>
      </c>
      <c r="AD217">
        <v>0.87847222222222221</v>
      </c>
      <c r="AE217" t="str">
        <v>Envigado</v>
      </c>
      <c r="AF217" t="str">
        <v>Recoge</v>
      </c>
      <c r="AG217" t="str">
        <v>Comida rapida</v>
      </c>
      <c r="AH217">
        <v>4</v>
      </c>
      <c r="AI217">
        <v>65883.570000000007</v>
      </c>
      <c r="AJ217">
        <v>7573.77</v>
      </c>
      <c r="AK217">
        <v>27</v>
      </c>
      <c r="AL217">
        <v>52</v>
      </c>
      <c r="AM217" t="str">
        <v>App</v>
      </c>
      <c r="AN217" t="str">
        <v>Reembolsada</v>
      </c>
      <c r="AO217">
        <v>5</v>
      </c>
    </row>
    <row r="218" spans="1:41" x14ac:dyDescent="0.3">
      <c r="A218" t="s">
        <v>248</v>
      </c>
      <c r="B218" s="8">
        <v>45905</v>
      </c>
      <c r="C218" s="2">
        <v>0.42499999999999999</v>
      </c>
      <c r="D218" t="s">
        <v>15</v>
      </c>
      <c r="E218" t="s">
        <v>16</v>
      </c>
      <c r="F218" t="s">
        <v>23</v>
      </c>
      <c r="G218">
        <v>2</v>
      </c>
      <c r="H218" s="6">
        <v>26076.67</v>
      </c>
      <c r="I218" s="6">
        <v>6237.46</v>
      </c>
      <c r="J218">
        <v>14</v>
      </c>
      <c r="K218">
        <v>24</v>
      </c>
      <c r="L218" t="s">
        <v>18</v>
      </c>
      <c r="M218" t="s">
        <v>19</v>
      </c>
      <c r="N218">
        <v>4</v>
      </c>
      <c r="O218" s="4"/>
      <c r="P218" s="4" t="str">
        <f>IF(Data_Set_2[[#This Row],[valor_bruto]]&gt;$W$13,"OUTLIER+","")</f>
        <v/>
      </c>
      <c r="Q218" s="4" t="str">
        <f>IF(Data_Set_2[[#This Row],[valor_bruto]]&lt;$W$14,"OUTLIER-","")</f>
        <v/>
      </c>
      <c r="R218" s="4"/>
      <c r="S218" s="4"/>
      <c r="AB218" t="str">
        <v>RES-100216</v>
      </c>
      <c r="AC218">
        <v>45905</v>
      </c>
      <c r="AD218">
        <v>0.42499999999999999</v>
      </c>
      <c r="AE218" t="str">
        <v>Laureles</v>
      </c>
      <c r="AF218" t="str">
        <v>Mesa</v>
      </c>
      <c r="AG218" t="str">
        <v>Pasta</v>
      </c>
      <c r="AH218">
        <v>2</v>
      </c>
      <c r="AI218">
        <v>26076.67</v>
      </c>
      <c r="AJ218">
        <v>6237.46</v>
      </c>
      <c r="AK218">
        <v>14</v>
      </c>
      <c r="AL218">
        <v>24</v>
      </c>
      <c r="AM218" t="str">
        <v>Tarjeta</v>
      </c>
      <c r="AN218" t="str">
        <v>Entregada</v>
      </c>
      <c r="AO218">
        <v>4</v>
      </c>
    </row>
    <row r="219" spans="1:41" x14ac:dyDescent="0.3">
      <c r="A219" t="s">
        <v>249</v>
      </c>
      <c r="B219" s="8">
        <v>45906</v>
      </c>
      <c r="C219" s="2">
        <v>0.47152777777777777</v>
      </c>
      <c r="D219" t="s">
        <v>21</v>
      </c>
      <c r="E219" t="s">
        <v>22</v>
      </c>
      <c r="F219" t="s">
        <v>29</v>
      </c>
      <c r="G219">
        <v>5</v>
      </c>
      <c r="H219" s="6">
        <v>69553.59</v>
      </c>
      <c r="I219" s="6">
        <v>2519.17</v>
      </c>
      <c r="J219">
        <v>19</v>
      </c>
      <c r="K219">
        <v>32</v>
      </c>
      <c r="L219" t="s">
        <v>24</v>
      </c>
      <c r="M219" t="s">
        <v>25</v>
      </c>
      <c r="N219">
        <v>3</v>
      </c>
      <c r="O219" s="4"/>
      <c r="P219" s="4" t="str">
        <f>IF(Data_Set_2[[#This Row],[valor_bruto]]&gt;$W$13,"OUTLIER+","")</f>
        <v/>
      </c>
      <c r="Q219" s="4" t="str">
        <f>IF(Data_Set_2[[#This Row],[valor_bruto]]&lt;$W$14,"OUTLIER-","")</f>
        <v/>
      </c>
      <c r="R219" s="4"/>
      <c r="S219" s="4"/>
      <c r="AB219" t="str">
        <v>RES-100217</v>
      </c>
      <c r="AC219">
        <v>45906</v>
      </c>
      <c r="AD219">
        <v>0.47152777777777777</v>
      </c>
      <c r="AE219" t="str">
        <v>Poblado</v>
      </c>
      <c r="AF219" t="str">
        <v>Domicilio</v>
      </c>
      <c r="AG219" t="str">
        <v>Parrilla</v>
      </c>
      <c r="AH219">
        <v>5</v>
      </c>
      <c r="AI219">
        <v>69553.59</v>
      </c>
      <c r="AJ219">
        <v>2519.17</v>
      </c>
      <c r="AK219">
        <v>19</v>
      </c>
      <c r="AL219">
        <v>32</v>
      </c>
      <c r="AM219" t="str">
        <v>Efectivo</v>
      </c>
      <c r="AN219" t="str">
        <v>Cancelada</v>
      </c>
      <c r="AO219">
        <v>3</v>
      </c>
    </row>
    <row r="220" spans="1:41" x14ac:dyDescent="0.3">
      <c r="A220" t="s">
        <v>250</v>
      </c>
      <c r="B220" s="8">
        <v>45847</v>
      </c>
      <c r="C220" s="2">
        <v>0.5180555555555556</v>
      </c>
      <c r="D220" t="s">
        <v>27</v>
      </c>
      <c r="E220" t="s">
        <v>28</v>
      </c>
      <c r="F220" t="s">
        <v>34</v>
      </c>
      <c r="G220">
        <v>3</v>
      </c>
      <c r="H220" s="6">
        <v>35626.629999999997</v>
      </c>
      <c r="I220" s="6">
        <v>4498.6000000000004</v>
      </c>
      <c r="J220">
        <v>26</v>
      </c>
      <c r="K220">
        <v>36</v>
      </c>
      <c r="L220" t="s">
        <v>30</v>
      </c>
      <c r="M220" t="s">
        <v>31</v>
      </c>
      <c r="N220">
        <v>4</v>
      </c>
      <c r="O220" s="4"/>
      <c r="P220" s="4" t="str">
        <f>IF(Data_Set_2[[#This Row],[valor_bruto]]&gt;$W$13,"OUTLIER+","")</f>
        <v/>
      </c>
      <c r="Q220" s="4" t="str">
        <f>IF(Data_Set_2[[#This Row],[valor_bruto]]&lt;$W$14,"OUTLIER-","")</f>
        <v/>
      </c>
      <c r="R220" s="4"/>
      <c r="S220" s="4"/>
      <c r="AB220" t="str">
        <v>RES-100218</v>
      </c>
      <c r="AC220">
        <v>45847</v>
      </c>
      <c r="AD220">
        <v>0.5180555555555556</v>
      </c>
      <c r="AE220" t="str">
        <v>Centro</v>
      </c>
      <c r="AF220" t="str">
        <v>Recoge</v>
      </c>
      <c r="AG220" t="str">
        <v>Vegano</v>
      </c>
      <c r="AH220">
        <v>3</v>
      </c>
      <c r="AI220">
        <v>35626.629999999997</v>
      </c>
      <c r="AJ220">
        <v>4498.6000000000004</v>
      </c>
      <c r="AK220">
        <v>26</v>
      </c>
      <c r="AL220">
        <v>36</v>
      </c>
      <c r="AM220" t="str">
        <v>App</v>
      </c>
      <c r="AN220" t="str">
        <v>Reembolsada</v>
      </c>
      <c r="AO220">
        <v>4</v>
      </c>
    </row>
    <row r="221" spans="1:41" x14ac:dyDescent="0.3">
      <c r="A221" t="s">
        <v>251</v>
      </c>
      <c r="B221" s="8">
        <v>45908</v>
      </c>
      <c r="C221" s="2">
        <v>0.56458333333333333</v>
      </c>
      <c r="D221" t="s">
        <v>33</v>
      </c>
      <c r="E221" t="s">
        <v>16</v>
      </c>
      <c r="F221" t="s">
        <v>36</v>
      </c>
      <c r="G221">
        <v>5</v>
      </c>
      <c r="H221" s="6">
        <v>44018.9</v>
      </c>
      <c r="I221" s="6">
        <v>3169.25</v>
      </c>
      <c r="J221">
        <v>29</v>
      </c>
      <c r="K221">
        <v>27</v>
      </c>
      <c r="L221" t="s">
        <v>18</v>
      </c>
      <c r="M221" t="s">
        <v>19</v>
      </c>
      <c r="N221">
        <v>4</v>
      </c>
      <c r="O221" s="4"/>
      <c r="P221" s="4" t="str">
        <f>IF(Data_Set_2[[#This Row],[valor_bruto]]&gt;$W$13,"OUTLIER+","")</f>
        <v/>
      </c>
      <c r="Q221" s="4" t="str">
        <f>IF(Data_Set_2[[#This Row],[valor_bruto]]&lt;$W$14,"OUTLIER-","")</f>
        <v/>
      </c>
      <c r="R221" s="4"/>
      <c r="S221" s="4"/>
      <c r="AB221" t="str">
        <v>RES-100219</v>
      </c>
      <c r="AC221">
        <v>45908</v>
      </c>
      <c r="AD221">
        <v>0.56458333333333333</v>
      </c>
      <c r="AE221" t="str">
        <v>Envigado</v>
      </c>
      <c r="AF221" t="str">
        <v>Mesa</v>
      </c>
      <c r="AG221" t="str">
        <v>Bebidas</v>
      </c>
      <c r="AH221">
        <v>5</v>
      </c>
      <c r="AI221">
        <v>44018.9</v>
      </c>
      <c r="AJ221">
        <v>3169.25</v>
      </c>
      <c r="AK221">
        <v>29</v>
      </c>
      <c r="AL221">
        <v>27</v>
      </c>
      <c r="AM221" t="str">
        <v>Tarjeta</v>
      </c>
      <c r="AN221" t="str">
        <v>Entregada</v>
      </c>
      <c r="AO221">
        <v>4</v>
      </c>
    </row>
    <row r="222" spans="1:41" x14ac:dyDescent="0.3">
      <c r="A222" t="s">
        <v>252</v>
      </c>
      <c r="B222" s="8">
        <v>45909</v>
      </c>
      <c r="C222" s="2">
        <v>0.61111111111111116</v>
      </c>
      <c r="D222" t="s">
        <v>15</v>
      </c>
      <c r="E222" t="s">
        <v>22</v>
      </c>
      <c r="F222" t="s">
        <v>17</v>
      </c>
      <c r="G222">
        <v>5</v>
      </c>
      <c r="H222" s="6">
        <v>36013.25</v>
      </c>
      <c r="I222" s="6">
        <v>5766.03</v>
      </c>
      <c r="J222">
        <v>19</v>
      </c>
      <c r="K222">
        <v>41</v>
      </c>
      <c r="L222" t="s">
        <v>24</v>
      </c>
      <c r="M222" t="s">
        <v>25</v>
      </c>
      <c r="N222">
        <v>4</v>
      </c>
      <c r="O222" s="4"/>
      <c r="P222" s="4" t="str">
        <f>IF(Data_Set_2[[#This Row],[valor_bruto]]&gt;$W$13,"OUTLIER+","")</f>
        <v/>
      </c>
      <c r="Q222" s="4" t="str">
        <f>IF(Data_Set_2[[#This Row],[valor_bruto]]&lt;$W$14,"OUTLIER-","")</f>
        <v/>
      </c>
      <c r="R222" s="4"/>
      <c r="S222" s="4"/>
      <c r="AB222" t="str">
        <v>RES-100220</v>
      </c>
      <c r="AC222">
        <v>45909</v>
      </c>
      <c r="AD222">
        <v>0.61111111111111116</v>
      </c>
      <c r="AE222" t="str">
        <v>Laureles</v>
      </c>
      <c r="AF222" t="str">
        <v>Domicilio</v>
      </c>
      <c r="AG222" t="str">
        <v>Comida rapida</v>
      </c>
      <c r="AH222">
        <v>5</v>
      </c>
      <c r="AI222">
        <v>36013.25</v>
      </c>
      <c r="AJ222">
        <v>5766.03</v>
      </c>
      <c r="AK222">
        <v>19</v>
      </c>
      <c r="AL222">
        <v>41</v>
      </c>
      <c r="AM222" t="str">
        <v>Efectivo</v>
      </c>
      <c r="AN222" t="str">
        <v>Cancelada</v>
      </c>
      <c r="AO222">
        <v>4</v>
      </c>
    </row>
    <row r="223" spans="1:41" x14ac:dyDescent="0.3">
      <c r="A223" t="s">
        <v>253</v>
      </c>
      <c r="B223" s="8">
        <v>45939</v>
      </c>
      <c r="C223" s="2">
        <v>0.65763888888888888</v>
      </c>
      <c r="D223" t="s">
        <v>21</v>
      </c>
      <c r="E223" t="s">
        <v>28</v>
      </c>
      <c r="F223" t="s">
        <v>23</v>
      </c>
      <c r="G223">
        <v>3</v>
      </c>
      <c r="H223" s="6">
        <v>62938.5</v>
      </c>
      <c r="I223" s="6">
        <v>5835.99</v>
      </c>
      <c r="J223">
        <v>25</v>
      </c>
      <c r="K223">
        <v>35</v>
      </c>
      <c r="L223" t="s">
        <v>30</v>
      </c>
      <c r="M223" t="s">
        <v>31</v>
      </c>
      <c r="N223">
        <f>VLOOKUP(Data_Set_2[[#This Row],[estado]],M2:N222,2,0)</f>
        <v>5</v>
      </c>
      <c r="O223" s="4"/>
      <c r="P223" s="4" t="str">
        <f>IF(Data_Set_2[[#This Row],[valor_bruto]]&gt;$W$13,"OUTLIER+","")</f>
        <v/>
      </c>
      <c r="Q223" s="4" t="str">
        <f>IF(Data_Set_2[[#This Row],[valor_bruto]]&lt;$W$14,"OUTLIER-","")</f>
        <v/>
      </c>
      <c r="R223" s="4"/>
      <c r="S223" s="4"/>
      <c r="AB223" t="str">
        <v>RES-100221</v>
      </c>
      <c r="AC223">
        <v>45939</v>
      </c>
      <c r="AD223">
        <v>0.65763888888888888</v>
      </c>
      <c r="AE223" t="str">
        <v>Poblado</v>
      </c>
      <c r="AF223" t="str">
        <v>Recoge</v>
      </c>
      <c r="AG223" t="str">
        <v>Pasta</v>
      </c>
      <c r="AH223">
        <v>3</v>
      </c>
      <c r="AI223">
        <v>62938.5</v>
      </c>
      <c r="AJ223">
        <v>5835.99</v>
      </c>
      <c r="AK223">
        <v>25</v>
      </c>
      <c r="AL223">
        <v>35</v>
      </c>
      <c r="AM223" t="str">
        <v>App</v>
      </c>
      <c r="AN223" t="str">
        <v>Reembolsada</v>
      </c>
      <c r="AO223">
        <v>5</v>
      </c>
    </row>
    <row r="224" spans="1:41" x14ac:dyDescent="0.3">
      <c r="A224" t="s">
        <v>254</v>
      </c>
      <c r="B224" s="8">
        <v>45911</v>
      </c>
      <c r="C224" s="2">
        <v>0.70416666666666672</v>
      </c>
      <c r="D224" t="s">
        <v>27</v>
      </c>
      <c r="E224" t="s">
        <v>16</v>
      </c>
      <c r="F224" t="s">
        <v>29</v>
      </c>
      <c r="G224">
        <v>4</v>
      </c>
      <c r="H224" s="6">
        <v>34925.339999999997</v>
      </c>
      <c r="I224" s="6">
        <v>5952.54</v>
      </c>
      <c r="J224">
        <v>26</v>
      </c>
      <c r="K224">
        <v>49</v>
      </c>
      <c r="L224" t="s">
        <v>18</v>
      </c>
      <c r="M224" t="s">
        <v>19</v>
      </c>
      <c r="N224">
        <v>3</v>
      </c>
      <c r="O224" s="4"/>
      <c r="P224" s="4" t="str">
        <f>IF(Data_Set_2[[#This Row],[valor_bruto]]&gt;$W$13,"OUTLIER+","")</f>
        <v/>
      </c>
      <c r="Q224" s="4" t="str">
        <f>IF(Data_Set_2[[#This Row],[valor_bruto]]&lt;$W$14,"OUTLIER-","")</f>
        <v/>
      </c>
      <c r="R224" s="4"/>
      <c r="S224" s="4"/>
      <c r="AB224" t="str">
        <v>RES-100222</v>
      </c>
      <c r="AC224">
        <v>45911</v>
      </c>
      <c r="AD224">
        <v>0.70416666666666672</v>
      </c>
      <c r="AE224" t="str">
        <v>Centro</v>
      </c>
      <c r="AF224" t="str">
        <v>Mesa</v>
      </c>
      <c r="AG224" t="str">
        <v>Parrilla</v>
      </c>
      <c r="AH224">
        <v>4</v>
      </c>
      <c r="AI224">
        <v>34925.339999999997</v>
      </c>
      <c r="AJ224">
        <v>5952.54</v>
      </c>
      <c r="AK224">
        <v>26</v>
      </c>
      <c r="AL224">
        <v>49</v>
      </c>
      <c r="AM224" t="str">
        <v>Tarjeta</v>
      </c>
      <c r="AN224" t="str">
        <v>Entregada</v>
      </c>
      <c r="AO224">
        <v>3</v>
      </c>
    </row>
    <row r="225" spans="1:41" x14ac:dyDescent="0.3">
      <c r="A225" t="s">
        <v>255</v>
      </c>
      <c r="B225" s="8">
        <v>45912</v>
      </c>
      <c r="C225" s="2">
        <v>0.70902777777777781</v>
      </c>
      <c r="D225" t="s">
        <v>33</v>
      </c>
      <c r="E225" t="s">
        <v>22</v>
      </c>
      <c r="F225" t="s">
        <v>34</v>
      </c>
      <c r="G225">
        <v>4</v>
      </c>
      <c r="H225" s="6">
        <v>31639.64</v>
      </c>
      <c r="I225" s="6">
        <v>6272.54</v>
      </c>
      <c r="J225">
        <v>14</v>
      </c>
      <c r="K225">
        <v>39</v>
      </c>
      <c r="L225" t="s">
        <v>24</v>
      </c>
      <c r="M225" t="s">
        <v>25</v>
      </c>
      <c r="N225">
        <v>5</v>
      </c>
      <c r="O225" s="4"/>
      <c r="P225" s="4" t="str">
        <f>IF(Data_Set_2[[#This Row],[valor_bruto]]&gt;$W$13,"OUTLIER+","")</f>
        <v/>
      </c>
      <c r="Q225" s="4" t="str">
        <f>IF(Data_Set_2[[#This Row],[valor_bruto]]&lt;$W$14,"OUTLIER-","")</f>
        <v/>
      </c>
      <c r="R225" s="4"/>
      <c r="S225" s="4"/>
      <c r="AB225" t="str">
        <v>RES-100223</v>
      </c>
      <c r="AC225">
        <v>45912</v>
      </c>
      <c r="AD225">
        <v>0.70902777777777781</v>
      </c>
      <c r="AE225" t="str">
        <v>Envigado</v>
      </c>
      <c r="AF225" t="str">
        <v>Domicilio</v>
      </c>
      <c r="AG225" t="str">
        <v>Vegano</v>
      </c>
      <c r="AH225">
        <v>4</v>
      </c>
      <c r="AI225">
        <v>31639.64</v>
      </c>
      <c r="AJ225">
        <v>6272.54</v>
      </c>
      <c r="AK225">
        <v>14</v>
      </c>
      <c r="AL225">
        <v>39</v>
      </c>
      <c r="AM225" t="str">
        <v>Efectivo</v>
      </c>
      <c r="AN225" t="str">
        <v>Cancelada</v>
      </c>
      <c r="AO225">
        <v>5</v>
      </c>
    </row>
    <row r="226" spans="1:41" x14ac:dyDescent="0.3">
      <c r="A226" t="s">
        <v>256</v>
      </c>
      <c r="B226" s="8">
        <v>45913</v>
      </c>
      <c r="C226" s="2">
        <v>0.75555555555555554</v>
      </c>
      <c r="D226" t="s">
        <v>15</v>
      </c>
      <c r="E226" t="s">
        <v>28</v>
      </c>
      <c r="F226" t="s">
        <v>36</v>
      </c>
      <c r="G226">
        <v>6</v>
      </c>
      <c r="H226" s="6">
        <v>49659.57</v>
      </c>
      <c r="I226" s="6">
        <v>2115.5100000000002</v>
      </c>
      <c r="J226">
        <v>25</v>
      </c>
      <c r="K226">
        <v>31</v>
      </c>
      <c r="L226" t="s">
        <v>30</v>
      </c>
      <c r="M226" t="s">
        <v>31</v>
      </c>
      <c r="N226">
        <v>5</v>
      </c>
      <c r="O226" s="4"/>
      <c r="P226" s="4" t="str">
        <f>IF(Data_Set_2[[#This Row],[valor_bruto]]&gt;$W$13,"OUTLIER+","")</f>
        <v/>
      </c>
      <c r="Q226" s="4" t="str">
        <f>IF(Data_Set_2[[#This Row],[valor_bruto]]&lt;$W$14,"OUTLIER-","")</f>
        <v/>
      </c>
      <c r="R226" s="4"/>
      <c r="S226" s="4"/>
      <c r="AB226" t="str">
        <v>RES-100224</v>
      </c>
      <c r="AC226">
        <v>45913</v>
      </c>
      <c r="AD226">
        <v>0.75555555555555554</v>
      </c>
      <c r="AE226" t="str">
        <v>Laureles</v>
      </c>
      <c r="AF226" t="str">
        <v>Recoge</v>
      </c>
      <c r="AG226" t="str">
        <v>Bebidas</v>
      </c>
      <c r="AH226">
        <v>6</v>
      </c>
      <c r="AI226">
        <v>49659.57</v>
      </c>
      <c r="AJ226">
        <v>2115.5100000000002</v>
      </c>
      <c r="AK226">
        <v>25</v>
      </c>
      <c r="AL226">
        <v>31</v>
      </c>
      <c r="AM226" t="str">
        <v>App</v>
      </c>
      <c r="AN226" t="str">
        <v>Reembolsada</v>
      </c>
      <c r="AO226">
        <v>5</v>
      </c>
    </row>
    <row r="227" spans="1:41" x14ac:dyDescent="0.3">
      <c r="A227" t="s">
        <v>257</v>
      </c>
      <c r="B227" s="8">
        <v>45914</v>
      </c>
      <c r="C227" s="2">
        <v>0.80208333333333337</v>
      </c>
      <c r="D227" t="s">
        <v>21</v>
      </c>
      <c r="E227" t="s">
        <v>16</v>
      </c>
      <c r="F227" t="s">
        <v>17</v>
      </c>
      <c r="G227">
        <v>3</v>
      </c>
      <c r="H227" s="6">
        <v>37351.61</v>
      </c>
      <c r="I227" s="6">
        <v>7954.81</v>
      </c>
      <c r="J227">
        <v>21</v>
      </c>
      <c r="K227">
        <v>36</v>
      </c>
      <c r="L227" t="s">
        <v>18</v>
      </c>
      <c r="M227" t="s">
        <v>19</v>
      </c>
      <c r="N227">
        <v>3</v>
      </c>
      <c r="O227" s="4"/>
      <c r="P227" s="4" t="str">
        <f>IF(Data_Set_2[[#This Row],[valor_bruto]]&gt;$W$13,"OUTLIER+","")</f>
        <v/>
      </c>
      <c r="Q227" s="4" t="str">
        <f>IF(Data_Set_2[[#This Row],[valor_bruto]]&lt;$W$14,"OUTLIER-","")</f>
        <v/>
      </c>
      <c r="R227" s="4"/>
      <c r="S227" s="4"/>
      <c r="AB227" t="str">
        <v>RES-100225</v>
      </c>
      <c r="AC227">
        <v>45914</v>
      </c>
      <c r="AD227">
        <v>0.80208333333333337</v>
      </c>
      <c r="AE227" t="str">
        <v>Poblado</v>
      </c>
      <c r="AF227" t="str">
        <v>Mesa</v>
      </c>
      <c r="AG227" t="str">
        <v>Comida rapida</v>
      </c>
      <c r="AH227">
        <v>3</v>
      </c>
      <c r="AI227">
        <v>37351.61</v>
      </c>
      <c r="AJ227">
        <v>7954.81</v>
      </c>
      <c r="AK227">
        <v>21</v>
      </c>
      <c r="AL227">
        <v>36</v>
      </c>
      <c r="AM227" t="str">
        <v>Tarjeta</v>
      </c>
      <c r="AN227" t="str">
        <v>Entregada</v>
      </c>
      <c r="AO227">
        <v>3</v>
      </c>
    </row>
    <row r="228" spans="1:41" x14ac:dyDescent="0.3">
      <c r="A228" t="s">
        <v>258</v>
      </c>
      <c r="B228" s="8">
        <v>45915</v>
      </c>
      <c r="C228" s="2">
        <v>0.84861111111111109</v>
      </c>
      <c r="D228" t="s">
        <v>27</v>
      </c>
      <c r="E228" t="s">
        <v>22</v>
      </c>
      <c r="F228" t="s">
        <v>23</v>
      </c>
      <c r="G228">
        <v>4</v>
      </c>
      <c r="H228" s="6">
        <v>44418.8</v>
      </c>
      <c r="I228" s="6">
        <v>889.56</v>
      </c>
      <c r="J228">
        <v>23</v>
      </c>
      <c r="K228">
        <v>46</v>
      </c>
      <c r="L228" t="s">
        <v>24</v>
      </c>
      <c r="M228" t="s">
        <v>25</v>
      </c>
      <c r="N228">
        <v>4</v>
      </c>
      <c r="O228" s="4"/>
      <c r="P228" s="4" t="str">
        <f>IF(Data_Set_2[[#This Row],[valor_bruto]]&gt;$W$13,"OUTLIER+","")</f>
        <v/>
      </c>
      <c r="Q228" s="4" t="str">
        <f>IF(Data_Set_2[[#This Row],[valor_bruto]]&lt;$W$14,"OUTLIER-","")</f>
        <v/>
      </c>
      <c r="R228" s="4"/>
      <c r="S228" s="4"/>
      <c r="AB228" t="str">
        <v>RES-100226</v>
      </c>
      <c r="AC228">
        <v>45915</v>
      </c>
      <c r="AD228">
        <v>0.84861111111111109</v>
      </c>
      <c r="AE228" t="str">
        <v>Centro</v>
      </c>
      <c r="AF228" t="str">
        <v>Domicilio</v>
      </c>
      <c r="AG228" t="str">
        <v>Pasta</v>
      </c>
      <c r="AH228">
        <v>4</v>
      </c>
      <c r="AI228">
        <v>44418.8</v>
      </c>
      <c r="AJ228">
        <v>889.56</v>
      </c>
      <c r="AK228">
        <v>23</v>
      </c>
      <c r="AL228">
        <v>46</v>
      </c>
      <c r="AM228" t="str">
        <v>Efectivo</v>
      </c>
      <c r="AN228" t="str">
        <v>Cancelada</v>
      </c>
      <c r="AO228">
        <v>4</v>
      </c>
    </row>
    <row r="229" spans="1:41" x14ac:dyDescent="0.3">
      <c r="A229" t="s">
        <v>259</v>
      </c>
      <c r="B229" s="8">
        <v>45916</v>
      </c>
      <c r="C229" s="2">
        <v>0.89513888888888893</v>
      </c>
      <c r="D229" t="s">
        <v>33</v>
      </c>
      <c r="E229" t="s">
        <v>28</v>
      </c>
      <c r="F229" t="s">
        <v>29</v>
      </c>
      <c r="G229">
        <v>3</v>
      </c>
      <c r="H229" s="6">
        <v>30388.05</v>
      </c>
      <c r="I229" s="6">
        <v>7854.06</v>
      </c>
      <c r="J229">
        <v>29</v>
      </c>
      <c r="K229">
        <v>43</v>
      </c>
      <c r="L229" t="s">
        <v>30</v>
      </c>
      <c r="M229" t="s">
        <v>31</v>
      </c>
      <c r="N229">
        <v>4</v>
      </c>
      <c r="O229" s="4"/>
      <c r="P229" s="4" t="str">
        <f>IF(Data_Set_2[[#This Row],[valor_bruto]]&gt;$W$13,"OUTLIER+","")</f>
        <v/>
      </c>
      <c r="Q229" s="4" t="str">
        <f>IF(Data_Set_2[[#This Row],[valor_bruto]]&lt;$W$14,"OUTLIER-","")</f>
        <v/>
      </c>
      <c r="R229" s="4"/>
      <c r="S229" s="4"/>
      <c r="AB229" t="str">
        <v>RES-100227</v>
      </c>
      <c r="AC229">
        <v>45916</v>
      </c>
      <c r="AD229">
        <v>0.89513888888888893</v>
      </c>
      <c r="AE229" t="str">
        <v>Envigado</v>
      </c>
      <c r="AF229" t="str">
        <v>Recoge</v>
      </c>
      <c r="AG229" t="str">
        <v>Parrilla</v>
      </c>
      <c r="AH229">
        <v>3</v>
      </c>
      <c r="AI229">
        <v>30388.05</v>
      </c>
      <c r="AJ229">
        <v>7854.06</v>
      </c>
      <c r="AK229">
        <v>29</v>
      </c>
      <c r="AL229">
        <v>43</v>
      </c>
      <c r="AM229" t="str">
        <v>App</v>
      </c>
      <c r="AN229" t="str">
        <v>Reembolsada</v>
      </c>
      <c r="AO229">
        <v>4</v>
      </c>
    </row>
    <row r="230" spans="1:41" x14ac:dyDescent="0.3">
      <c r="A230" t="s">
        <v>260</v>
      </c>
      <c r="B230" s="8">
        <v>45917</v>
      </c>
      <c r="C230" s="2">
        <v>0.44166666666666665</v>
      </c>
      <c r="D230" t="s">
        <v>15</v>
      </c>
      <c r="E230" t="s">
        <v>16</v>
      </c>
      <c r="F230" t="s">
        <v>34</v>
      </c>
      <c r="G230">
        <v>3</v>
      </c>
      <c r="H230" s="6">
        <v>66253.95</v>
      </c>
      <c r="I230" s="6">
        <v>5339.21</v>
      </c>
      <c r="J230">
        <v>24</v>
      </c>
      <c r="K230">
        <v>34</v>
      </c>
      <c r="L230" t="s">
        <v>18</v>
      </c>
      <c r="M230" t="s">
        <v>19</v>
      </c>
      <c r="N230">
        <v>4</v>
      </c>
      <c r="O230" s="4"/>
      <c r="P230" s="4" t="str">
        <f>IF(Data_Set_2[[#This Row],[valor_bruto]]&gt;$W$13,"OUTLIER+","")</f>
        <v/>
      </c>
      <c r="Q230" s="4" t="str">
        <f>IF(Data_Set_2[[#This Row],[valor_bruto]]&lt;$W$14,"OUTLIER-","")</f>
        <v/>
      </c>
      <c r="R230" s="4"/>
      <c r="S230" s="4"/>
      <c r="AB230" t="str">
        <v>RES-100228</v>
      </c>
      <c r="AC230">
        <v>45917</v>
      </c>
      <c r="AD230">
        <v>0.44166666666666665</v>
      </c>
      <c r="AE230" t="str">
        <v>Laureles</v>
      </c>
      <c r="AF230" t="str">
        <v>Mesa</v>
      </c>
      <c r="AG230" t="str">
        <v>Vegano</v>
      </c>
      <c r="AH230">
        <v>3</v>
      </c>
      <c r="AI230">
        <v>66253.95</v>
      </c>
      <c r="AJ230">
        <v>5339.21</v>
      </c>
      <c r="AK230">
        <v>24</v>
      </c>
      <c r="AL230">
        <v>34</v>
      </c>
      <c r="AM230" t="str">
        <v>Tarjeta</v>
      </c>
      <c r="AN230" t="str">
        <v>Entregada</v>
      </c>
      <c r="AO230">
        <v>4</v>
      </c>
    </row>
    <row r="231" spans="1:41" x14ac:dyDescent="0.3">
      <c r="A231" t="s">
        <v>261</v>
      </c>
      <c r="B231" s="8">
        <v>45918</v>
      </c>
      <c r="C231" s="2">
        <v>0.48819444444444443</v>
      </c>
      <c r="D231" t="s">
        <v>21</v>
      </c>
      <c r="E231" t="s">
        <v>22</v>
      </c>
      <c r="F231" t="s">
        <v>36</v>
      </c>
      <c r="G231">
        <v>5</v>
      </c>
      <c r="H231" s="6">
        <v>41145.08</v>
      </c>
      <c r="I231" s="6">
        <v>1761.51</v>
      </c>
      <c r="J231">
        <v>17</v>
      </c>
      <c r="K231">
        <v>39</v>
      </c>
      <c r="L231" t="s">
        <v>24</v>
      </c>
      <c r="M231" t="s">
        <v>25</v>
      </c>
      <c r="N231">
        <v>3</v>
      </c>
      <c r="O231" s="4"/>
      <c r="P231" s="4" t="str">
        <f>IF(Data_Set_2[[#This Row],[valor_bruto]]&gt;$W$13,"OUTLIER+","")</f>
        <v/>
      </c>
      <c r="Q231" s="4" t="str">
        <f>IF(Data_Set_2[[#This Row],[valor_bruto]]&lt;$W$14,"OUTLIER-","")</f>
        <v/>
      </c>
      <c r="R231" s="4"/>
      <c r="S231" s="4"/>
      <c r="AB231" t="str">
        <v>RES-100229</v>
      </c>
      <c r="AC231">
        <v>45918</v>
      </c>
      <c r="AD231">
        <v>0.48819444444444443</v>
      </c>
      <c r="AE231" t="str">
        <v>Poblado</v>
      </c>
      <c r="AF231" t="str">
        <v>Domicilio</v>
      </c>
      <c r="AG231" t="str">
        <v>Bebidas</v>
      </c>
      <c r="AH231">
        <v>5</v>
      </c>
      <c r="AI231">
        <v>41145.08</v>
      </c>
      <c r="AJ231">
        <v>1761.51</v>
      </c>
      <c r="AK231">
        <v>17</v>
      </c>
      <c r="AL231">
        <v>39</v>
      </c>
      <c r="AM231" t="str">
        <v>Efectivo</v>
      </c>
      <c r="AN231" t="str">
        <v>Cancelada</v>
      </c>
      <c r="AO231">
        <v>3</v>
      </c>
    </row>
    <row r="232" spans="1:41" x14ac:dyDescent="0.3">
      <c r="A232" t="s">
        <v>262</v>
      </c>
      <c r="B232" s="8">
        <v>45919</v>
      </c>
      <c r="C232" s="2">
        <v>0.53472222222222221</v>
      </c>
      <c r="D232" t="s">
        <v>27</v>
      </c>
      <c r="E232" t="s">
        <v>28</v>
      </c>
      <c r="F232" t="s">
        <v>17</v>
      </c>
      <c r="G232">
        <v>4</v>
      </c>
      <c r="H232" s="6">
        <v>33680.54</v>
      </c>
      <c r="I232" s="6">
        <v>6105.32</v>
      </c>
      <c r="J232">
        <v>15</v>
      </c>
      <c r="K232">
        <v>53</v>
      </c>
      <c r="L232" t="s">
        <v>30</v>
      </c>
      <c r="M232" t="s">
        <v>31</v>
      </c>
      <c r="N232">
        <v>3</v>
      </c>
      <c r="O232" s="4"/>
      <c r="P232" s="4" t="str">
        <f>IF(Data_Set_2[[#This Row],[valor_bruto]]&gt;$W$13,"OUTLIER+","")</f>
        <v/>
      </c>
      <c r="Q232" s="4" t="str">
        <f>IF(Data_Set_2[[#This Row],[valor_bruto]]&lt;$W$14,"OUTLIER-","")</f>
        <v/>
      </c>
      <c r="R232" s="4"/>
      <c r="S232" s="4"/>
      <c r="AB232" t="str">
        <v>RES-100230</v>
      </c>
      <c r="AC232">
        <v>45919</v>
      </c>
      <c r="AD232">
        <v>0.53472222222222221</v>
      </c>
      <c r="AE232" t="str">
        <v>Centro</v>
      </c>
      <c r="AF232" t="str">
        <v>Recoge</v>
      </c>
      <c r="AG232" t="str">
        <v>Comida rapida</v>
      </c>
      <c r="AH232">
        <v>4</v>
      </c>
      <c r="AI232">
        <v>33680.54</v>
      </c>
      <c r="AJ232">
        <v>6105.32</v>
      </c>
      <c r="AK232">
        <v>15</v>
      </c>
      <c r="AL232">
        <v>53</v>
      </c>
      <c r="AM232" t="str">
        <v>App</v>
      </c>
      <c r="AN232" t="str">
        <v>Reembolsada</v>
      </c>
      <c r="AO232">
        <v>3</v>
      </c>
    </row>
    <row r="233" spans="1:41" x14ac:dyDescent="0.3">
      <c r="A233" t="s">
        <v>263</v>
      </c>
      <c r="B233" s="8">
        <v>45920</v>
      </c>
      <c r="C233" s="2">
        <v>0.58125000000000004</v>
      </c>
      <c r="D233" t="s">
        <v>33</v>
      </c>
      <c r="E233" t="s">
        <v>16</v>
      </c>
      <c r="F233" t="s">
        <v>23</v>
      </c>
      <c r="G233">
        <v>6</v>
      </c>
      <c r="H233" s="6">
        <v>33173.71</v>
      </c>
      <c r="I233" s="6">
        <v>1513.54</v>
      </c>
      <c r="J233">
        <v>13</v>
      </c>
      <c r="K233">
        <v>38</v>
      </c>
      <c r="L233" t="s">
        <v>18</v>
      </c>
      <c r="M233" t="s">
        <v>19</v>
      </c>
      <c r="N233">
        <v>5</v>
      </c>
      <c r="O233" s="4"/>
      <c r="P233" s="4" t="str">
        <f>IF(Data_Set_2[[#This Row],[valor_bruto]]&gt;$W$13,"OUTLIER+","")</f>
        <v/>
      </c>
      <c r="Q233" s="4" t="str">
        <f>IF(Data_Set_2[[#This Row],[valor_bruto]]&lt;$W$14,"OUTLIER-","")</f>
        <v/>
      </c>
      <c r="R233" s="4"/>
      <c r="S233" s="4"/>
      <c r="AB233" t="str">
        <v>RES-100231</v>
      </c>
      <c r="AC233">
        <v>45920</v>
      </c>
      <c r="AD233">
        <v>0.58125000000000004</v>
      </c>
      <c r="AE233" t="str">
        <v>Envigado</v>
      </c>
      <c r="AF233" t="str">
        <v>Mesa</v>
      </c>
      <c r="AG233" t="str">
        <v>Pasta</v>
      </c>
      <c r="AH233">
        <v>6</v>
      </c>
      <c r="AI233">
        <v>33173.71</v>
      </c>
      <c r="AJ233">
        <v>1513.54</v>
      </c>
      <c r="AK233">
        <v>13</v>
      </c>
      <c r="AL233">
        <v>38</v>
      </c>
      <c r="AM233" t="str">
        <v>Tarjeta</v>
      </c>
      <c r="AN233" t="str">
        <v>Entregada</v>
      </c>
      <c r="AO233">
        <v>5</v>
      </c>
    </row>
    <row r="234" spans="1:41" x14ac:dyDescent="0.3">
      <c r="A234" t="s">
        <v>264</v>
      </c>
      <c r="B234" s="8">
        <v>45921</v>
      </c>
      <c r="C234" s="2">
        <v>0.58611111111111114</v>
      </c>
      <c r="D234" t="s">
        <v>15</v>
      </c>
      <c r="E234" t="s">
        <v>22</v>
      </c>
      <c r="F234" t="s">
        <v>29</v>
      </c>
      <c r="G234">
        <v>2</v>
      </c>
      <c r="H234" s="6">
        <v>33211.050000000003</v>
      </c>
      <c r="I234" s="6">
        <v>2259.38</v>
      </c>
      <c r="J234">
        <v>27</v>
      </c>
      <c r="K234">
        <v>31</v>
      </c>
      <c r="L234" t="s">
        <v>24</v>
      </c>
      <c r="M234" t="s">
        <v>25</v>
      </c>
      <c r="N234">
        <v>4</v>
      </c>
      <c r="O234" s="4"/>
      <c r="P234" s="4" t="str">
        <f>IF(Data_Set_2[[#This Row],[valor_bruto]]&gt;$W$13,"OUTLIER+","")</f>
        <v/>
      </c>
      <c r="Q234" s="4" t="str">
        <f>IF(Data_Set_2[[#This Row],[valor_bruto]]&lt;$W$14,"OUTLIER-","")</f>
        <v/>
      </c>
      <c r="R234" s="4"/>
      <c r="S234" s="4"/>
      <c r="AB234" t="str">
        <v>RES-100232</v>
      </c>
      <c r="AC234">
        <v>45921</v>
      </c>
      <c r="AD234">
        <v>0.58611111111111114</v>
      </c>
      <c r="AE234" t="str">
        <v>Laureles</v>
      </c>
      <c r="AF234" t="str">
        <v>Domicilio</v>
      </c>
      <c r="AG234" t="str">
        <v>Parrilla</v>
      </c>
      <c r="AH234">
        <v>2</v>
      </c>
      <c r="AI234">
        <v>33211.050000000003</v>
      </c>
      <c r="AJ234">
        <v>2259.38</v>
      </c>
      <c r="AK234">
        <v>27</v>
      </c>
      <c r="AL234">
        <v>31</v>
      </c>
      <c r="AM234" t="str">
        <v>Efectivo</v>
      </c>
      <c r="AN234" t="str">
        <v>Cancelada</v>
      </c>
      <c r="AO234">
        <v>4</v>
      </c>
    </row>
    <row r="235" spans="1:41" x14ac:dyDescent="0.3">
      <c r="A235" t="s">
        <v>265</v>
      </c>
      <c r="B235" s="8">
        <v>45922</v>
      </c>
      <c r="C235" s="2">
        <v>0.63263888888888886</v>
      </c>
      <c r="D235" t="s">
        <v>21</v>
      </c>
      <c r="E235" t="s">
        <v>28</v>
      </c>
      <c r="F235" t="s">
        <v>34</v>
      </c>
      <c r="G235">
        <v>3</v>
      </c>
      <c r="H235" s="6">
        <v>42516.49</v>
      </c>
      <c r="I235" s="6">
        <v>8400.65</v>
      </c>
      <c r="J235">
        <v>15</v>
      </c>
      <c r="K235">
        <v>47</v>
      </c>
      <c r="L235" t="s">
        <v>30</v>
      </c>
      <c r="M235" t="s">
        <v>31</v>
      </c>
      <c r="N235">
        <v>5</v>
      </c>
      <c r="O235" s="4"/>
      <c r="P235" s="4" t="str">
        <f>IF(Data_Set_2[[#This Row],[valor_bruto]]&gt;$W$13,"OUTLIER+","")</f>
        <v/>
      </c>
      <c r="Q235" s="4" t="str">
        <f>IF(Data_Set_2[[#This Row],[valor_bruto]]&lt;$W$14,"OUTLIER-","")</f>
        <v/>
      </c>
      <c r="R235" s="4"/>
      <c r="S235" s="4"/>
      <c r="AB235" t="str">
        <v>RES-100233</v>
      </c>
      <c r="AC235">
        <v>45922</v>
      </c>
      <c r="AD235">
        <v>0.63263888888888886</v>
      </c>
      <c r="AE235" t="str">
        <v>Poblado</v>
      </c>
      <c r="AF235" t="str">
        <v>Recoge</v>
      </c>
      <c r="AG235" t="str">
        <v>Vegano</v>
      </c>
      <c r="AH235">
        <v>3</v>
      </c>
      <c r="AI235">
        <v>42516.49</v>
      </c>
      <c r="AJ235">
        <v>8400.65</v>
      </c>
      <c r="AK235">
        <v>15</v>
      </c>
      <c r="AL235">
        <v>47</v>
      </c>
      <c r="AM235" t="str">
        <v>App</v>
      </c>
      <c r="AN235" t="str">
        <v>Reembolsada</v>
      </c>
      <c r="AO235">
        <v>5</v>
      </c>
    </row>
    <row r="236" spans="1:41" x14ac:dyDescent="0.3">
      <c r="A236" t="s">
        <v>266</v>
      </c>
      <c r="B236" s="8">
        <v>45923</v>
      </c>
      <c r="C236" s="2">
        <v>0.6791666666666667</v>
      </c>
      <c r="D236" t="s">
        <v>27</v>
      </c>
      <c r="E236" t="s">
        <v>16</v>
      </c>
      <c r="F236" t="s">
        <v>36</v>
      </c>
      <c r="G236">
        <v>2</v>
      </c>
      <c r="H236" s="6">
        <v>49307.44</v>
      </c>
      <c r="I236" s="6">
        <v>8293.42</v>
      </c>
      <c r="J236">
        <v>25</v>
      </c>
      <c r="K236">
        <v>41</v>
      </c>
      <c r="L236" t="s">
        <v>18</v>
      </c>
      <c r="M236" t="s">
        <v>19</v>
      </c>
      <c r="N236">
        <v>5</v>
      </c>
      <c r="O236" s="4"/>
      <c r="P236" s="4" t="str">
        <f>IF(Data_Set_2[[#This Row],[valor_bruto]]&gt;$W$13,"OUTLIER+","")</f>
        <v/>
      </c>
      <c r="Q236" s="4" t="str">
        <f>IF(Data_Set_2[[#This Row],[valor_bruto]]&lt;$W$14,"OUTLIER-","")</f>
        <v/>
      </c>
      <c r="R236" s="4"/>
      <c r="S236" s="4"/>
      <c r="AB236" t="str">
        <v>RES-100234</v>
      </c>
      <c r="AC236">
        <v>45923</v>
      </c>
      <c r="AD236">
        <v>0.6791666666666667</v>
      </c>
      <c r="AE236" t="str">
        <v>Centro</v>
      </c>
      <c r="AF236" t="str">
        <v>Mesa</v>
      </c>
      <c r="AG236" t="str">
        <v>Bebidas</v>
      </c>
      <c r="AH236">
        <v>2</v>
      </c>
      <c r="AI236">
        <v>49307.44</v>
      </c>
      <c r="AJ236">
        <v>8293.42</v>
      </c>
      <c r="AK236">
        <v>25</v>
      </c>
      <c r="AL236">
        <v>41</v>
      </c>
      <c r="AM236" t="str">
        <v>Tarjeta</v>
      </c>
      <c r="AN236" t="str">
        <v>Entregada</v>
      </c>
      <c r="AO236">
        <v>5</v>
      </c>
    </row>
    <row r="237" spans="1:41" x14ac:dyDescent="0.3">
      <c r="A237" t="s">
        <v>267</v>
      </c>
      <c r="B237" s="8">
        <v>45924</v>
      </c>
      <c r="C237" s="2">
        <v>0.72569444444444442</v>
      </c>
      <c r="D237" t="s">
        <v>33</v>
      </c>
      <c r="E237" t="s">
        <v>22</v>
      </c>
      <c r="F237" t="s">
        <v>17</v>
      </c>
      <c r="G237">
        <v>5</v>
      </c>
      <c r="H237" s="6">
        <v>36795.699999999997</v>
      </c>
      <c r="I237" s="6">
        <v>2541.0100000000002</v>
      </c>
      <c r="J237">
        <v>14</v>
      </c>
      <c r="K237">
        <v>27</v>
      </c>
      <c r="L237" t="s">
        <v>24</v>
      </c>
      <c r="M237" t="s">
        <v>25</v>
      </c>
      <c r="N237">
        <v>3</v>
      </c>
      <c r="O237" s="4"/>
      <c r="P237" s="4" t="str">
        <f>IF(Data_Set_2[[#This Row],[valor_bruto]]&gt;$W$13,"OUTLIER+","")</f>
        <v/>
      </c>
      <c r="Q237" s="4" t="str">
        <f>IF(Data_Set_2[[#This Row],[valor_bruto]]&lt;$W$14,"OUTLIER-","")</f>
        <v/>
      </c>
      <c r="R237" s="4"/>
      <c r="S237" s="4"/>
      <c r="AB237" t="str">
        <v>RES-100235</v>
      </c>
      <c r="AC237">
        <v>45924</v>
      </c>
      <c r="AD237">
        <v>0.72569444444444442</v>
      </c>
      <c r="AE237" t="str">
        <v>Envigado</v>
      </c>
      <c r="AF237" t="str">
        <v>Domicilio</v>
      </c>
      <c r="AG237" t="str">
        <v>Comida rapida</v>
      </c>
      <c r="AH237">
        <v>5</v>
      </c>
      <c r="AI237">
        <v>36795.699999999997</v>
      </c>
      <c r="AJ237">
        <v>2541.0100000000002</v>
      </c>
      <c r="AK237">
        <v>14</v>
      </c>
      <c r="AL237">
        <v>27</v>
      </c>
      <c r="AM237" t="str">
        <v>Efectivo</v>
      </c>
      <c r="AN237" t="str">
        <v>Cancelada</v>
      </c>
      <c r="AO237">
        <v>3</v>
      </c>
    </row>
    <row r="238" spans="1:41" x14ac:dyDescent="0.3">
      <c r="A238" t="s">
        <v>268</v>
      </c>
      <c r="B238" s="8">
        <v>45925</v>
      </c>
      <c r="C238" s="2">
        <v>0.77222222222222225</v>
      </c>
      <c r="D238" t="s">
        <v>15</v>
      </c>
      <c r="E238" t="s">
        <v>28</v>
      </c>
      <c r="F238" t="s">
        <v>23</v>
      </c>
      <c r="G238">
        <v>2</v>
      </c>
      <c r="H238" s="6">
        <v>57311.51</v>
      </c>
      <c r="I238" s="6">
        <v>3365.39</v>
      </c>
      <c r="J238">
        <v>23</v>
      </c>
      <c r="K238">
        <v>52</v>
      </c>
      <c r="L238" t="s">
        <v>30</v>
      </c>
      <c r="M238" t="s">
        <v>31</v>
      </c>
      <c r="N238">
        <v>4</v>
      </c>
      <c r="O238" s="4"/>
      <c r="P238" s="4" t="str">
        <f>IF(Data_Set_2[[#This Row],[valor_bruto]]&gt;$W$13,"OUTLIER+","")</f>
        <v/>
      </c>
      <c r="Q238" s="4" t="str">
        <f>IF(Data_Set_2[[#This Row],[valor_bruto]]&lt;$W$14,"OUTLIER-","")</f>
        <v/>
      </c>
      <c r="R238" s="4"/>
      <c r="S238" s="4"/>
      <c r="AB238" t="str">
        <v>RES-100236</v>
      </c>
      <c r="AC238">
        <v>45925</v>
      </c>
      <c r="AD238">
        <v>0.77222222222222225</v>
      </c>
      <c r="AE238" t="str">
        <v>Laureles</v>
      </c>
      <c r="AF238" t="str">
        <v>Recoge</v>
      </c>
      <c r="AG238" t="str">
        <v>Pasta</v>
      </c>
      <c r="AH238">
        <v>2</v>
      </c>
      <c r="AI238">
        <v>57311.51</v>
      </c>
      <c r="AJ238">
        <v>3365.39</v>
      </c>
      <c r="AK238">
        <v>23</v>
      </c>
      <c r="AL238">
        <v>52</v>
      </c>
      <c r="AM238" t="str">
        <v>App</v>
      </c>
      <c r="AN238" t="str">
        <v>Reembolsada</v>
      </c>
      <c r="AO238">
        <v>4</v>
      </c>
    </row>
    <row r="239" spans="1:41" x14ac:dyDescent="0.3">
      <c r="A239" t="s">
        <v>269</v>
      </c>
      <c r="B239" s="8">
        <v>45926</v>
      </c>
      <c r="C239" s="2">
        <v>0.81874999999999998</v>
      </c>
      <c r="D239" t="s">
        <v>21</v>
      </c>
      <c r="E239" t="s">
        <v>16</v>
      </c>
      <c r="F239" t="s">
        <v>29</v>
      </c>
      <c r="G239">
        <v>4</v>
      </c>
      <c r="H239" s="6">
        <v>66584.12</v>
      </c>
      <c r="I239" s="6">
        <v>4464.87</v>
      </c>
      <c r="J239">
        <v>28</v>
      </c>
      <c r="K239">
        <v>25</v>
      </c>
      <c r="L239" t="s">
        <v>18</v>
      </c>
      <c r="M239" t="s">
        <v>19</v>
      </c>
      <c r="N239">
        <v>5</v>
      </c>
      <c r="O239" s="4"/>
      <c r="P239" s="4" t="str">
        <f>IF(Data_Set_2[[#This Row],[valor_bruto]]&gt;$W$13,"OUTLIER+","")</f>
        <v/>
      </c>
      <c r="Q239" s="4" t="str">
        <f>IF(Data_Set_2[[#This Row],[valor_bruto]]&lt;$W$14,"OUTLIER-","")</f>
        <v/>
      </c>
      <c r="R239" s="4"/>
      <c r="S239" s="4"/>
      <c r="AB239" t="str">
        <v>RES-100237</v>
      </c>
      <c r="AC239">
        <v>45926</v>
      </c>
      <c r="AD239">
        <v>0.81874999999999998</v>
      </c>
      <c r="AE239" t="str">
        <v>Poblado</v>
      </c>
      <c r="AF239" t="str">
        <v>Mesa</v>
      </c>
      <c r="AG239" t="str">
        <v>Parrilla</v>
      </c>
      <c r="AH239">
        <v>4</v>
      </c>
      <c r="AI239">
        <v>66584.12</v>
      </c>
      <c r="AJ239">
        <v>4464.87</v>
      </c>
      <c r="AK239">
        <v>28</v>
      </c>
      <c r="AL239">
        <v>25</v>
      </c>
      <c r="AM239" t="str">
        <v>Tarjeta</v>
      </c>
      <c r="AN239" t="str">
        <v>Entregada</v>
      </c>
      <c r="AO239">
        <v>5</v>
      </c>
    </row>
    <row r="240" spans="1:41" x14ac:dyDescent="0.3">
      <c r="A240" t="s">
        <v>270</v>
      </c>
      <c r="B240" s="8">
        <v>45927</v>
      </c>
      <c r="C240" s="2">
        <v>0.86527777777777781</v>
      </c>
      <c r="D240" t="s">
        <v>27</v>
      </c>
      <c r="E240" t="s">
        <v>22</v>
      </c>
      <c r="F240" t="s">
        <v>34</v>
      </c>
      <c r="G240">
        <v>5</v>
      </c>
      <c r="H240" s="6">
        <v>37967.449999999997</v>
      </c>
      <c r="I240" s="6">
        <v>6506.46</v>
      </c>
      <c r="J240">
        <v>16</v>
      </c>
      <c r="K240">
        <v>49</v>
      </c>
      <c r="L240" t="s">
        <v>24</v>
      </c>
      <c r="M240" t="s">
        <v>25</v>
      </c>
      <c r="N240">
        <v>5</v>
      </c>
      <c r="O240" s="4"/>
      <c r="P240" s="4" t="str">
        <f>IF(Data_Set_2[[#This Row],[valor_bruto]]&gt;$W$13,"OUTLIER+","")</f>
        <v/>
      </c>
      <c r="Q240" s="4" t="str">
        <f>IF(Data_Set_2[[#This Row],[valor_bruto]]&lt;$W$14,"OUTLIER-","")</f>
        <v/>
      </c>
      <c r="R240" s="4"/>
      <c r="S240" s="4"/>
      <c r="AB240" t="str">
        <v>RES-100238</v>
      </c>
      <c r="AC240">
        <v>45927</v>
      </c>
      <c r="AD240">
        <v>0.86527777777777781</v>
      </c>
      <c r="AE240" t="str">
        <v>Centro</v>
      </c>
      <c r="AF240" t="str">
        <v>Domicilio</v>
      </c>
      <c r="AG240" t="str">
        <v>Vegano</v>
      </c>
      <c r="AH240">
        <v>5</v>
      </c>
      <c r="AI240">
        <v>37967.449999999997</v>
      </c>
      <c r="AJ240">
        <v>6506.46</v>
      </c>
      <c r="AK240">
        <v>16</v>
      </c>
      <c r="AL240">
        <v>49</v>
      </c>
      <c r="AM240" t="str">
        <v>Efectivo</v>
      </c>
      <c r="AN240" t="str">
        <v>Cancelada</v>
      </c>
      <c r="AO240">
        <v>5</v>
      </c>
    </row>
    <row r="241" spans="1:41" x14ac:dyDescent="0.3">
      <c r="A241" t="s">
        <v>271</v>
      </c>
      <c r="B241" s="8">
        <v>45928</v>
      </c>
      <c r="C241" s="2">
        <v>0.91180555555555554</v>
      </c>
      <c r="D241" t="s">
        <v>33</v>
      </c>
      <c r="E241" t="s">
        <v>28</v>
      </c>
      <c r="F241" t="s">
        <v>36</v>
      </c>
      <c r="G241">
        <v>5</v>
      </c>
      <c r="H241" s="6">
        <v>62351.360000000001</v>
      </c>
      <c r="I241" s="6">
        <v>7488.37</v>
      </c>
      <c r="J241">
        <v>19</v>
      </c>
      <c r="K241">
        <v>40</v>
      </c>
      <c r="L241" t="s">
        <v>30</v>
      </c>
      <c r="M241" t="s">
        <v>31</v>
      </c>
      <c r="N241">
        <v>5</v>
      </c>
      <c r="O241" s="4"/>
      <c r="P241" s="4" t="str">
        <f>IF(Data_Set_2[[#This Row],[valor_bruto]]&gt;$W$13,"OUTLIER+","")</f>
        <v/>
      </c>
      <c r="Q241" s="4" t="str">
        <f>IF(Data_Set_2[[#This Row],[valor_bruto]]&lt;$W$14,"OUTLIER-","")</f>
        <v/>
      </c>
      <c r="R241" s="4"/>
      <c r="S241" s="4"/>
      <c r="AB241" t="str">
        <v>RES-100239</v>
      </c>
      <c r="AC241">
        <v>45928</v>
      </c>
      <c r="AD241">
        <v>0.91180555555555554</v>
      </c>
      <c r="AE241" t="str">
        <v>Envigado</v>
      </c>
      <c r="AF241" t="str">
        <v>Recoge</v>
      </c>
      <c r="AG241" t="str">
        <v>Bebidas</v>
      </c>
      <c r="AH241">
        <v>5</v>
      </c>
      <c r="AI241">
        <v>62351.360000000001</v>
      </c>
      <c r="AJ241">
        <v>7488.37</v>
      </c>
      <c r="AK241">
        <v>19</v>
      </c>
      <c r="AL241">
        <v>40</v>
      </c>
      <c r="AM241" t="str">
        <v>App</v>
      </c>
      <c r="AN241" t="str">
        <v>Reembolsada</v>
      </c>
      <c r="AO241">
        <v>5</v>
      </c>
    </row>
    <row r="242" spans="1:41" x14ac:dyDescent="0.3">
      <c r="A242" t="s">
        <v>272</v>
      </c>
      <c r="B242" s="8">
        <v>45929</v>
      </c>
      <c r="C242" s="2">
        <v>0.41666666666666669</v>
      </c>
      <c r="D242" t="s">
        <v>15</v>
      </c>
      <c r="E242" t="s">
        <v>16</v>
      </c>
      <c r="F242" t="s">
        <v>17</v>
      </c>
      <c r="G242">
        <v>2</v>
      </c>
      <c r="H242" s="6">
        <v>64236.37</v>
      </c>
      <c r="I242" s="6">
        <v>4410.88</v>
      </c>
      <c r="J242">
        <v>13</v>
      </c>
      <c r="K242">
        <v>31</v>
      </c>
      <c r="L242" t="s">
        <v>18</v>
      </c>
      <c r="M242" t="s">
        <v>19</v>
      </c>
      <c r="N242">
        <v>5</v>
      </c>
      <c r="O242" s="4"/>
      <c r="P242" s="4" t="str">
        <f>IF(Data_Set_2[[#This Row],[valor_bruto]]&gt;$W$13,"OUTLIER+","")</f>
        <v/>
      </c>
      <c r="Q242" s="4" t="str">
        <f>IF(Data_Set_2[[#This Row],[valor_bruto]]&lt;$W$14,"OUTLIER-","")</f>
        <v/>
      </c>
      <c r="R242" s="4"/>
      <c r="S242" s="4"/>
      <c r="AB242" t="str">
        <v>RES-100240</v>
      </c>
      <c r="AC242">
        <v>45929</v>
      </c>
      <c r="AD242">
        <v>0.41666666666666669</v>
      </c>
      <c r="AE242" t="str">
        <v>Laureles</v>
      </c>
      <c r="AF242" t="str">
        <v>Mesa</v>
      </c>
      <c r="AG242" t="str">
        <v>Comida rapida</v>
      </c>
      <c r="AH242">
        <v>2</v>
      </c>
      <c r="AI242">
        <v>64236.37</v>
      </c>
      <c r="AJ242">
        <v>4410.88</v>
      </c>
      <c r="AK242">
        <v>13</v>
      </c>
      <c r="AL242">
        <v>31</v>
      </c>
      <c r="AM242" t="str">
        <v>Tarjeta</v>
      </c>
      <c r="AN242" t="str">
        <v>Entregada</v>
      </c>
      <c r="AO242">
        <v>5</v>
      </c>
    </row>
    <row r="243" spans="1:41" x14ac:dyDescent="0.3">
      <c r="A243" t="s">
        <v>273</v>
      </c>
      <c r="B243" s="8">
        <v>45930</v>
      </c>
      <c r="C243" s="2">
        <v>0.46319444444444446</v>
      </c>
      <c r="D243" t="s">
        <v>21</v>
      </c>
      <c r="E243" t="s">
        <v>22</v>
      </c>
      <c r="F243" t="s">
        <v>23</v>
      </c>
      <c r="G243">
        <v>5</v>
      </c>
      <c r="H243" s="6">
        <v>48474.95</v>
      </c>
      <c r="I243" s="6">
        <v>2689.5</v>
      </c>
      <c r="J243">
        <v>16</v>
      </c>
      <c r="K243">
        <v>27</v>
      </c>
      <c r="L243" t="s">
        <v>24</v>
      </c>
      <c r="M243" t="s">
        <v>25</v>
      </c>
      <c r="N243">
        <v>3</v>
      </c>
      <c r="O243" s="4"/>
      <c r="P243" s="4" t="str">
        <f>IF(Data_Set_2[[#This Row],[valor_bruto]]&gt;$W$13,"OUTLIER+","")</f>
        <v/>
      </c>
      <c r="Q243" s="4" t="str">
        <f>IF(Data_Set_2[[#This Row],[valor_bruto]]&lt;$W$14,"OUTLIER-","")</f>
        <v/>
      </c>
      <c r="R243" s="4"/>
      <c r="S243" s="4"/>
      <c r="AB243" t="str">
        <v>RES-100241</v>
      </c>
      <c r="AC243">
        <v>45930</v>
      </c>
      <c r="AD243">
        <v>0.46319444444444446</v>
      </c>
      <c r="AE243" t="str">
        <v>Poblado</v>
      </c>
      <c r="AF243" t="str">
        <v>Domicilio</v>
      </c>
      <c r="AG243" t="str">
        <v>Pasta</v>
      </c>
      <c r="AH243">
        <v>5</v>
      </c>
      <c r="AI243">
        <v>48474.95</v>
      </c>
      <c r="AJ243">
        <v>2689.5</v>
      </c>
      <c r="AK243">
        <v>16</v>
      </c>
      <c r="AL243">
        <v>27</v>
      </c>
      <c r="AM243" t="str">
        <v>Efectivo</v>
      </c>
      <c r="AN243" t="str">
        <v>Cancelada</v>
      </c>
      <c r="AO243">
        <v>3</v>
      </c>
    </row>
    <row r="244" spans="1:41" x14ac:dyDescent="0.3">
      <c r="A244" t="s">
        <v>274</v>
      </c>
      <c r="B244" s="8">
        <v>45667</v>
      </c>
      <c r="C244" s="2">
        <v>0.50972222222222219</v>
      </c>
      <c r="D244" t="s">
        <v>27</v>
      </c>
      <c r="E244" t="s">
        <v>28</v>
      </c>
      <c r="F244" t="s">
        <v>29</v>
      </c>
      <c r="G244">
        <v>2</v>
      </c>
      <c r="H244" s="6">
        <v>56773.71</v>
      </c>
      <c r="I244" s="6">
        <v>6937.74</v>
      </c>
      <c r="J244">
        <v>26</v>
      </c>
      <c r="K244">
        <v>30</v>
      </c>
      <c r="L244" t="s">
        <v>30</v>
      </c>
      <c r="M244" t="s">
        <v>31</v>
      </c>
      <c r="N244">
        <v>3</v>
      </c>
      <c r="O244" s="4"/>
      <c r="P244" s="4" t="str">
        <f>IF(Data_Set_2[[#This Row],[valor_bruto]]&gt;$W$13,"OUTLIER+","")</f>
        <v/>
      </c>
      <c r="Q244" s="4" t="str">
        <f>IF(Data_Set_2[[#This Row],[valor_bruto]]&lt;$W$14,"OUTLIER-","")</f>
        <v/>
      </c>
      <c r="R244" s="4"/>
      <c r="S244" s="4"/>
      <c r="AB244" t="str">
        <v>RES-100242</v>
      </c>
      <c r="AC244">
        <v>45667</v>
      </c>
      <c r="AD244">
        <v>0.50972222222222219</v>
      </c>
      <c r="AE244" t="str">
        <v>Centro</v>
      </c>
      <c r="AF244" t="str">
        <v>Recoge</v>
      </c>
      <c r="AG244" t="str">
        <v>Parrilla</v>
      </c>
      <c r="AH244">
        <v>2</v>
      </c>
      <c r="AI244">
        <v>56773.71</v>
      </c>
      <c r="AJ244">
        <v>6937.74</v>
      </c>
      <c r="AK244">
        <v>26</v>
      </c>
      <c r="AL244">
        <v>30</v>
      </c>
      <c r="AM244" t="str">
        <v>App</v>
      </c>
      <c r="AN244" t="str">
        <v>Reembolsada</v>
      </c>
      <c r="AO244">
        <v>3</v>
      </c>
    </row>
    <row r="245" spans="1:41" x14ac:dyDescent="0.3">
      <c r="A245" t="s">
        <v>275</v>
      </c>
      <c r="B245" s="8">
        <v>45932</v>
      </c>
      <c r="C245" s="2">
        <v>0.55625000000000002</v>
      </c>
      <c r="D245" t="s">
        <v>33</v>
      </c>
      <c r="E245" t="s">
        <v>16</v>
      </c>
      <c r="F245" t="s">
        <v>34</v>
      </c>
      <c r="G245">
        <v>4</v>
      </c>
      <c r="H245" s="6">
        <v>56379.27</v>
      </c>
      <c r="I245" s="6">
        <v>3480.27</v>
      </c>
      <c r="J245">
        <v>16</v>
      </c>
      <c r="K245">
        <v>40</v>
      </c>
      <c r="L245" t="s">
        <v>18</v>
      </c>
      <c r="M245" t="s">
        <v>19</v>
      </c>
      <c r="N245">
        <v>4</v>
      </c>
      <c r="O245" s="4"/>
      <c r="P245" s="4" t="str">
        <f>IF(Data_Set_2[[#This Row],[valor_bruto]]&gt;$W$13,"OUTLIER+","")</f>
        <v/>
      </c>
      <c r="Q245" s="4" t="str">
        <f>IF(Data_Set_2[[#This Row],[valor_bruto]]&lt;$W$14,"OUTLIER-","")</f>
        <v/>
      </c>
      <c r="R245" s="4"/>
      <c r="S245" s="4"/>
      <c r="AB245" t="str">
        <v>RES-100243</v>
      </c>
      <c r="AC245">
        <v>45932</v>
      </c>
      <c r="AD245">
        <v>0.55625000000000002</v>
      </c>
      <c r="AE245" t="str">
        <v>Envigado</v>
      </c>
      <c r="AF245" t="str">
        <v>Mesa</v>
      </c>
      <c r="AG245" t="str">
        <v>Vegano</v>
      </c>
      <c r="AH245">
        <v>4</v>
      </c>
      <c r="AI245">
        <v>56379.27</v>
      </c>
      <c r="AJ245">
        <v>3480.27</v>
      </c>
      <c r="AK245">
        <v>16</v>
      </c>
      <c r="AL245">
        <v>40</v>
      </c>
      <c r="AM245" t="str">
        <v>Tarjeta</v>
      </c>
      <c r="AN245" t="str">
        <v>Entregada</v>
      </c>
      <c r="AO245">
        <v>4</v>
      </c>
    </row>
    <row r="246" spans="1:41" x14ac:dyDescent="0.3">
      <c r="A246" t="s">
        <v>276</v>
      </c>
      <c r="B246" s="8">
        <v>45933</v>
      </c>
      <c r="C246" s="2">
        <v>0.60277777777777775</v>
      </c>
      <c r="D246" t="s">
        <v>15</v>
      </c>
      <c r="E246" t="s">
        <v>22</v>
      </c>
      <c r="F246" t="s">
        <v>36</v>
      </c>
      <c r="G246">
        <v>5</v>
      </c>
      <c r="H246" s="6">
        <v>37111.120000000003</v>
      </c>
      <c r="I246" s="6">
        <v>3742.45</v>
      </c>
      <c r="J246">
        <v>14</v>
      </c>
      <c r="K246">
        <v>38</v>
      </c>
      <c r="L246" t="s">
        <v>24</v>
      </c>
      <c r="M246" t="s">
        <v>25</v>
      </c>
      <c r="N246">
        <v>5</v>
      </c>
      <c r="O246" s="4"/>
      <c r="P246" s="4" t="str">
        <f>IF(Data_Set_2[[#This Row],[valor_bruto]]&gt;$W$13,"OUTLIER+","")</f>
        <v/>
      </c>
      <c r="Q246" s="4" t="str">
        <f>IF(Data_Set_2[[#This Row],[valor_bruto]]&lt;$W$14,"OUTLIER-","")</f>
        <v/>
      </c>
      <c r="R246" s="4"/>
      <c r="S246" s="4"/>
      <c r="AB246" t="str">
        <v>RES-100244</v>
      </c>
      <c r="AC246">
        <v>45933</v>
      </c>
      <c r="AD246">
        <v>0.60277777777777775</v>
      </c>
      <c r="AE246" t="str">
        <v>Laureles</v>
      </c>
      <c r="AF246" t="str">
        <v>Domicilio</v>
      </c>
      <c r="AG246" t="str">
        <v>Bebidas</v>
      </c>
      <c r="AH246">
        <v>5</v>
      </c>
      <c r="AI246">
        <v>37111.120000000003</v>
      </c>
      <c r="AJ246">
        <v>3742.45</v>
      </c>
      <c r="AK246">
        <v>14</v>
      </c>
      <c r="AL246">
        <v>38</v>
      </c>
      <c r="AM246" t="str">
        <v>Efectivo</v>
      </c>
      <c r="AN246" t="str">
        <v>Cancelada</v>
      </c>
      <c r="AO246">
        <v>5</v>
      </c>
    </row>
    <row r="247" spans="1:41" x14ac:dyDescent="0.3">
      <c r="A247" t="s">
        <v>277</v>
      </c>
      <c r="B247" s="8">
        <v>45757</v>
      </c>
      <c r="C247" s="2">
        <v>0.64930555555555558</v>
      </c>
      <c r="D247" t="s">
        <v>21</v>
      </c>
      <c r="E247" t="s">
        <v>28</v>
      </c>
      <c r="F247" t="s">
        <v>17</v>
      </c>
      <c r="G247">
        <v>4</v>
      </c>
      <c r="H247" s="6">
        <v>40540.089999999997</v>
      </c>
      <c r="I247" s="6">
        <v>1857.76</v>
      </c>
      <c r="J247">
        <v>30</v>
      </c>
      <c r="K247" t="s">
        <v>278</v>
      </c>
      <c r="L247" t="s">
        <v>30</v>
      </c>
      <c r="M247" t="s">
        <v>31</v>
      </c>
      <c r="N247">
        <v>4</v>
      </c>
      <c r="O247" s="4"/>
      <c r="P247" s="4" t="str">
        <f>IF(Data_Set_2[[#This Row],[valor_bruto]]&gt;$W$13,"OUTLIER+","")</f>
        <v/>
      </c>
      <c r="Q247" s="4" t="str">
        <f>IF(Data_Set_2[[#This Row],[valor_bruto]]&lt;$W$14,"OUTLIER-","")</f>
        <v/>
      </c>
      <c r="R247" s="4"/>
      <c r="S247" s="4"/>
      <c r="AB247" t="str">
        <v>RES-100245</v>
      </c>
      <c r="AC247">
        <v>45757</v>
      </c>
      <c r="AD247">
        <v>0.64930555555555558</v>
      </c>
      <c r="AE247" t="str">
        <v>Poblado</v>
      </c>
      <c r="AF247" t="str">
        <v>Recoge</v>
      </c>
      <c r="AG247" t="str">
        <v>Comida rapida</v>
      </c>
      <c r="AH247">
        <v>4</v>
      </c>
      <c r="AI247">
        <v>40540.089999999997</v>
      </c>
      <c r="AJ247">
        <v>1857.76</v>
      </c>
      <c r="AK247">
        <v>30</v>
      </c>
      <c r="AL247" t="str">
        <v>255.2</v>
      </c>
      <c r="AM247" t="str">
        <v>App</v>
      </c>
      <c r="AN247" t="str">
        <v>Reembolsada</v>
      </c>
      <c r="AO247">
        <v>4</v>
      </c>
    </row>
    <row r="248" spans="1:41" x14ac:dyDescent="0.3">
      <c r="A248" t="s">
        <v>279</v>
      </c>
      <c r="B248" s="8">
        <v>45935</v>
      </c>
      <c r="C248" s="2">
        <v>0.6958333333333333</v>
      </c>
      <c r="D248" t="s">
        <v>27</v>
      </c>
      <c r="E248" t="s">
        <v>16</v>
      </c>
      <c r="F248" t="s">
        <v>23</v>
      </c>
      <c r="G248">
        <v>5</v>
      </c>
      <c r="H248" s="6">
        <v>39319.75</v>
      </c>
      <c r="I248" s="6">
        <v>7842.43</v>
      </c>
      <c r="J248">
        <v>17</v>
      </c>
      <c r="K248">
        <v>28</v>
      </c>
      <c r="L248" t="s">
        <v>18</v>
      </c>
      <c r="M248" t="s">
        <v>19</v>
      </c>
      <c r="N248">
        <v>3</v>
      </c>
      <c r="O248" s="4"/>
      <c r="P248" s="4" t="str">
        <f>IF(Data_Set_2[[#This Row],[valor_bruto]]&gt;$W$13,"OUTLIER+","")</f>
        <v/>
      </c>
      <c r="Q248" s="4" t="str">
        <f>IF(Data_Set_2[[#This Row],[valor_bruto]]&lt;$W$14,"OUTLIER-","")</f>
        <v/>
      </c>
      <c r="R248" s="4"/>
      <c r="S248" s="4"/>
      <c r="AB248" t="str">
        <v>RES-100246</v>
      </c>
      <c r="AC248">
        <v>45935</v>
      </c>
      <c r="AD248">
        <v>0.6958333333333333</v>
      </c>
      <c r="AE248" t="str">
        <v>Centro</v>
      </c>
      <c r="AF248" t="str">
        <v>Mesa</v>
      </c>
      <c r="AG248" t="str">
        <v>Pasta</v>
      </c>
      <c r="AH248">
        <v>5</v>
      </c>
      <c r="AI248">
        <v>39319.75</v>
      </c>
      <c r="AJ248">
        <v>7842.43</v>
      </c>
      <c r="AK248">
        <v>17</v>
      </c>
      <c r="AL248">
        <v>28</v>
      </c>
      <c r="AM248" t="str">
        <v>Tarjeta</v>
      </c>
      <c r="AN248" t="str">
        <v>Entregada</v>
      </c>
      <c r="AO248">
        <v>3</v>
      </c>
    </row>
    <row r="249" spans="1:41" x14ac:dyDescent="0.3">
      <c r="A249" t="s">
        <v>280</v>
      </c>
      <c r="B249" s="8">
        <v>45936</v>
      </c>
      <c r="C249" s="2">
        <v>0.74236111111111114</v>
      </c>
      <c r="D249" t="s">
        <v>33</v>
      </c>
      <c r="E249" t="s">
        <v>22</v>
      </c>
      <c r="F249" t="s">
        <v>29</v>
      </c>
      <c r="G249">
        <v>5</v>
      </c>
      <c r="H249" s="6">
        <v>47400.75</v>
      </c>
      <c r="I249" s="6">
        <v>5745.23</v>
      </c>
      <c r="J249">
        <v>20</v>
      </c>
      <c r="K249">
        <v>49</v>
      </c>
      <c r="L249" t="s">
        <v>24</v>
      </c>
      <c r="M249" t="s">
        <v>25</v>
      </c>
      <c r="N249">
        <v>4</v>
      </c>
      <c r="O249" s="4"/>
      <c r="P249" s="4" t="str">
        <f>IF(Data_Set_2[[#This Row],[valor_bruto]]&gt;$W$13,"OUTLIER+","")</f>
        <v/>
      </c>
      <c r="Q249" s="4" t="str">
        <f>IF(Data_Set_2[[#This Row],[valor_bruto]]&lt;$W$14,"OUTLIER-","")</f>
        <v/>
      </c>
      <c r="R249" s="4"/>
      <c r="S249" s="4"/>
      <c r="AB249" t="str">
        <v>RES-100247</v>
      </c>
      <c r="AC249">
        <v>45936</v>
      </c>
      <c r="AD249">
        <v>0.74236111111111114</v>
      </c>
      <c r="AE249" t="str">
        <v>Envigado</v>
      </c>
      <c r="AF249" t="str">
        <v>Domicilio</v>
      </c>
      <c r="AG249" t="str">
        <v>Parrilla</v>
      </c>
      <c r="AH249">
        <v>5</v>
      </c>
      <c r="AI249">
        <v>47400.75</v>
      </c>
      <c r="AJ249">
        <v>5745.23</v>
      </c>
      <c r="AK249">
        <v>20</v>
      </c>
      <c r="AL249">
        <v>49</v>
      </c>
      <c r="AM249" t="str">
        <v>Efectivo</v>
      </c>
      <c r="AN249" t="str">
        <v>Cancelada</v>
      </c>
      <c r="AO249">
        <v>4</v>
      </c>
    </row>
    <row r="250" spans="1:41" x14ac:dyDescent="0.3">
      <c r="A250" t="s">
        <v>281</v>
      </c>
      <c r="B250" s="8">
        <v>45848</v>
      </c>
      <c r="C250" s="2">
        <v>0.78888888888888886</v>
      </c>
      <c r="D250" t="s">
        <v>15</v>
      </c>
      <c r="E250" t="s">
        <v>28</v>
      </c>
      <c r="F250" t="s">
        <v>34</v>
      </c>
      <c r="G250">
        <v>2</v>
      </c>
      <c r="H250" s="6">
        <v>56006.22</v>
      </c>
      <c r="I250" s="6">
        <v>5741.97</v>
      </c>
      <c r="J250">
        <v>14</v>
      </c>
      <c r="K250">
        <v>23</v>
      </c>
      <c r="L250" t="s">
        <v>30</v>
      </c>
      <c r="M250" t="s">
        <v>31</v>
      </c>
      <c r="N250">
        <v>5</v>
      </c>
      <c r="O250" s="4"/>
      <c r="P250" s="4" t="str">
        <f>IF(Data_Set_2[[#This Row],[valor_bruto]]&gt;$W$13,"OUTLIER+","")</f>
        <v/>
      </c>
      <c r="Q250" s="4" t="str">
        <f>IF(Data_Set_2[[#This Row],[valor_bruto]]&lt;$W$14,"OUTLIER-","")</f>
        <v/>
      </c>
      <c r="R250" s="4"/>
      <c r="S250" s="4"/>
      <c r="AB250" t="str">
        <v>RES-100248</v>
      </c>
      <c r="AC250">
        <v>45848</v>
      </c>
      <c r="AD250">
        <v>0.78888888888888886</v>
      </c>
      <c r="AE250" t="str">
        <v>Laureles</v>
      </c>
      <c r="AF250" t="str">
        <v>Recoge</v>
      </c>
      <c r="AG250" t="str">
        <v>Vegano</v>
      </c>
      <c r="AH250">
        <v>2</v>
      </c>
      <c r="AI250">
        <v>56006.22</v>
      </c>
      <c r="AJ250">
        <v>5741.97</v>
      </c>
      <c r="AK250">
        <v>14</v>
      </c>
      <c r="AL250">
        <v>23</v>
      </c>
      <c r="AM250" t="str">
        <v>App</v>
      </c>
      <c r="AN250" t="str">
        <v>Reembolsada</v>
      </c>
      <c r="AO250">
        <v>5</v>
      </c>
    </row>
    <row r="251" spans="1:41" x14ac:dyDescent="0.3">
      <c r="A251" t="s">
        <v>282</v>
      </c>
      <c r="B251" s="8">
        <v>45938</v>
      </c>
      <c r="C251" s="2">
        <v>0.79374999999999996</v>
      </c>
      <c r="D251" t="s">
        <v>21</v>
      </c>
      <c r="E251" t="s">
        <v>16</v>
      </c>
      <c r="F251" t="s">
        <v>36</v>
      </c>
      <c r="G251">
        <v>6</v>
      </c>
      <c r="H251" s="6">
        <v>45200.89</v>
      </c>
      <c r="I251" s="6">
        <v>4415.51</v>
      </c>
      <c r="J251">
        <v>18</v>
      </c>
      <c r="K251">
        <v>43</v>
      </c>
      <c r="L251" t="s">
        <v>18</v>
      </c>
      <c r="M251" t="s">
        <v>19</v>
      </c>
      <c r="N251">
        <v>3</v>
      </c>
      <c r="O251" s="4"/>
      <c r="P251" s="4" t="str">
        <f>IF(Data_Set_2[[#This Row],[valor_bruto]]&gt;$W$13,"OUTLIER+","")</f>
        <v/>
      </c>
      <c r="Q251" s="4" t="str">
        <f>IF(Data_Set_2[[#This Row],[valor_bruto]]&lt;$W$14,"OUTLIER-","")</f>
        <v/>
      </c>
      <c r="R251" s="4"/>
      <c r="S251" s="4"/>
      <c r="AB251" t="str">
        <v>RES-100249</v>
      </c>
      <c r="AC251">
        <v>45938</v>
      </c>
      <c r="AD251">
        <v>0.79374999999999996</v>
      </c>
      <c r="AE251" t="str">
        <v>Poblado</v>
      </c>
      <c r="AF251" t="str">
        <v>Mesa</v>
      </c>
      <c r="AG251" t="str">
        <v>Bebidas</v>
      </c>
      <c r="AH251">
        <v>6</v>
      </c>
      <c r="AI251">
        <v>45200.89</v>
      </c>
      <c r="AJ251">
        <v>4415.51</v>
      </c>
      <c r="AK251">
        <v>18</v>
      </c>
      <c r="AL251">
        <v>43</v>
      </c>
      <c r="AM251" t="str">
        <v>Tarjeta</v>
      </c>
      <c r="AN251" t="str">
        <v>Entregada</v>
      </c>
      <c r="AO251">
        <v>3</v>
      </c>
    </row>
    <row r="252" spans="1:41" x14ac:dyDescent="0.3">
      <c r="A252" t="s">
        <v>283</v>
      </c>
      <c r="B252" s="8">
        <v>45939</v>
      </c>
      <c r="C252" s="2">
        <v>0.84027777777777779</v>
      </c>
      <c r="D252" t="s">
        <v>27</v>
      </c>
      <c r="E252" t="s">
        <v>22</v>
      </c>
      <c r="F252" t="s">
        <v>17</v>
      </c>
      <c r="G252">
        <v>2</v>
      </c>
      <c r="H252" s="6">
        <v>58852.72</v>
      </c>
      <c r="I252" s="6">
        <v>580.65</v>
      </c>
      <c r="J252">
        <v>19</v>
      </c>
      <c r="K252">
        <v>51</v>
      </c>
      <c r="L252" t="s">
        <v>24</v>
      </c>
      <c r="M252" t="s">
        <v>25</v>
      </c>
      <c r="N252">
        <v>3</v>
      </c>
      <c r="O252" s="4"/>
      <c r="P252" s="4" t="str">
        <f>IF(Data_Set_2[[#This Row],[valor_bruto]]&gt;$W$13,"OUTLIER+","")</f>
        <v/>
      </c>
      <c r="Q252" s="4" t="str">
        <f>IF(Data_Set_2[[#This Row],[valor_bruto]]&lt;$W$14,"OUTLIER-","")</f>
        <v/>
      </c>
      <c r="R252" s="4"/>
      <c r="S252" s="4"/>
      <c r="AB252" t="str">
        <v>RES-100250</v>
      </c>
      <c r="AC252">
        <v>45939</v>
      </c>
      <c r="AD252">
        <v>0.84027777777777779</v>
      </c>
      <c r="AE252" t="str">
        <v>Centro</v>
      </c>
      <c r="AF252" t="str">
        <v>Domicilio</v>
      </c>
      <c r="AG252" t="str">
        <v>Comida rapida</v>
      </c>
      <c r="AH252">
        <v>2</v>
      </c>
      <c r="AI252">
        <v>58852.72</v>
      </c>
      <c r="AJ252">
        <v>580.65</v>
      </c>
      <c r="AK252">
        <v>19</v>
      </c>
      <c r="AL252">
        <v>51</v>
      </c>
      <c r="AM252" t="str">
        <v>Efectivo</v>
      </c>
      <c r="AN252" t="str">
        <v>Cancelada</v>
      </c>
      <c r="AO252">
        <v>3</v>
      </c>
    </row>
    <row r="253" spans="1:41" x14ac:dyDescent="0.3">
      <c r="A253" t="s">
        <v>284</v>
      </c>
      <c r="B253" s="8">
        <v>45940</v>
      </c>
      <c r="C253" s="2">
        <v>0.88680555555555551</v>
      </c>
      <c r="D253" t="s">
        <v>33</v>
      </c>
      <c r="E253" t="s">
        <v>28</v>
      </c>
      <c r="F253" t="s">
        <v>23</v>
      </c>
      <c r="G253">
        <v>2</v>
      </c>
      <c r="H253" s="6">
        <v>55135.839999999997</v>
      </c>
      <c r="I253" s="6">
        <v>3908.55</v>
      </c>
      <c r="J253">
        <v>21</v>
      </c>
      <c r="K253">
        <v>51</v>
      </c>
      <c r="L253" t="s">
        <v>30</v>
      </c>
      <c r="M253" t="s">
        <v>31</v>
      </c>
      <c r="N253">
        <v>5</v>
      </c>
      <c r="O253" s="4"/>
      <c r="P253" s="4" t="str">
        <f>IF(Data_Set_2[[#This Row],[valor_bruto]]&gt;$W$13,"OUTLIER+","")</f>
        <v/>
      </c>
      <c r="Q253" s="4" t="str">
        <f>IF(Data_Set_2[[#This Row],[valor_bruto]]&lt;$W$14,"OUTLIER-","")</f>
        <v/>
      </c>
      <c r="R253" s="4"/>
      <c r="S253" s="4"/>
      <c r="AB253" t="str">
        <v>RES-100251</v>
      </c>
      <c r="AC253">
        <v>45940</v>
      </c>
      <c r="AD253">
        <v>0.88680555555555551</v>
      </c>
      <c r="AE253" t="str">
        <v>Envigado</v>
      </c>
      <c r="AF253" t="str">
        <v>Recoge</v>
      </c>
      <c r="AG253" t="str">
        <v>Pasta</v>
      </c>
      <c r="AH253">
        <v>2</v>
      </c>
      <c r="AI253">
        <v>55135.839999999997</v>
      </c>
      <c r="AJ253">
        <v>3908.55</v>
      </c>
      <c r="AK253">
        <v>21</v>
      </c>
      <c r="AL253">
        <v>51</v>
      </c>
      <c r="AM253" t="str">
        <v>App</v>
      </c>
      <c r="AN253" t="str">
        <v>Reembolsada</v>
      </c>
      <c r="AO253">
        <v>5</v>
      </c>
    </row>
    <row r="254" spans="1:41" x14ac:dyDescent="0.3">
      <c r="A254" t="s">
        <v>285</v>
      </c>
      <c r="B254" s="8">
        <v>45941</v>
      </c>
      <c r="C254" s="2">
        <v>0.43333333333333335</v>
      </c>
      <c r="D254" t="s">
        <v>15</v>
      </c>
      <c r="E254" t="s">
        <v>16</v>
      </c>
      <c r="F254" t="s">
        <v>29</v>
      </c>
      <c r="G254">
        <v>5</v>
      </c>
      <c r="H254" s="6">
        <v>38577.589999999997</v>
      </c>
      <c r="I254" s="6">
        <v>2953.63</v>
      </c>
      <c r="J254">
        <v>14</v>
      </c>
      <c r="K254">
        <v>27</v>
      </c>
      <c r="L254" t="s">
        <v>18</v>
      </c>
      <c r="M254" t="s">
        <v>19</v>
      </c>
      <c r="N254">
        <v>3</v>
      </c>
      <c r="O254" s="4"/>
      <c r="P254" s="4" t="str">
        <f>IF(Data_Set_2[[#This Row],[valor_bruto]]&gt;$W$13,"OUTLIER+","")</f>
        <v/>
      </c>
      <c r="Q254" s="4" t="str">
        <f>IF(Data_Set_2[[#This Row],[valor_bruto]]&lt;$W$14,"OUTLIER-","")</f>
        <v/>
      </c>
      <c r="R254" s="4"/>
      <c r="S254" s="4"/>
      <c r="AB254" t="str">
        <v>RES-100252</v>
      </c>
      <c r="AC254">
        <v>45941</v>
      </c>
      <c r="AD254">
        <v>0.43333333333333335</v>
      </c>
      <c r="AE254" t="str">
        <v>Laureles</v>
      </c>
      <c r="AF254" t="str">
        <v>Mesa</v>
      </c>
      <c r="AG254" t="str">
        <v>Parrilla</v>
      </c>
      <c r="AH254">
        <v>5</v>
      </c>
      <c r="AI254">
        <v>38577.589999999997</v>
      </c>
      <c r="AJ254">
        <v>2953.63</v>
      </c>
      <c r="AK254">
        <v>14</v>
      </c>
      <c r="AL254">
        <v>27</v>
      </c>
      <c r="AM254" t="str">
        <v>Tarjeta</v>
      </c>
      <c r="AN254" t="str">
        <v>Entregada</v>
      </c>
      <c r="AO254">
        <v>3</v>
      </c>
    </row>
    <row r="255" spans="1:41" x14ac:dyDescent="0.3">
      <c r="A255" t="s">
        <v>286</v>
      </c>
      <c r="B255" s="8">
        <v>45942</v>
      </c>
      <c r="C255" s="2">
        <v>0.47986111111111113</v>
      </c>
      <c r="D255" t="s">
        <v>21</v>
      </c>
      <c r="E255" t="s">
        <v>22</v>
      </c>
      <c r="F255" t="s">
        <v>34</v>
      </c>
      <c r="G255">
        <v>6</v>
      </c>
      <c r="H255" s="6">
        <v>28212.7</v>
      </c>
      <c r="I255" s="6">
        <v>5895.91</v>
      </c>
      <c r="J255">
        <v>30</v>
      </c>
      <c r="K255">
        <v>30</v>
      </c>
      <c r="L255" t="s">
        <v>24</v>
      </c>
      <c r="M255" t="s">
        <v>25</v>
      </c>
      <c r="N255">
        <v>5</v>
      </c>
      <c r="O255" s="4"/>
      <c r="P255" s="4" t="str">
        <f>IF(Data_Set_2[[#This Row],[valor_bruto]]&gt;$W$13,"OUTLIER+","")</f>
        <v/>
      </c>
      <c r="Q255" s="4" t="str">
        <f>IF(Data_Set_2[[#This Row],[valor_bruto]]&lt;$W$14,"OUTLIER-","")</f>
        <v/>
      </c>
      <c r="R255" s="4"/>
      <c r="S255" s="4"/>
      <c r="AB255" t="str">
        <v>RES-100253</v>
      </c>
      <c r="AC255">
        <v>45942</v>
      </c>
      <c r="AD255">
        <v>0.47986111111111113</v>
      </c>
      <c r="AE255" t="str">
        <v>Poblado</v>
      </c>
      <c r="AF255" t="str">
        <v>Domicilio</v>
      </c>
      <c r="AG255" t="str">
        <v>Vegano</v>
      </c>
      <c r="AH255">
        <v>6</v>
      </c>
      <c r="AI255">
        <v>28212.7</v>
      </c>
      <c r="AJ255">
        <v>5895.91</v>
      </c>
      <c r="AK255">
        <v>30</v>
      </c>
      <c r="AL255">
        <v>30</v>
      </c>
      <c r="AM255" t="str">
        <v>Efectivo</v>
      </c>
      <c r="AN255" t="str">
        <v>Cancelada</v>
      </c>
      <c r="AO255">
        <v>5</v>
      </c>
    </row>
    <row r="256" spans="1:41" x14ac:dyDescent="0.3">
      <c r="A256" t="s">
        <v>287</v>
      </c>
      <c r="B256" s="8">
        <v>45943</v>
      </c>
      <c r="C256" s="2">
        <v>0.52638888888888891</v>
      </c>
      <c r="D256" t="s">
        <v>27</v>
      </c>
      <c r="E256" t="s">
        <v>28</v>
      </c>
      <c r="F256" t="s">
        <v>36</v>
      </c>
      <c r="G256">
        <v>2</v>
      </c>
      <c r="H256" s="6">
        <v>59670.12</v>
      </c>
      <c r="I256" s="6">
        <v>3845.26</v>
      </c>
      <c r="J256">
        <v>20</v>
      </c>
      <c r="K256">
        <v>51</v>
      </c>
      <c r="L256" t="s">
        <v>30</v>
      </c>
      <c r="M256" t="s">
        <v>31</v>
      </c>
      <c r="N256">
        <v>3</v>
      </c>
      <c r="O256" s="4"/>
      <c r="P256" s="4" t="str">
        <f>IF(Data_Set_2[[#This Row],[valor_bruto]]&gt;$W$13,"OUTLIER+","")</f>
        <v/>
      </c>
      <c r="Q256" s="4" t="str">
        <f>IF(Data_Set_2[[#This Row],[valor_bruto]]&lt;$W$14,"OUTLIER-","")</f>
        <v/>
      </c>
      <c r="R256" s="4"/>
      <c r="S256" s="4"/>
      <c r="AB256" t="str">
        <v>RES-100254</v>
      </c>
      <c r="AC256">
        <v>45943</v>
      </c>
      <c r="AD256">
        <v>0.52638888888888891</v>
      </c>
      <c r="AE256" t="str">
        <v>Centro</v>
      </c>
      <c r="AF256" t="str">
        <v>Recoge</v>
      </c>
      <c r="AG256" t="str">
        <v>Bebidas</v>
      </c>
      <c r="AH256">
        <v>2</v>
      </c>
      <c r="AI256">
        <v>59670.12</v>
      </c>
      <c r="AJ256">
        <v>3845.26</v>
      </c>
      <c r="AK256">
        <v>20</v>
      </c>
      <c r="AL256">
        <v>51</v>
      </c>
      <c r="AM256" t="str">
        <v>App</v>
      </c>
      <c r="AN256" t="str">
        <v>Reembolsada</v>
      </c>
      <c r="AO256">
        <v>3</v>
      </c>
    </row>
    <row r="257" spans="1:41" x14ac:dyDescent="0.3">
      <c r="A257" t="s">
        <v>288</v>
      </c>
      <c r="B257" s="8">
        <v>45944</v>
      </c>
      <c r="C257" s="2">
        <v>0.57291666666666663</v>
      </c>
      <c r="D257" t="s">
        <v>33</v>
      </c>
      <c r="E257" t="s">
        <v>16</v>
      </c>
      <c r="F257" t="s">
        <v>17</v>
      </c>
      <c r="G257">
        <v>4</v>
      </c>
      <c r="H257" s="6">
        <v>26095.93</v>
      </c>
      <c r="I257" s="6">
        <v>5774.21</v>
      </c>
      <c r="J257">
        <v>21</v>
      </c>
      <c r="K257">
        <v>29</v>
      </c>
      <c r="L257" t="s">
        <v>18</v>
      </c>
      <c r="M257" t="s">
        <v>19</v>
      </c>
      <c r="N257">
        <v>3</v>
      </c>
      <c r="O257" s="4"/>
      <c r="P257" s="4" t="str">
        <f>IF(Data_Set_2[[#This Row],[valor_bruto]]&gt;$W$13,"OUTLIER+","")</f>
        <v/>
      </c>
      <c r="Q257" s="4" t="str">
        <f>IF(Data_Set_2[[#This Row],[valor_bruto]]&lt;$W$14,"OUTLIER-","")</f>
        <v/>
      </c>
      <c r="R257" s="4"/>
      <c r="S257" s="4"/>
      <c r="AB257" t="str">
        <v>RES-100255</v>
      </c>
      <c r="AC257">
        <v>45944</v>
      </c>
      <c r="AD257">
        <v>0.57291666666666663</v>
      </c>
      <c r="AE257" t="str">
        <v>Envigado</v>
      </c>
      <c r="AF257" t="str">
        <v>Mesa</v>
      </c>
      <c r="AG257" t="str">
        <v>Comida rapida</v>
      </c>
      <c r="AH257">
        <v>4</v>
      </c>
      <c r="AI257">
        <v>26095.93</v>
      </c>
      <c r="AJ257">
        <v>5774.21</v>
      </c>
      <c r="AK257">
        <v>21</v>
      </c>
      <c r="AL257">
        <v>29</v>
      </c>
      <c r="AM257" t="str">
        <v>Tarjeta</v>
      </c>
      <c r="AN257" t="str">
        <v>Entregada</v>
      </c>
      <c r="AO257">
        <v>3</v>
      </c>
    </row>
    <row r="258" spans="1:41" x14ac:dyDescent="0.3">
      <c r="A258" t="s">
        <v>289</v>
      </c>
      <c r="B258" s="8">
        <v>45945</v>
      </c>
      <c r="C258" s="2">
        <v>0.61944444444444446</v>
      </c>
      <c r="D258" t="s">
        <v>15</v>
      </c>
      <c r="E258" t="s">
        <v>22</v>
      </c>
      <c r="F258" t="s">
        <v>23</v>
      </c>
      <c r="G258">
        <v>3</v>
      </c>
      <c r="H258" s="6">
        <v>30734.54</v>
      </c>
      <c r="I258" s="6">
        <v>3708.38</v>
      </c>
      <c r="J258">
        <v>18</v>
      </c>
      <c r="K258">
        <v>40</v>
      </c>
      <c r="L258" t="s">
        <v>24</v>
      </c>
      <c r="M258" t="s">
        <v>25</v>
      </c>
      <c r="N258">
        <v>5</v>
      </c>
      <c r="O258" s="4"/>
      <c r="P258" s="4" t="str">
        <f>IF(Data_Set_2[[#This Row],[valor_bruto]]&gt;$W$13,"OUTLIER+","")</f>
        <v/>
      </c>
      <c r="Q258" s="4" t="str">
        <f>IF(Data_Set_2[[#This Row],[valor_bruto]]&lt;$W$14,"OUTLIER-","")</f>
        <v/>
      </c>
      <c r="R258" s="4"/>
      <c r="S258" s="4"/>
      <c r="AB258" t="str">
        <v>RES-100256</v>
      </c>
      <c r="AC258">
        <v>45945</v>
      </c>
      <c r="AD258">
        <v>0.61944444444444446</v>
      </c>
      <c r="AE258" t="str">
        <v>Laureles</v>
      </c>
      <c r="AF258" t="str">
        <v>Domicilio</v>
      </c>
      <c r="AG258" t="str">
        <v>Pasta</v>
      </c>
      <c r="AH258">
        <v>3</v>
      </c>
      <c r="AI258">
        <v>30734.54</v>
      </c>
      <c r="AJ258">
        <v>3708.38</v>
      </c>
      <c r="AK258">
        <v>18</v>
      </c>
      <c r="AL258">
        <v>40</v>
      </c>
      <c r="AM258" t="str">
        <v>Efectivo</v>
      </c>
      <c r="AN258" t="str">
        <v>Cancelada</v>
      </c>
      <c r="AO258">
        <v>5</v>
      </c>
    </row>
    <row r="259" spans="1:41" x14ac:dyDescent="0.3">
      <c r="A259" t="s">
        <v>290</v>
      </c>
      <c r="B259" s="8">
        <v>45946</v>
      </c>
      <c r="C259" s="2">
        <v>0.66597222222222219</v>
      </c>
      <c r="D259" t="s">
        <v>21</v>
      </c>
      <c r="E259" t="s">
        <v>28</v>
      </c>
      <c r="F259" t="s">
        <v>29</v>
      </c>
      <c r="G259">
        <v>2</v>
      </c>
      <c r="H259" s="6">
        <v>47804.07</v>
      </c>
      <c r="I259" s="6">
        <v>1565.12</v>
      </c>
      <c r="J259">
        <v>14</v>
      </c>
      <c r="K259">
        <v>42</v>
      </c>
      <c r="L259" t="s">
        <v>30</v>
      </c>
      <c r="M259" t="s">
        <v>31</v>
      </c>
      <c r="N259">
        <v>4</v>
      </c>
      <c r="O259" s="4"/>
      <c r="P259" s="4" t="str">
        <f>IF(Data_Set_2[[#This Row],[valor_bruto]]&gt;$W$13,"OUTLIER+","")</f>
        <v/>
      </c>
      <c r="Q259" s="4" t="str">
        <f>IF(Data_Set_2[[#This Row],[valor_bruto]]&lt;$W$14,"OUTLIER-","")</f>
        <v/>
      </c>
      <c r="R259" s="4"/>
      <c r="S259" s="4"/>
      <c r="AB259" t="str">
        <v>RES-100257</v>
      </c>
      <c r="AC259">
        <v>45946</v>
      </c>
      <c r="AD259">
        <v>0.66597222222222219</v>
      </c>
      <c r="AE259" t="str">
        <v>Poblado</v>
      </c>
      <c r="AF259" t="str">
        <v>Recoge</v>
      </c>
      <c r="AG259" t="str">
        <v>Parrilla</v>
      </c>
      <c r="AH259">
        <v>2</v>
      </c>
      <c r="AI259">
        <v>47804.07</v>
      </c>
      <c r="AJ259">
        <v>1565.12</v>
      </c>
      <c r="AK259">
        <v>14</v>
      </c>
      <c r="AL259">
        <v>42</v>
      </c>
      <c r="AM259" t="str">
        <v>App</v>
      </c>
      <c r="AN259" t="str">
        <v>Reembolsada</v>
      </c>
      <c r="AO259">
        <v>4</v>
      </c>
    </row>
    <row r="260" spans="1:41" x14ac:dyDescent="0.3">
      <c r="A260" t="s">
        <v>291</v>
      </c>
      <c r="B260" s="8">
        <v>45947</v>
      </c>
      <c r="C260" s="2">
        <v>0.67083333333333328</v>
      </c>
      <c r="D260" t="s">
        <v>27</v>
      </c>
      <c r="E260" t="s">
        <v>16</v>
      </c>
      <c r="F260" t="s">
        <v>34</v>
      </c>
      <c r="G260">
        <v>5</v>
      </c>
      <c r="H260" s="6">
        <v>28864.66</v>
      </c>
      <c r="I260" s="6">
        <v>6034.23</v>
      </c>
      <c r="J260">
        <v>25</v>
      </c>
      <c r="K260">
        <v>52</v>
      </c>
      <c r="L260" t="s">
        <v>18</v>
      </c>
      <c r="M260" t="s">
        <v>19</v>
      </c>
      <c r="N260">
        <v>5</v>
      </c>
      <c r="O260" s="4"/>
      <c r="P260" s="4" t="str">
        <f>IF(Data_Set_2[[#This Row],[valor_bruto]]&gt;$W$13,"OUTLIER+","")</f>
        <v/>
      </c>
      <c r="Q260" s="4" t="str">
        <f>IF(Data_Set_2[[#This Row],[valor_bruto]]&lt;$W$14,"OUTLIER-","")</f>
        <v/>
      </c>
      <c r="R260" s="4"/>
      <c r="S260" s="4"/>
      <c r="AB260" t="str">
        <v>RES-100258</v>
      </c>
      <c r="AC260">
        <v>45947</v>
      </c>
      <c r="AD260">
        <v>0.67083333333333328</v>
      </c>
      <c r="AE260" t="str">
        <v>Centro</v>
      </c>
      <c r="AF260" t="str">
        <v>Mesa</v>
      </c>
      <c r="AG260" t="str">
        <v>Vegano</v>
      </c>
      <c r="AH260">
        <v>5</v>
      </c>
      <c r="AI260">
        <v>28864.66</v>
      </c>
      <c r="AJ260">
        <v>6034.23</v>
      </c>
      <c r="AK260">
        <v>25</v>
      </c>
      <c r="AL260">
        <v>52</v>
      </c>
      <c r="AM260" t="str">
        <v>Tarjeta</v>
      </c>
      <c r="AN260" t="str">
        <v>Entregada</v>
      </c>
      <c r="AO260">
        <v>5</v>
      </c>
    </row>
    <row r="261" spans="1:41" x14ac:dyDescent="0.3">
      <c r="A261" t="s">
        <v>292</v>
      </c>
      <c r="B261" s="8">
        <v>45948</v>
      </c>
      <c r="C261" s="2">
        <v>0.71736111111111112</v>
      </c>
      <c r="D261" t="s">
        <v>33</v>
      </c>
      <c r="E261" t="s">
        <v>22</v>
      </c>
      <c r="F261" t="s">
        <v>36</v>
      </c>
      <c r="G261">
        <v>4</v>
      </c>
      <c r="H261" s="6">
        <v>52847</v>
      </c>
      <c r="I261" s="6">
        <v>7987.5</v>
      </c>
      <c r="J261">
        <v>13</v>
      </c>
      <c r="K261">
        <v>30</v>
      </c>
      <c r="L261" t="s">
        <v>24</v>
      </c>
      <c r="M261" t="s">
        <v>25</v>
      </c>
      <c r="N261">
        <v>4</v>
      </c>
      <c r="O261" s="4"/>
      <c r="P261" s="4" t="str">
        <f>IF(Data_Set_2[[#This Row],[valor_bruto]]&gt;$W$13,"OUTLIER+","")</f>
        <v/>
      </c>
      <c r="Q261" s="4" t="str">
        <f>IF(Data_Set_2[[#This Row],[valor_bruto]]&lt;$W$14,"OUTLIER-","")</f>
        <v/>
      </c>
      <c r="R261" s="4"/>
      <c r="S261" s="4"/>
      <c r="AB261" t="str">
        <v>RES-100259</v>
      </c>
      <c r="AC261">
        <v>45948</v>
      </c>
      <c r="AD261">
        <v>0.71736111111111112</v>
      </c>
      <c r="AE261" t="str">
        <v>Envigado</v>
      </c>
      <c r="AF261" t="str">
        <v>Domicilio</v>
      </c>
      <c r="AG261" t="str">
        <v>Bebidas</v>
      </c>
      <c r="AH261">
        <v>4</v>
      </c>
      <c r="AI261">
        <v>52847</v>
      </c>
      <c r="AJ261">
        <v>7987.5</v>
      </c>
      <c r="AK261">
        <v>13</v>
      </c>
      <c r="AL261">
        <v>30</v>
      </c>
      <c r="AM261" t="str">
        <v>Efectivo</v>
      </c>
      <c r="AN261" t="str">
        <v>Cancelada</v>
      </c>
      <c r="AO261">
        <v>4</v>
      </c>
    </row>
    <row r="262" spans="1:41" x14ac:dyDescent="0.3">
      <c r="A262" t="s">
        <v>293</v>
      </c>
      <c r="B262" s="8">
        <v>45949</v>
      </c>
      <c r="C262" s="2">
        <v>0.76388888888888884</v>
      </c>
      <c r="D262" t="s">
        <v>15</v>
      </c>
      <c r="E262" t="s">
        <v>28</v>
      </c>
      <c r="F262" t="s">
        <v>17</v>
      </c>
      <c r="G262">
        <v>2</v>
      </c>
      <c r="H262" s="6">
        <v>51652.9</v>
      </c>
      <c r="I262" s="6">
        <v>2005.25</v>
      </c>
      <c r="J262">
        <v>29</v>
      </c>
      <c r="K262">
        <v>31</v>
      </c>
      <c r="L262" t="s">
        <v>30</v>
      </c>
      <c r="M262" t="s">
        <v>31</v>
      </c>
      <c r="N262">
        <v>4</v>
      </c>
      <c r="O262" s="4"/>
      <c r="P262" s="4" t="str">
        <f>IF(Data_Set_2[[#This Row],[valor_bruto]]&gt;$W$13,"OUTLIER+","")</f>
        <v/>
      </c>
      <c r="Q262" s="4" t="str">
        <f>IF(Data_Set_2[[#This Row],[valor_bruto]]&lt;$W$14,"OUTLIER-","")</f>
        <v/>
      </c>
      <c r="R262" s="4"/>
      <c r="S262" s="4"/>
      <c r="AB262" t="str">
        <v>RES-100260</v>
      </c>
      <c r="AC262">
        <v>45949</v>
      </c>
      <c r="AD262">
        <v>0.76388888888888884</v>
      </c>
      <c r="AE262" t="str">
        <v>Laureles</v>
      </c>
      <c r="AF262" t="str">
        <v>Recoge</v>
      </c>
      <c r="AG262" t="str">
        <v>Comida rapida</v>
      </c>
      <c r="AH262">
        <v>2</v>
      </c>
      <c r="AI262">
        <v>51652.9</v>
      </c>
      <c r="AJ262">
        <v>2005.25</v>
      </c>
      <c r="AK262">
        <v>29</v>
      </c>
      <c r="AL262">
        <v>31</v>
      </c>
      <c r="AM262" t="str">
        <v>App</v>
      </c>
      <c r="AN262" t="str">
        <v>Reembolsada</v>
      </c>
      <c r="AO262">
        <v>4</v>
      </c>
    </row>
    <row r="263" spans="1:41" x14ac:dyDescent="0.3">
      <c r="A263" t="s">
        <v>294</v>
      </c>
      <c r="B263" s="8">
        <v>45950</v>
      </c>
      <c r="C263" s="2">
        <v>0.81041666666666667</v>
      </c>
      <c r="D263" t="s">
        <v>21</v>
      </c>
      <c r="E263" t="s">
        <v>16</v>
      </c>
      <c r="F263" t="s">
        <v>23</v>
      </c>
      <c r="G263">
        <v>5</v>
      </c>
      <c r="H263" s="6">
        <v>47931.99</v>
      </c>
      <c r="I263" s="6">
        <v>6958.32</v>
      </c>
      <c r="J263">
        <v>15</v>
      </c>
      <c r="K263">
        <v>52</v>
      </c>
      <c r="L263" t="s">
        <v>18</v>
      </c>
      <c r="M263" t="s">
        <v>19</v>
      </c>
      <c r="N263">
        <v>4</v>
      </c>
      <c r="O263" s="4"/>
      <c r="P263" s="4" t="str">
        <f>IF(Data_Set_2[[#This Row],[valor_bruto]]&gt;$W$13,"OUTLIER+","")</f>
        <v/>
      </c>
      <c r="Q263" s="4" t="str">
        <f>IF(Data_Set_2[[#This Row],[valor_bruto]]&lt;$W$14,"OUTLIER-","")</f>
        <v/>
      </c>
      <c r="R263" s="4"/>
      <c r="S263" s="4"/>
      <c r="AB263" t="str">
        <v>RES-100261</v>
      </c>
      <c r="AC263">
        <v>45950</v>
      </c>
      <c r="AD263">
        <v>0.81041666666666667</v>
      </c>
      <c r="AE263" t="str">
        <v>Poblado</v>
      </c>
      <c r="AF263" t="str">
        <v>Mesa</v>
      </c>
      <c r="AG263" t="str">
        <v>Pasta</v>
      </c>
      <c r="AH263">
        <v>5</v>
      </c>
      <c r="AI263">
        <v>47931.99</v>
      </c>
      <c r="AJ263">
        <v>6958.32</v>
      </c>
      <c r="AK263">
        <v>15</v>
      </c>
      <c r="AL263">
        <v>52</v>
      </c>
      <c r="AM263" t="str">
        <v>Tarjeta</v>
      </c>
      <c r="AN263" t="str">
        <v>Entregada</v>
      </c>
      <c r="AO263">
        <v>4</v>
      </c>
    </row>
    <row r="264" spans="1:41" x14ac:dyDescent="0.3">
      <c r="A264" t="s">
        <v>295</v>
      </c>
      <c r="B264" s="8">
        <v>45951</v>
      </c>
      <c r="C264" s="2">
        <v>0.8569444444444444</v>
      </c>
      <c r="D264" t="s">
        <v>27</v>
      </c>
      <c r="E264" t="s">
        <v>22</v>
      </c>
      <c r="F264" t="s">
        <v>29</v>
      </c>
      <c r="G264">
        <v>2</v>
      </c>
      <c r="H264" s="6">
        <v>67308.570000000007</v>
      </c>
      <c r="I264" s="6">
        <v>4165.17</v>
      </c>
      <c r="J264">
        <v>24</v>
      </c>
      <c r="K264">
        <v>24</v>
      </c>
      <c r="L264" t="s">
        <v>24</v>
      </c>
      <c r="M264" t="s">
        <v>25</v>
      </c>
      <c r="N264">
        <v>5</v>
      </c>
      <c r="O264" s="4"/>
      <c r="P264" s="4" t="str">
        <f>IF(Data_Set_2[[#This Row],[valor_bruto]]&gt;$W$13,"OUTLIER+","")</f>
        <v/>
      </c>
      <c r="Q264" s="4" t="str">
        <f>IF(Data_Set_2[[#This Row],[valor_bruto]]&lt;$W$14,"OUTLIER-","")</f>
        <v/>
      </c>
      <c r="R264" s="4"/>
      <c r="S264" s="4"/>
      <c r="AB264" t="str">
        <v>RES-100262</v>
      </c>
      <c r="AC264">
        <v>45951</v>
      </c>
      <c r="AD264">
        <v>0.8569444444444444</v>
      </c>
      <c r="AE264" t="str">
        <v>Centro</v>
      </c>
      <c r="AF264" t="str">
        <v>Domicilio</v>
      </c>
      <c r="AG264" t="str">
        <v>Parrilla</v>
      </c>
      <c r="AH264">
        <v>2</v>
      </c>
      <c r="AI264">
        <v>67308.570000000007</v>
      </c>
      <c r="AJ264">
        <v>4165.17</v>
      </c>
      <c r="AK264">
        <v>24</v>
      </c>
      <c r="AL264">
        <v>24</v>
      </c>
      <c r="AM264" t="str">
        <v>Efectivo</v>
      </c>
      <c r="AN264" t="str">
        <v>Cancelada</v>
      </c>
      <c r="AO264">
        <v>5</v>
      </c>
    </row>
    <row r="265" spans="1:41" x14ac:dyDescent="0.3">
      <c r="A265" t="s">
        <v>296</v>
      </c>
      <c r="B265" s="8">
        <v>45952</v>
      </c>
      <c r="C265" s="2">
        <v>0.90347222222222223</v>
      </c>
      <c r="D265" t="s">
        <v>33</v>
      </c>
      <c r="E265" t="s">
        <v>28</v>
      </c>
      <c r="F265" t="s">
        <v>34</v>
      </c>
      <c r="G265">
        <v>6</v>
      </c>
      <c r="H265" s="6">
        <v>37547.589999999997</v>
      </c>
      <c r="I265" s="6">
        <v>7052.13</v>
      </c>
      <c r="J265">
        <v>29</v>
      </c>
      <c r="K265">
        <v>46</v>
      </c>
      <c r="L265" t="s">
        <v>30</v>
      </c>
      <c r="M265" t="s">
        <v>31</v>
      </c>
      <c r="N265">
        <v>5</v>
      </c>
      <c r="O265" s="4"/>
      <c r="P265" s="4" t="str">
        <f>IF(Data_Set_2[[#This Row],[valor_bruto]]&gt;$W$13,"OUTLIER+","")</f>
        <v/>
      </c>
      <c r="Q265" s="4" t="str">
        <f>IF(Data_Set_2[[#This Row],[valor_bruto]]&lt;$W$14,"OUTLIER-","")</f>
        <v/>
      </c>
      <c r="R265" s="4"/>
      <c r="S265" s="4"/>
      <c r="AB265" t="str">
        <v>RES-100263</v>
      </c>
      <c r="AC265">
        <v>45952</v>
      </c>
      <c r="AD265">
        <v>0.90347222222222223</v>
      </c>
      <c r="AE265" t="str">
        <v>Envigado</v>
      </c>
      <c r="AF265" t="str">
        <v>Recoge</v>
      </c>
      <c r="AG265" t="str">
        <v>Vegano</v>
      </c>
      <c r="AH265">
        <v>6</v>
      </c>
      <c r="AI265">
        <v>37547.589999999997</v>
      </c>
      <c r="AJ265">
        <v>7052.13</v>
      </c>
      <c r="AK265">
        <v>29</v>
      </c>
      <c r="AL265">
        <v>46</v>
      </c>
      <c r="AM265" t="str">
        <v>App</v>
      </c>
      <c r="AN265" t="str">
        <v>Reembolsada</v>
      </c>
      <c r="AO265">
        <v>5</v>
      </c>
    </row>
    <row r="266" spans="1:41" x14ac:dyDescent="0.3">
      <c r="A266" t="s">
        <v>297</v>
      </c>
      <c r="B266" s="8">
        <v>45953</v>
      </c>
      <c r="C266" s="2">
        <v>0.45</v>
      </c>
      <c r="D266" t="s">
        <v>15</v>
      </c>
      <c r="E266" t="s">
        <v>16</v>
      </c>
      <c r="F266" t="s">
        <v>36</v>
      </c>
      <c r="G266">
        <v>4</v>
      </c>
      <c r="H266" s="6">
        <v>29287.46</v>
      </c>
      <c r="I266" s="6">
        <v>1936.2</v>
      </c>
      <c r="J266">
        <v>21</v>
      </c>
      <c r="K266">
        <v>42</v>
      </c>
      <c r="L266" t="s">
        <v>18</v>
      </c>
      <c r="M266" t="s">
        <v>19</v>
      </c>
      <c r="N266">
        <v>4</v>
      </c>
      <c r="O266" s="4"/>
      <c r="P266" s="4" t="str">
        <f>IF(Data_Set_2[[#This Row],[valor_bruto]]&gt;$W$13,"OUTLIER+","")</f>
        <v/>
      </c>
      <c r="Q266" s="4" t="str">
        <f>IF(Data_Set_2[[#This Row],[valor_bruto]]&lt;$W$14,"OUTLIER-","")</f>
        <v/>
      </c>
      <c r="R266" s="4"/>
      <c r="S266" s="4"/>
      <c r="AB266" t="str">
        <v>RES-100264</v>
      </c>
      <c r="AC266">
        <v>45953</v>
      </c>
      <c r="AD266">
        <v>0.45</v>
      </c>
      <c r="AE266" t="str">
        <v>Laureles</v>
      </c>
      <c r="AF266" t="str">
        <v>Mesa</v>
      </c>
      <c r="AG266" t="str">
        <v>Bebidas</v>
      </c>
      <c r="AH266">
        <v>4</v>
      </c>
      <c r="AI266">
        <v>29287.46</v>
      </c>
      <c r="AJ266">
        <v>1936.2</v>
      </c>
      <c r="AK266">
        <v>21</v>
      </c>
      <c r="AL266">
        <v>42</v>
      </c>
      <c r="AM266" t="str">
        <v>Tarjeta</v>
      </c>
      <c r="AN266" t="str">
        <v>Entregada</v>
      </c>
      <c r="AO266">
        <v>4</v>
      </c>
    </row>
    <row r="267" spans="1:41" x14ac:dyDescent="0.3">
      <c r="A267" t="s">
        <v>298</v>
      </c>
      <c r="B267" s="8">
        <v>45954</v>
      </c>
      <c r="C267" s="2">
        <v>0.49652777777777779</v>
      </c>
      <c r="D267" t="s">
        <v>21</v>
      </c>
      <c r="E267" t="s">
        <v>22</v>
      </c>
      <c r="F267" t="s">
        <v>17</v>
      </c>
      <c r="G267">
        <v>6</v>
      </c>
      <c r="H267" s="6">
        <v>42630.54</v>
      </c>
      <c r="I267" s="6">
        <v>7037.53</v>
      </c>
      <c r="J267">
        <v>29</v>
      </c>
      <c r="K267">
        <v>30</v>
      </c>
      <c r="L267" t="s">
        <v>24</v>
      </c>
      <c r="M267" t="s">
        <v>25</v>
      </c>
      <c r="N267">
        <v>3</v>
      </c>
      <c r="O267" s="4"/>
      <c r="P267" s="4" t="str">
        <f>IF(Data_Set_2[[#This Row],[valor_bruto]]&gt;$W$13,"OUTLIER+","")</f>
        <v/>
      </c>
      <c r="Q267" s="4" t="str">
        <f>IF(Data_Set_2[[#This Row],[valor_bruto]]&lt;$W$14,"OUTLIER-","")</f>
        <v/>
      </c>
      <c r="R267" s="4"/>
      <c r="S267" s="4"/>
      <c r="AB267" t="str">
        <v>RES-100265</v>
      </c>
      <c r="AC267">
        <v>45954</v>
      </c>
      <c r="AD267">
        <v>0.49652777777777779</v>
      </c>
      <c r="AE267" t="str">
        <v>Poblado</v>
      </c>
      <c r="AF267" t="str">
        <v>Domicilio</v>
      </c>
      <c r="AG267" t="str">
        <v>Comida rapida</v>
      </c>
      <c r="AH267">
        <v>6</v>
      </c>
      <c r="AI267">
        <v>42630.54</v>
      </c>
      <c r="AJ267">
        <v>7037.53</v>
      </c>
      <c r="AK267">
        <v>29</v>
      </c>
      <c r="AL267">
        <v>30</v>
      </c>
      <c r="AM267" t="str">
        <v>Efectivo</v>
      </c>
      <c r="AN267" t="str">
        <v>Cancelada</v>
      </c>
      <c r="AO267">
        <v>3</v>
      </c>
    </row>
    <row r="268" spans="1:41" x14ac:dyDescent="0.3">
      <c r="A268" t="s">
        <v>299</v>
      </c>
      <c r="B268" s="8">
        <v>45955</v>
      </c>
      <c r="C268" s="2">
        <v>0.50138888888888888</v>
      </c>
      <c r="D268" t="s">
        <v>27</v>
      </c>
      <c r="E268" t="s">
        <v>28</v>
      </c>
      <c r="F268" t="s">
        <v>23</v>
      </c>
      <c r="G268">
        <v>6</v>
      </c>
      <c r="H268" s="6">
        <v>32220.7</v>
      </c>
      <c r="I268" s="6">
        <v>2305.4699999999998</v>
      </c>
      <c r="J268">
        <v>16</v>
      </c>
      <c r="K268">
        <v>24</v>
      </c>
      <c r="L268" t="s">
        <v>30</v>
      </c>
      <c r="M268" t="s">
        <v>31</v>
      </c>
      <c r="N268">
        <v>5</v>
      </c>
      <c r="O268" s="4"/>
      <c r="P268" s="4" t="str">
        <f>IF(Data_Set_2[[#This Row],[valor_bruto]]&gt;$W$13,"OUTLIER+","")</f>
        <v/>
      </c>
      <c r="Q268" s="4" t="str">
        <f>IF(Data_Set_2[[#This Row],[valor_bruto]]&lt;$W$14,"OUTLIER-","")</f>
        <v/>
      </c>
      <c r="R268" s="4"/>
      <c r="S268" s="4"/>
      <c r="AB268" t="str">
        <v>RES-100266</v>
      </c>
      <c r="AC268">
        <v>45955</v>
      </c>
      <c r="AD268">
        <v>0.50138888888888888</v>
      </c>
      <c r="AE268" t="str">
        <v>Centro</v>
      </c>
      <c r="AF268" t="str">
        <v>Recoge</v>
      </c>
      <c r="AG268" t="str">
        <v>Pasta</v>
      </c>
      <c r="AH268">
        <v>6</v>
      </c>
      <c r="AI268">
        <v>32220.7</v>
      </c>
      <c r="AJ268">
        <v>2305.4699999999998</v>
      </c>
      <c r="AK268">
        <v>16</v>
      </c>
      <c r="AL268">
        <v>24</v>
      </c>
      <c r="AM268" t="str">
        <v>App</v>
      </c>
      <c r="AN268" t="str">
        <v>Reembolsada</v>
      </c>
      <c r="AO268">
        <v>5</v>
      </c>
    </row>
    <row r="269" spans="1:41" x14ac:dyDescent="0.3">
      <c r="A269" t="s">
        <v>300</v>
      </c>
      <c r="B269" s="8">
        <v>45956</v>
      </c>
      <c r="C269" s="2">
        <v>0.54791666666666672</v>
      </c>
      <c r="D269" t="s">
        <v>33</v>
      </c>
      <c r="E269" t="s">
        <v>16</v>
      </c>
      <c r="F269" t="s">
        <v>29</v>
      </c>
      <c r="G269">
        <v>6</v>
      </c>
      <c r="H269" s="6">
        <v>38878.36</v>
      </c>
      <c r="I269" s="6">
        <v>4015.81</v>
      </c>
      <c r="J269">
        <v>31</v>
      </c>
      <c r="K269">
        <v>34</v>
      </c>
      <c r="L269" t="s">
        <v>18</v>
      </c>
      <c r="M269" t="s">
        <v>19</v>
      </c>
      <c r="N269">
        <v>4</v>
      </c>
      <c r="O269" s="4"/>
      <c r="P269" s="4" t="str">
        <f>IF(Data_Set_2[[#This Row],[valor_bruto]]&gt;$W$13,"OUTLIER+","")</f>
        <v/>
      </c>
      <c r="Q269" s="4" t="str">
        <f>IF(Data_Set_2[[#This Row],[valor_bruto]]&lt;$W$14,"OUTLIER-","")</f>
        <v/>
      </c>
      <c r="R269" s="4"/>
      <c r="S269" s="4"/>
      <c r="AB269" t="str">
        <v>RES-100267</v>
      </c>
      <c r="AC269">
        <v>45956</v>
      </c>
      <c r="AD269">
        <v>0.54791666666666672</v>
      </c>
      <c r="AE269" t="str">
        <v>Envigado</v>
      </c>
      <c r="AF269" t="str">
        <v>Mesa</v>
      </c>
      <c r="AG269" t="str">
        <v>Parrilla</v>
      </c>
      <c r="AH269">
        <v>6</v>
      </c>
      <c r="AI269">
        <v>38878.36</v>
      </c>
      <c r="AJ269">
        <v>4015.81</v>
      </c>
      <c r="AK269">
        <v>31</v>
      </c>
      <c r="AL269">
        <v>34</v>
      </c>
      <c r="AM269" t="str">
        <v>Tarjeta</v>
      </c>
      <c r="AN269" t="str">
        <v>Entregada</v>
      </c>
      <c r="AO269">
        <v>4</v>
      </c>
    </row>
    <row r="270" spans="1:41" x14ac:dyDescent="0.3">
      <c r="A270" t="s">
        <v>301</v>
      </c>
      <c r="B270" s="8">
        <v>45957</v>
      </c>
      <c r="C270" s="2">
        <v>0.59444444444444444</v>
      </c>
      <c r="D270" t="s">
        <v>15</v>
      </c>
      <c r="E270" t="s">
        <v>22</v>
      </c>
      <c r="F270" t="s">
        <v>34</v>
      </c>
      <c r="G270">
        <v>4</v>
      </c>
      <c r="H270" s="6">
        <v>48805.24</v>
      </c>
      <c r="I270" s="6">
        <v>5445.73</v>
      </c>
      <c r="J270">
        <v>29</v>
      </c>
      <c r="K270">
        <v>40</v>
      </c>
      <c r="L270" t="s">
        <v>24</v>
      </c>
      <c r="M270" t="s">
        <v>25</v>
      </c>
      <c r="N270">
        <v>3</v>
      </c>
      <c r="O270" s="4"/>
      <c r="P270" s="4" t="str">
        <f>IF(Data_Set_2[[#This Row],[valor_bruto]]&gt;$W$13,"OUTLIER+","")</f>
        <v/>
      </c>
      <c r="Q270" s="4" t="str">
        <f>IF(Data_Set_2[[#This Row],[valor_bruto]]&lt;$W$14,"OUTLIER-","")</f>
        <v/>
      </c>
      <c r="R270" s="4"/>
      <c r="S270" s="4"/>
      <c r="AB270" t="str">
        <v>RES-100268</v>
      </c>
      <c r="AC270">
        <v>45957</v>
      </c>
      <c r="AD270">
        <v>0.59444444444444444</v>
      </c>
      <c r="AE270" t="str">
        <v>Laureles</v>
      </c>
      <c r="AF270" t="str">
        <v>Domicilio</v>
      </c>
      <c r="AG270" t="str">
        <v>Vegano</v>
      </c>
      <c r="AH270">
        <v>4</v>
      </c>
      <c r="AI270">
        <v>48805.24</v>
      </c>
      <c r="AJ270">
        <v>5445.73</v>
      </c>
      <c r="AK270">
        <v>29</v>
      </c>
      <c r="AL270">
        <v>40</v>
      </c>
      <c r="AM270" t="str">
        <v>Efectivo</v>
      </c>
      <c r="AN270" t="str">
        <v>Cancelada</v>
      </c>
      <c r="AO270">
        <v>3</v>
      </c>
    </row>
    <row r="271" spans="1:41" x14ac:dyDescent="0.3">
      <c r="A271" t="s">
        <v>302</v>
      </c>
      <c r="B271" s="8">
        <v>45958</v>
      </c>
      <c r="C271" s="2">
        <v>0.64097222222222228</v>
      </c>
      <c r="D271" t="s">
        <v>21</v>
      </c>
      <c r="E271" t="s">
        <v>28</v>
      </c>
      <c r="F271" t="s">
        <v>36</v>
      </c>
      <c r="G271">
        <v>2</v>
      </c>
      <c r="H271" s="6">
        <v>44499.87</v>
      </c>
      <c r="I271" s="6">
        <v>621.98</v>
      </c>
      <c r="J271">
        <v>15</v>
      </c>
      <c r="K271">
        <v>23</v>
      </c>
      <c r="L271" t="s">
        <v>30</v>
      </c>
      <c r="M271" t="s">
        <v>31</v>
      </c>
      <c r="N271">
        <v>5</v>
      </c>
      <c r="O271" s="4"/>
      <c r="P271" s="4" t="str">
        <f>IF(Data_Set_2[[#This Row],[valor_bruto]]&gt;$W$13,"OUTLIER+","")</f>
        <v/>
      </c>
      <c r="Q271" s="4" t="str">
        <f>IF(Data_Set_2[[#This Row],[valor_bruto]]&lt;$W$14,"OUTLIER-","")</f>
        <v/>
      </c>
      <c r="R271" s="4"/>
      <c r="S271" s="4"/>
      <c r="AB271" t="str">
        <v>RES-100269</v>
      </c>
      <c r="AC271">
        <v>45958</v>
      </c>
      <c r="AD271">
        <v>0.64097222222222228</v>
      </c>
      <c r="AE271" t="str">
        <v>Poblado</v>
      </c>
      <c r="AF271" t="str">
        <v>Recoge</v>
      </c>
      <c r="AG271" t="str">
        <v>Bebidas</v>
      </c>
      <c r="AH271">
        <v>2</v>
      </c>
      <c r="AI271">
        <v>44499.87</v>
      </c>
      <c r="AJ271">
        <v>621.98</v>
      </c>
      <c r="AK271">
        <v>15</v>
      </c>
      <c r="AL271">
        <v>23</v>
      </c>
      <c r="AM271" t="str">
        <v>App</v>
      </c>
      <c r="AN271" t="str">
        <v>Reembolsada</v>
      </c>
      <c r="AO271">
        <v>5</v>
      </c>
    </row>
    <row r="272" spans="1:41" x14ac:dyDescent="0.3">
      <c r="A272" t="s">
        <v>303</v>
      </c>
      <c r="B272" s="8">
        <v>45959</v>
      </c>
      <c r="C272" s="2">
        <v>0.6875</v>
      </c>
      <c r="D272" t="s">
        <v>27</v>
      </c>
      <c r="E272" t="s">
        <v>16</v>
      </c>
      <c r="F272" t="s">
        <v>17</v>
      </c>
      <c r="G272">
        <v>4</v>
      </c>
      <c r="H272" s="6">
        <v>66477.58</v>
      </c>
      <c r="I272" s="6">
        <v>1603.38</v>
      </c>
      <c r="J272">
        <v>28</v>
      </c>
      <c r="K272">
        <v>38</v>
      </c>
      <c r="L272" t="s">
        <v>18</v>
      </c>
      <c r="M272" t="s">
        <v>19</v>
      </c>
      <c r="N272">
        <v>5</v>
      </c>
      <c r="O272" s="4"/>
      <c r="P272" s="4" t="str">
        <f>IF(Data_Set_2[[#This Row],[valor_bruto]]&gt;$W$13,"OUTLIER+","")</f>
        <v/>
      </c>
      <c r="Q272" s="4" t="str">
        <f>IF(Data_Set_2[[#This Row],[valor_bruto]]&lt;$W$14,"OUTLIER-","")</f>
        <v/>
      </c>
      <c r="R272" s="4"/>
      <c r="S272" s="4"/>
      <c r="AB272" t="str">
        <v>RES-100270</v>
      </c>
      <c r="AC272">
        <v>45959</v>
      </c>
      <c r="AD272">
        <v>0.6875</v>
      </c>
      <c r="AE272" t="str">
        <v>Centro</v>
      </c>
      <c r="AF272" t="str">
        <v>Mesa</v>
      </c>
      <c r="AG272" t="str">
        <v>Comida rapida</v>
      </c>
      <c r="AH272">
        <v>4</v>
      </c>
      <c r="AI272">
        <v>66477.58</v>
      </c>
      <c r="AJ272">
        <v>1603.38</v>
      </c>
      <c r="AK272">
        <v>28</v>
      </c>
      <c r="AL272">
        <v>38</v>
      </c>
      <c r="AM272" t="str">
        <v>Tarjeta</v>
      </c>
      <c r="AN272" t="str">
        <v>Entregada</v>
      </c>
      <c r="AO272">
        <v>5</v>
      </c>
    </row>
    <row r="273" spans="1:41" x14ac:dyDescent="0.3">
      <c r="A273" t="s">
        <v>304</v>
      </c>
      <c r="B273" s="8">
        <v>45960</v>
      </c>
      <c r="C273" s="2">
        <v>0.73402777777777772</v>
      </c>
      <c r="D273" t="s">
        <v>33</v>
      </c>
      <c r="E273" t="s">
        <v>22</v>
      </c>
      <c r="F273" t="s">
        <v>23</v>
      </c>
      <c r="G273">
        <v>3</v>
      </c>
      <c r="H273" s="6">
        <v>61729.31</v>
      </c>
      <c r="I273" s="6">
        <v>1571.3</v>
      </c>
      <c r="J273">
        <v>24</v>
      </c>
      <c r="K273">
        <v>40</v>
      </c>
      <c r="L273" t="s">
        <v>24</v>
      </c>
      <c r="M273" t="s">
        <v>25</v>
      </c>
      <c r="N273">
        <v>3</v>
      </c>
      <c r="O273" s="4"/>
      <c r="P273" s="4" t="str">
        <f>IF(Data_Set_2[[#This Row],[valor_bruto]]&gt;$W$13,"OUTLIER+","")</f>
        <v/>
      </c>
      <c r="Q273" s="4" t="str">
        <f>IF(Data_Set_2[[#This Row],[valor_bruto]]&lt;$W$14,"OUTLIER-","")</f>
        <v/>
      </c>
      <c r="R273" s="4"/>
      <c r="S273" s="4"/>
      <c r="AB273" t="str">
        <v>RES-100271</v>
      </c>
      <c r="AC273">
        <v>45960</v>
      </c>
      <c r="AD273">
        <v>0.73402777777777772</v>
      </c>
      <c r="AE273" t="str">
        <v>Envigado</v>
      </c>
      <c r="AF273" t="str">
        <v>Domicilio</v>
      </c>
      <c r="AG273" t="str">
        <v>Pasta</v>
      </c>
      <c r="AH273">
        <v>3</v>
      </c>
      <c r="AI273">
        <v>61729.31</v>
      </c>
      <c r="AJ273">
        <v>1571.3</v>
      </c>
      <c r="AK273">
        <v>24</v>
      </c>
      <c r="AL273">
        <v>40</v>
      </c>
      <c r="AM273" t="str">
        <v>Efectivo</v>
      </c>
      <c r="AN273" t="str">
        <v>Cancelada</v>
      </c>
      <c r="AO273">
        <v>3</v>
      </c>
    </row>
    <row r="274" spans="1:41" x14ac:dyDescent="0.3">
      <c r="A274" t="s">
        <v>305</v>
      </c>
      <c r="B274" s="8">
        <v>45961</v>
      </c>
      <c r="C274" s="2">
        <v>0.78055555555555556</v>
      </c>
      <c r="D274" t="s">
        <v>15</v>
      </c>
      <c r="E274" t="s">
        <v>28</v>
      </c>
      <c r="F274" t="s">
        <v>29</v>
      </c>
      <c r="G274">
        <v>4</v>
      </c>
      <c r="H274" s="6">
        <v>30349.46</v>
      </c>
      <c r="I274" s="6">
        <v>914.35</v>
      </c>
      <c r="J274">
        <v>18</v>
      </c>
      <c r="K274">
        <v>39</v>
      </c>
      <c r="L274" t="s">
        <v>30</v>
      </c>
      <c r="M274" t="s">
        <v>31</v>
      </c>
      <c r="N274">
        <v>3</v>
      </c>
      <c r="O274" s="4"/>
      <c r="P274" s="4" t="str">
        <f>IF(Data_Set_2[[#This Row],[valor_bruto]]&gt;$W$13,"OUTLIER+","")</f>
        <v/>
      </c>
      <c r="Q274" s="4" t="str">
        <f>IF(Data_Set_2[[#This Row],[valor_bruto]]&lt;$W$14,"OUTLIER-","")</f>
        <v/>
      </c>
      <c r="R274" s="4"/>
      <c r="S274" s="4"/>
      <c r="AB274" t="str">
        <v>RES-100272</v>
      </c>
      <c r="AC274">
        <v>45961</v>
      </c>
      <c r="AD274">
        <v>0.78055555555555556</v>
      </c>
      <c r="AE274" t="str">
        <v>Laureles</v>
      </c>
      <c r="AF274" t="str">
        <v>Recoge</v>
      </c>
      <c r="AG274" t="str">
        <v>Parrilla</v>
      </c>
      <c r="AH274">
        <v>4</v>
      </c>
      <c r="AI274">
        <v>30349.46</v>
      </c>
      <c r="AJ274">
        <v>914.35</v>
      </c>
      <c r="AK274">
        <v>18</v>
      </c>
      <c r="AL274">
        <v>39</v>
      </c>
      <c r="AM274" t="str">
        <v>App</v>
      </c>
      <c r="AN274" t="str">
        <v>Reembolsada</v>
      </c>
      <c r="AO274">
        <v>3</v>
      </c>
    </row>
    <row r="275" spans="1:41" x14ac:dyDescent="0.3">
      <c r="A275" t="s">
        <v>306</v>
      </c>
      <c r="B275" s="8">
        <v>45962</v>
      </c>
      <c r="C275" s="2">
        <v>0.82708333333333328</v>
      </c>
      <c r="D275" t="s">
        <v>21</v>
      </c>
      <c r="E275" t="s">
        <v>16</v>
      </c>
      <c r="F275" t="s">
        <v>34</v>
      </c>
      <c r="G275">
        <v>5</v>
      </c>
      <c r="H275" s="6">
        <v>61275.71</v>
      </c>
      <c r="I275" s="6">
        <v>3506.72</v>
      </c>
      <c r="J275">
        <v>29</v>
      </c>
      <c r="K275" t="s">
        <v>307</v>
      </c>
      <c r="L275" t="s">
        <v>18</v>
      </c>
      <c r="M275" t="s">
        <v>19</v>
      </c>
      <c r="N275">
        <v>5</v>
      </c>
      <c r="O275" s="4"/>
      <c r="P275" s="4" t="str">
        <f>IF(Data_Set_2[[#This Row],[valor_bruto]]&gt;$W$13,"OUTLIER+","")</f>
        <v/>
      </c>
      <c r="Q275" s="4" t="str">
        <f>IF(Data_Set_2[[#This Row],[valor_bruto]]&lt;$W$14,"OUTLIER-","")</f>
        <v/>
      </c>
      <c r="R275" s="4"/>
      <c r="S275" s="4"/>
      <c r="AB275" t="str">
        <v>RES-100273</v>
      </c>
      <c r="AC275">
        <v>45962</v>
      </c>
      <c r="AD275">
        <v>0.82708333333333328</v>
      </c>
      <c r="AE275" t="str">
        <v>Poblado</v>
      </c>
      <c r="AF275" t="str">
        <v>Mesa</v>
      </c>
      <c r="AG275" t="str">
        <v>Vegano</v>
      </c>
      <c r="AH275">
        <v>5</v>
      </c>
      <c r="AI275">
        <v>61275.71</v>
      </c>
      <c r="AJ275">
        <v>3506.72</v>
      </c>
      <c r="AK275">
        <v>29</v>
      </c>
      <c r="AL275" t="str">
        <v>307.4</v>
      </c>
      <c r="AM275" t="str">
        <v>Tarjeta</v>
      </c>
      <c r="AN275" t="str">
        <v>Entregada</v>
      </c>
      <c r="AO275">
        <v>5</v>
      </c>
    </row>
    <row r="276" spans="1:41" x14ac:dyDescent="0.3">
      <c r="A276" t="s">
        <v>308</v>
      </c>
      <c r="B276" s="8">
        <v>45963</v>
      </c>
      <c r="C276" s="2">
        <v>0.87361111111111112</v>
      </c>
      <c r="D276" t="s">
        <v>27</v>
      </c>
      <c r="E276" t="s">
        <v>22</v>
      </c>
      <c r="F276" t="s">
        <v>36</v>
      </c>
      <c r="G276">
        <v>3</v>
      </c>
      <c r="H276" s="6">
        <v>33261.040000000001</v>
      </c>
      <c r="I276" s="6">
        <v>5424.19</v>
      </c>
      <c r="J276">
        <v>16</v>
      </c>
      <c r="K276">
        <v>44</v>
      </c>
      <c r="L276" t="s">
        <v>24</v>
      </c>
      <c r="M276" t="s">
        <v>25</v>
      </c>
      <c r="N276">
        <v>5</v>
      </c>
      <c r="O276" s="4"/>
      <c r="P276" s="4" t="str">
        <f>IF(Data_Set_2[[#This Row],[valor_bruto]]&gt;$W$13,"OUTLIER+","")</f>
        <v/>
      </c>
      <c r="Q276" s="4" t="str">
        <f>IF(Data_Set_2[[#This Row],[valor_bruto]]&lt;$W$14,"OUTLIER-","")</f>
        <v/>
      </c>
      <c r="R276" s="4"/>
      <c r="S276" s="4"/>
      <c r="AB276" t="str">
        <v>RES-100274</v>
      </c>
      <c r="AC276">
        <v>45963</v>
      </c>
      <c r="AD276">
        <v>0.87361111111111112</v>
      </c>
      <c r="AE276" t="str">
        <v>Centro</v>
      </c>
      <c r="AF276" t="str">
        <v>Domicilio</v>
      </c>
      <c r="AG276" t="str">
        <v>Bebidas</v>
      </c>
      <c r="AH276">
        <v>3</v>
      </c>
      <c r="AI276">
        <v>33261.040000000001</v>
      </c>
      <c r="AJ276">
        <v>5424.19</v>
      </c>
      <c r="AK276">
        <v>16</v>
      </c>
      <c r="AL276">
        <v>44</v>
      </c>
      <c r="AM276" t="str">
        <v>Efectivo</v>
      </c>
      <c r="AN276" t="str">
        <v>Cancelada</v>
      </c>
      <c r="AO276">
        <v>5</v>
      </c>
    </row>
    <row r="277" spans="1:41" x14ac:dyDescent="0.3">
      <c r="A277" t="s">
        <v>309</v>
      </c>
      <c r="B277" s="8">
        <v>45727</v>
      </c>
      <c r="C277" s="2">
        <v>0.87847222222222221</v>
      </c>
      <c r="D277" t="s">
        <v>33</v>
      </c>
      <c r="E277" t="s">
        <v>28</v>
      </c>
      <c r="F277" t="s">
        <v>17</v>
      </c>
      <c r="G277">
        <v>6</v>
      </c>
      <c r="H277" s="6">
        <v>52702.43</v>
      </c>
      <c r="I277" s="6">
        <v>5479.1</v>
      </c>
      <c r="J277">
        <v>30</v>
      </c>
      <c r="K277">
        <v>42</v>
      </c>
      <c r="L277" t="s">
        <v>30</v>
      </c>
      <c r="M277" t="s">
        <v>31</v>
      </c>
      <c r="N277">
        <v>4</v>
      </c>
      <c r="O277" s="4"/>
      <c r="P277" s="4" t="str">
        <f>IF(Data_Set_2[[#This Row],[valor_bruto]]&gt;$W$13,"OUTLIER+","")</f>
        <v/>
      </c>
      <c r="Q277" s="4" t="str">
        <f>IF(Data_Set_2[[#This Row],[valor_bruto]]&lt;$W$14,"OUTLIER-","")</f>
        <v/>
      </c>
      <c r="R277" s="4"/>
      <c r="S277" s="4"/>
      <c r="AB277" t="str">
        <v>RES-100275</v>
      </c>
      <c r="AC277">
        <v>45727</v>
      </c>
      <c r="AD277">
        <v>0.87847222222222221</v>
      </c>
      <c r="AE277" t="str">
        <v>Envigado</v>
      </c>
      <c r="AF277" t="str">
        <v>Recoge</v>
      </c>
      <c r="AG277" t="str">
        <v>Comida rapida</v>
      </c>
      <c r="AH277">
        <v>6</v>
      </c>
      <c r="AI277">
        <v>52702.43</v>
      </c>
      <c r="AJ277">
        <v>5479.1</v>
      </c>
      <c r="AK277">
        <v>30</v>
      </c>
      <c r="AL277">
        <v>42</v>
      </c>
      <c r="AM277" t="str">
        <v>App</v>
      </c>
      <c r="AN277" t="str">
        <v>Reembolsada</v>
      </c>
      <c r="AO277">
        <v>4</v>
      </c>
    </row>
    <row r="278" spans="1:41" x14ac:dyDescent="0.3">
      <c r="A278" t="s">
        <v>310</v>
      </c>
      <c r="B278" s="8">
        <v>45965</v>
      </c>
      <c r="C278" s="2">
        <v>0.42499999999999999</v>
      </c>
      <c r="D278" t="s">
        <v>15</v>
      </c>
      <c r="E278" t="s">
        <v>16</v>
      </c>
      <c r="F278" t="s">
        <v>23</v>
      </c>
      <c r="G278">
        <v>5</v>
      </c>
      <c r="H278" s="6">
        <v>50244.04</v>
      </c>
      <c r="I278" s="6">
        <v>2168.38</v>
      </c>
      <c r="J278">
        <v>27</v>
      </c>
      <c r="K278">
        <v>53</v>
      </c>
      <c r="L278" t="s">
        <v>18</v>
      </c>
      <c r="M278" t="s">
        <v>19</v>
      </c>
      <c r="N278">
        <v>4</v>
      </c>
      <c r="O278" s="4"/>
      <c r="P278" s="4" t="str">
        <f>IF(Data_Set_2[[#This Row],[valor_bruto]]&gt;$W$13,"OUTLIER+","")</f>
        <v/>
      </c>
      <c r="Q278" s="4" t="str">
        <f>IF(Data_Set_2[[#This Row],[valor_bruto]]&lt;$W$14,"OUTLIER-","")</f>
        <v/>
      </c>
      <c r="R278" s="4"/>
      <c r="S278" s="4"/>
      <c r="AB278" t="str">
        <v>RES-100276</v>
      </c>
      <c r="AC278">
        <v>45965</v>
      </c>
      <c r="AD278">
        <v>0.42499999999999999</v>
      </c>
      <c r="AE278" t="str">
        <v>Laureles</v>
      </c>
      <c r="AF278" t="str">
        <v>Mesa</v>
      </c>
      <c r="AG278" t="str">
        <v>Pasta</v>
      </c>
      <c r="AH278">
        <v>5</v>
      </c>
      <c r="AI278">
        <v>50244.04</v>
      </c>
      <c r="AJ278">
        <v>2168.38</v>
      </c>
      <c r="AK278">
        <v>27</v>
      </c>
      <c r="AL278">
        <v>53</v>
      </c>
      <c r="AM278" t="str">
        <v>Tarjeta</v>
      </c>
      <c r="AN278" t="str">
        <v>Entregada</v>
      </c>
      <c r="AO278">
        <v>4</v>
      </c>
    </row>
    <row r="279" spans="1:41" x14ac:dyDescent="0.3">
      <c r="A279" t="s">
        <v>311</v>
      </c>
      <c r="B279" s="8">
        <v>45966</v>
      </c>
      <c r="C279" s="2">
        <v>0.47152777777777777</v>
      </c>
      <c r="D279" t="s">
        <v>21</v>
      </c>
      <c r="E279" t="s">
        <v>22</v>
      </c>
      <c r="F279" t="s">
        <v>29</v>
      </c>
      <c r="G279">
        <v>6</v>
      </c>
      <c r="H279" s="6">
        <v>40441.25</v>
      </c>
      <c r="I279" s="6">
        <v>4819.7700000000004</v>
      </c>
      <c r="J279">
        <v>20</v>
      </c>
      <c r="K279">
        <v>47</v>
      </c>
      <c r="L279" t="s">
        <v>24</v>
      </c>
      <c r="M279" t="s">
        <v>25</v>
      </c>
      <c r="N279">
        <v>3</v>
      </c>
      <c r="O279" s="4"/>
      <c r="P279" s="4" t="str">
        <f>IF(Data_Set_2[[#This Row],[valor_bruto]]&gt;$W$13,"OUTLIER+","")</f>
        <v/>
      </c>
      <c r="Q279" s="4" t="str">
        <f>IF(Data_Set_2[[#This Row],[valor_bruto]]&lt;$W$14,"OUTLIER-","")</f>
        <v/>
      </c>
      <c r="R279" s="4"/>
      <c r="S279" s="4"/>
      <c r="AB279" t="str">
        <v>RES-100277</v>
      </c>
      <c r="AC279">
        <v>45966</v>
      </c>
      <c r="AD279">
        <v>0.47152777777777777</v>
      </c>
      <c r="AE279" t="str">
        <v>Poblado</v>
      </c>
      <c r="AF279" t="str">
        <v>Domicilio</v>
      </c>
      <c r="AG279" t="str">
        <v>Parrilla</v>
      </c>
      <c r="AH279">
        <v>6</v>
      </c>
      <c r="AI279">
        <v>40441.25</v>
      </c>
      <c r="AJ279">
        <v>4819.7700000000004</v>
      </c>
      <c r="AK279">
        <v>20</v>
      </c>
      <c r="AL279">
        <v>47</v>
      </c>
      <c r="AM279" t="str">
        <v>Efectivo</v>
      </c>
      <c r="AN279" t="str">
        <v>Cancelada</v>
      </c>
      <c r="AO279">
        <v>3</v>
      </c>
    </row>
    <row r="280" spans="1:41" x14ac:dyDescent="0.3">
      <c r="A280" t="s">
        <v>312</v>
      </c>
      <c r="B280" s="8">
        <v>45819</v>
      </c>
      <c r="C280" s="2">
        <v>0.5180555555555556</v>
      </c>
      <c r="D280" t="s">
        <v>27</v>
      </c>
      <c r="E280" t="s">
        <v>28</v>
      </c>
      <c r="F280" t="s">
        <v>34</v>
      </c>
      <c r="G280">
        <v>5</v>
      </c>
      <c r="H280" s="6">
        <v>35006.51</v>
      </c>
      <c r="I280" s="6">
        <v>5683.62</v>
      </c>
      <c r="J280">
        <v>23</v>
      </c>
      <c r="K280">
        <v>33</v>
      </c>
      <c r="L280" t="s">
        <v>30</v>
      </c>
      <c r="M280" t="s">
        <v>31</v>
      </c>
      <c r="N280">
        <v>3</v>
      </c>
      <c r="O280" s="4"/>
      <c r="P280" s="4" t="str">
        <f>IF(Data_Set_2[[#This Row],[valor_bruto]]&gt;$W$13,"OUTLIER+","")</f>
        <v/>
      </c>
      <c r="Q280" s="4" t="str">
        <f>IF(Data_Set_2[[#This Row],[valor_bruto]]&lt;$W$14,"OUTLIER-","")</f>
        <v/>
      </c>
      <c r="R280" s="4"/>
      <c r="S280" s="4"/>
      <c r="AB280" t="str">
        <v>RES-100278</v>
      </c>
      <c r="AC280">
        <v>45819</v>
      </c>
      <c r="AD280">
        <v>0.5180555555555556</v>
      </c>
      <c r="AE280" t="str">
        <v>Centro</v>
      </c>
      <c r="AF280" t="str">
        <v>Recoge</v>
      </c>
      <c r="AG280" t="str">
        <v>Vegano</v>
      </c>
      <c r="AH280">
        <v>5</v>
      </c>
      <c r="AI280">
        <v>35006.51</v>
      </c>
      <c r="AJ280">
        <v>5683.62</v>
      </c>
      <c r="AK280">
        <v>23</v>
      </c>
      <c r="AL280">
        <v>33</v>
      </c>
      <c r="AM280" t="str">
        <v>App</v>
      </c>
      <c r="AN280" t="str">
        <v>Reembolsada</v>
      </c>
      <c r="AO280">
        <v>3</v>
      </c>
    </row>
    <row r="281" spans="1:41" x14ac:dyDescent="0.3">
      <c r="A281" t="s">
        <v>313</v>
      </c>
      <c r="B281" s="8">
        <v>45968</v>
      </c>
      <c r="C281" s="2">
        <v>0.56458333333333333</v>
      </c>
      <c r="D281" t="s">
        <v>33</v>
      </c>
      <c r="E281" t="s">
        <v>16</v>
      </c>
      <c r="F281" t="s">
        <v>36</v>
      </c>
      <c r="G281">
        <v>3</v>
      </c>
      <c r="H281" s="6">
        <v>56295.21</v>
      </c>
      <c r="I281" s="6">
        <v>7039.78</v>
      </c>
      <c r="J281">
        <v>22</v>
      </c>
      <c r="K281">
        <v>28</v>
      </c>
      <c r="L281" t="s">
        <v>18</v>
      </c>
      <c r="M281" t="s">
        <v>19</v>
      </c>
      <c r="N281">
        <v>5</v>
      </c>
      <c r="O281" s="4"/>
      <c r="P281" s="4" t="str">
        <f>IF(Data_Set_2[[#This Row],[valor_bruto]]&gt;$W$13,"OUTLIER+","")</f>
        <v/>
      </c>
      <c r="Q281" s="4" t="str">
        <f>IF(Data_Set_2[[#This Row],[valor_bruto]]&lt;$W$14,"OUTLIER-","")</f>
        <v/>
      </c>
      <c r="R281" s="4"/>
      <c r="S281" s="4"/>
      <c r="AB281" t="str">
        <v>RES-100279</v>
      </c>
      <c r="AC281">
        <v>45968</v>
      </c>
      <c r="AD281">
        <v>0.56458333333333333</v>
      </c>
      <c r="AE281" t="str">
        <v>Envigado</v>
      </c>
      <c r="AF281" t="str">
        <v>Mesa</v>
      </c>
      <c r="AG281" t="str">
        <v>Bebidas</v>
      </c>
      <c r="AH281">
        <v>3</v>
      </c>
      <c r="AI281">
        <v>56295.21</v>
      </c>
      <c r="AJ281">
        <v>7039.78</v>
      </c>
      <c r="AK281">
        <v>22</v>
      </c>
      <c r="AL281">
        <v>28</v>
      </c>
      <c r="AM281" t="str">
        <v>Tarjeta</v>
      </c>
      <c r="AN281" t="str">
        <v>Entregada</v>
      </c>
      <c r="AO281">
        <v>5</v>
      </c>
    </row>
    <row r="282" spans="1:41" x14ac:dyDescent="0.3">
      <c r="A282" t="s">
        <v>314</v>
      </c>
      <c r="B282" s="8">
        <v>45969</v>
      </c>
      <c r="C282" s="2">
        <v>0.61111111111111116</v>
      </c>
      <c r="D282" t="s">
        <v>15</v>
      </c>
      <c r="E282" t="s">
        <v>22</v>
      </c>
      <c r="F282" t="s">
        <v>17</v>
      </c>
      <c r="G282">
        <v>4</v>
      </c>
      <c r="H282" s="6">
        <v>61213.39</v>
      </c>
      <c r="I282" s="6">
        <v>2697.46</v>
      </c>
      <c r="J282">
        <v>19</v>
      </c>
      <c r="K282">
        <v>53</v>
      </c>
      <c r="L282" t="s">
        <v>24</v>
      </c>
      <c r="M282" t="s">
        <v>25</v>
      </c>
      <c r="N282">
        <v>5</v>
      </c>
      <c r="O282" s="4"/>
      <c r="P282" s="4" t="str">
        <f>IF(Data_Set_2[[#This Row],[valor_bruto]]&gt;$W$13,"OUTLIER+","")</f>
        <v/>
      </c>
      <c r="Q282" s="4" t="str">
        <f>IF(Data_Set_2[[#This Row],[valor_bruto]]&lt;$W$14,"OUTLIER-","")</f>
        <v/>
      </c>
      <c r="R282" s="4"/>
      <c r="S282" s="4"/>
      <c r="AB282" t="str">
        <v>RES-100280</v>
      </c>
      <c r="AC282">
        <v>45969</v>
      </c>
      <c r="AD282">
        <v>0.61111111111111116</v>
      </c>
      <c r="AE282" t="str">
        <v>Laureles</v>
      </c>
      <c r="AF282" t="str">
        <v>Domicilio</v>
      </c>
      <c r="AG282" t="str">
        <v>Comida rapida</v>
      </c>
      <c r="AH282">
        <v>4</v>
      </c>
      <c r="AI282">
        <v>61213.39</v>
      </c>
      <c r="AJ282">
        <v>2697.46</v>
      </c>
      <c r="AK282">
        <v>19</v>
      </c>
      <c r="AL282">
        <v>53</v>
      </c>
      <c r="AM282" t="str">
        <v>Efectivo</v>
      </c>
      <c r="AN282" t="str">
        <v>Cancelada</v>
      </c>
      <c r="AO282">
        <v>5</v>
      </c>
    </row>
    <row r="283" spans="1:41" x14ac:dyDescent="0.3">
      <c r="A283" t="s">
        <v>315</v>
      </c>
      <c r="B283" s="8">
        <v>45911</v>
      </c>
      <c r="C283" s="2">
        <v>0.65763888888888888</v>
      </c>
      <c r="D283" t="s">
        <v>21</v>
      </c>
      <c r="E283" t="s">
        <v>28</v>
      </c>
      <c r="F283" t="s">
        <v>23</v>
      </c>
      <c r="G283">
        <v>5</v>
      </c>
      <c r="H283" s="6">
        <v>43364.95</v>
      </c>
      <c r="I283" s="6">
        <v>4469.55</v>
      </c>
      <c r="J283">
        <v>20</v>
      </c>
      <c r="K283">
        <v>31</v>
      </c>
      <c r="L283" t="s">
        <v>30</v>
      </c>
      <c r="M283" t="s">
        <v>31</v>
      </c>
      <c r="N283">
        <v>5</v>
      </c>
      <c r="O283" s="4"/>
      <c r="P283" s="4" t="str">
        <f>IF(Data_Set_2[[#This Row],[valor_bruto]]&gt;$W$13,"OUTLIER+","")</f>
        <v/>
      </c>
      <c r="Q283" s="4" t="str">
        <f>IF(Data_Set_2[[#This Row],[valor_bruto]]&lt;$W$14,"OUTLIER-","")</f>
        <v/>
      </c>
      <c r="R283" s="4"/>
      <c r="S283" s="4"/>
      <c r="AB283" t="str">
        <v>RES-100281</v>
      </c>
      <c r="AC283">
        <v>45911</v>
      </c>
      <c r="AD283">
        <v>0.65763888888888888</v>
      </c>
      <c r="AE283" t="str">
        <v>Poblado</v>
      </c>
      <c r="AF283" t="str">
        <v>Recoge</v>
      </c>
      <c r="AG283" t="str">
        <v>Pasta</v>
      </c>
      <c r="AH283">
        <v>5</v>
      </c>
      <c r="AI283">
        <v>43364.95</v>
      </c>
      <c r="AJ283">
        <v>4469.55</v>
      </c>
      <c r="AK283">
        <v>20</v>
      </c>
      <c r="AL283">
        <v>31</v>
      </c>
      <c r="AM283" t="str">
        <v>App</v>
      </c>
      <c r="AN283" t="str">
        <v>Reembolsada</v>
      </c>
      <c r="AO283">
        <v>5</v>
      </c>
    </row>
    <row r="284" spans="1:41" x14ac:dyDescent="0.3">
      <c r="A284" t="s">
        <v>316</v>
      </c>
      <c r="B284" s="8">
        <v>45971</v>
      </c>
      <c r="C284" s="2">
        <v>0.70416666666666672</v>
      </c>
      <c r="D284" t="s">
        <v>27</v>
      </c>
      <c r="E284" t="s">
        <v>16</v>
      </c>
      <c r="F284" t="s">
        <v>29</v>
      </c>
      <c r="G284">
        <v>3</v>
      </c>
      <c r="H284" s="6">
        <v>52828.37</v>
      </c>
      <c r="I284" s="6">
        <v>3747.38</v>
      </c>
      <c r="J284">
        <v>24</v>
      </c>
      <c r="K284">
        <v>30</v>
      </c>
      <c r="L284" t="s">
        <v>18</v>
      </c>
      <c r="M284" t="s">
        <v>19</v>
      </c>
      <c r="N284">
        <v>4</v>
      </c>
      <c r="O284" s="4"/>
      <c r="P284" s="4" t="str">
        <f>IF(Data_Set_2[[#This Row],[valor_bruto]]&gt;$W$13,"OUTLIER+","")</f>
        <v/>
      </c>
      <c r="Q284" s="4" t="str">
        <f>IF(Data_Set_2[[#This Row],[valor_bruto]]&lt;$W$14,"OUTLIER-","")</f>
        <v/>
      </c>
      <c r="R284" s="4"/>
      <c r="S284" s="4"/>
      <c r="AB284" t="str">
        <v>RES-100282</v>
      </c>
      <c r="AC284">
        <v>45971</v>
      </c>
      <c r="AD284">
        <v>0.70416666666666672</v>
      </c>
      <c r="AE284" t="str">
        <v>Centro</v>
      </c>
      <c r="AF284" t="str">
        <v>Mesa</v>
      </c>
      <c r="AG284" t="str">
        <v>Parrilla</v>
      </c>
      <c r="AH284">
        <v>3</v>
      </c>
      <c r="AI284">
        <v>52828.37</v>
      </c>
      <c r="AJ284">
        <v>3747.38</v>
      </c>
      <c r="AK284">
        <v>24</v>
      </c>
      <c r="AL284">
        <v>30</v>
      </c>
      <c r="AM284" t="str">
        <v>Tarjeta</v>
      </c>
      <c r="AN284" t="str">
        <v>Entregada</v>
      </c>
      <c r="AO284">
        <v>4</v>
      </c>
    </row>
    <row r="285" spans="1:41" x14ac:dyDescent="0.3">
      <c r="A285" t="s">
        <v>317</v>
      </c>
      <c r="B285" s="8">
        <v>45972</v>
      </c>
      <c r="C285" s="2">
        <v>0.70902777777777781</v>
      </c>
      <c r="D285" t="s">
        <v>33</v>
      </c>
      <c r="E285" t="s">
        <v>22</v>
      </c>
      <c r="F285" t="s">
        <v>34</v>
      </c>
      <c r="G285">
        <v>2</v>
      </c>
      <c r="H285" s="6">
        <v>50237.3</v>
      </c>
      <c r="I285" s="6">
        <v>3768</v>
      </c>
      <c r="J285">
        <v>13</v>
      </c>
      <c r="K285">
        <v>53</v>
      </c>
      <c r="L285" t="s">
        <v>24</v>
      </c>
      <c r="M285" t="s">
        <v>25</v>
      </c>
      <c r="N285">
        <v>4</v>
      </c>
      <c r="O285" s="4"/>
      <c r="P285" s="4" t="str">
        <f>IF(Data_Set_2[[#This Row],[valor_bruto]]&gt;$W$13,"OUTLIER+","")</f>
        <v/>
      </c>
      <c r="Q285" s="4" t="str">
        <f>IF(Data_Set_2[[#This Row],[valor_bruto]]&lt;$W$14,"OUTLIER-","")</f>
        <v/>
      </c>
      <c r="R285" s="4"/>
      <c r="S285" s="4"/>
      <c r="AB285" t="str">
        <v>RES-100283</v>
      </c>
      <c r="AC285">
        <v>45972</v>
      </c>
      <c r="AD285">
        <v>0.70902777777777781</v>
      </c>
      <c r="AE285" t="str">
        <v>Envigado</v>
      </c>
      <c r="AF285" t="str">
        <v>Domicilio</v>
      </c>
      <c r="AG285" t="str">
        <v>Vegano</v>
      </c>
      <c r="AH285">
        <v>2</v>
      </c>
      <c r="AI285">
        <v>50237.3</v>
      </c>
      <c r="AJ285">
        <v>3768</v>
      </c>
      <c r="AK285">
        <v>13</v>
      </c>
      <c r="AL285">
        <v>53</v>
      </c>
      <c r="AM285" t="str">
        <v>Efectivo</v>
      </c>
      <c r="AN285" t="str">
        <v>Cancelada</v>
      </c>
      <c r="AO285">
        <v>4</v>
      </c>
    </row>
    <row r="286" spans="1:41" x14ac:dyDescent="0.3">
      <c r="A286" t="s">
        <v>318</v>
      </c>
      <c r="B286" s="8">
        <v>46002</v>
      </c>
      <c r="C286" s="2">
        <v>0.75555555555555554</v>
      </c>
      <c r="D286" t="s">
        <v>15</v>
      </c>
      <c r="E286" t="s">
        <v>28</v>
      </c>
      <c r="F286" t="s">
        <v>36</v>
      </c>
      <c r="G286">
        <v>3</v>
      </c>
      <c r="H286" s="6">
        <v>63201.55</v>
      </c>
      <c r="I286" s="6">
        <v>8348.2199999999993</v>
      </c>
      <c r="J286">
        <v>24</v>
      </c>
      <c r="K286">
        <v>26</v>
      </c>
      <c r="L286" t="s">
        <v>30</v>
      </c>
      <c r="M286" t="s">
        <v>31</v>
      </c>
      <c r="N286">
        <v>3</v>
      </c>
      <c r="O286" s="4"/>
      <c r="P286" s="4" t="str">
        <f>IF(Data_Set_2[[#This Row],[valor_bruto]]&gt;$W$13,"OUTLIER+","")</f>
        <v/>
      </c>
      <c r="Q286" s="4" t="str">
        <f>IF(Data_Set_2[[#This Row],[valor_bruto]]&lt;$W$14,"OUTLIER-","")</f>
        <v/>
      </c>
      <c r="R286" s="4"/>
      <c r="S286" s="4"/>
      <c r="AB286" t="str">
        <v>RES-100284</v>
      </c>
      <c r="AC286">
        <v>46002</v>
      </c>
      <c r="AD286">
        <v>0.75555555555555554</v>
      </c>
      <c r="AE286" t="str">
        <v>Laureles</v>
      </c>
      <c r="AF286" t="str">
        <v>Recoge</v>
      </c>
      <c r="AG286" t="str">
        <v>Bebidas</v>
      </c>
      <c r="AH286">
        <v>3</v>
      </c>
      <c r="AI286">
        <v>63201.55</v>
      </c>
      <c r="AJ286">
        <v>8348.2199999999993</v>
      </c>
      <c r="AK286">
        <v>24</v>
      </c>
      <c r="AL286">
        <v>26</v>
      </c>
      <c r="AM286" t="str">
        <v>App</v>
      </c>
      <c r="AN286" t="str">
        <v>Reembolsada</v>
      </c>
      <c r="AO286">
        <v>3</v>
      </c>
    </row>
    <row r="287" spans="1:41" x14ac:dyDescent="0.3">
      <c r="A287" t="s">
        <v>319</v>
      </c>
      <c r="B287" s="8">
        <v>45974</v>
      </c>
      <c r="C287" s="2">
        <v>0.80208333333333337</v>
      </c>
      <c r="D287" t="s">
        <v>21</v>
      </c>
      <c r="E287" t="s">
        <v>16</v>
      </c>
      <c r="F287" t="s">
        <v>17</v>
      </c>
      <c r="G287">
        <v>5</v>
      </c>
      <c r="H287" s="6">
        <v>30776.25</v>
      </c>
      <c r="I287" s="6">
        <v>3312.57</v>
      </c>
      <c r="J287">
        <v>16</v>
      </c>
      <c r="K287" t="s">
        <v>320</v>
      </c>
      <c r="L287" t="s">
        <v>18</v>
      </c>
      <c r="M287" t="s">
        <v>19</v>
      </c>
      <c r="N287">
        <v>3</v>
      </c>
      <c r="O287" s="4"/>
      <c r="P287" s="4" t="str">
        <f>IF(Data_Set_2[[#This Row],[valor_bruto]]&gt;$W$13,"OUTLIER+","")</f>
        <v/>
      </c>
      <c r="Q287" s="4" t="str">
        <f>IF(Data_Set_2[[#This Row],[valor_bruto]]&lt;$W$14,"OUTLIER-","")</f>
        <v/>
      </c>
      <c r="R287" s="4"/>
      <c r="S287" s="4"/>
      <c r="AB287" t="str">
        <v>RES-100285</v>
      </c>
      <c r="AC287">
        <v>45974</v>
      </c>
      <c r="AD287">
        <v>0.80208333333333337</v>
      </c>
      <c r="AE287" t="str">
        <v>Poblado</v>
      </c>
      <c r="AF287" t="str">
        <v>Mesa</v>
      </c>
      <c r="AG287" t="str">
        <v>Comida rapida</v>
      </c>
      <c r="AH287">
        <v>5</v>
      </c>
      <c r="AI287">
        <v>30776.25</v>
      </c>
      <c r="AJ287">
        <v>3312.57</v>
      </c>
      <c r="AK287">
        <v>16</v>
      </c>
      <c r="AL287" t="str">
        <v>179.8</v>
      </c>
      <c r="AM287" t="str">
        <v>Tarjeta</v>
      </c>
      <c r="AN287" t="str">
        <v>Entregada</v>
      </c>
      <c r="AO287">
        <v>3</v>
      </c>
    </row>
    <row r="288" spans="1:41" x14ac:dyDescent="0.3">
      <c r="A288" t="s">
        <v>321</v>
      </c>
      <c r="B288" s="8">
        <v>45975</v>
      </c>
      <c r="C288" s="2">
        <v>0.84861111111111109</v>
      </c>
      <c r="D288" t="s">
        <v>27</v>
      </c>
      <c r="E288" t="s">
        <v>22</v>
      </c>
      <c r="F288" t="s">
        <v>23</v>
      </c>
      <c r="G288">
        <v>4</v>
      </c>
      <c r="H288" s="6">
        <v>69731.009999999995</v>
      </c>
      <c r="I288" s="6">
        <v>8206.76</v>
      </c>
      <c r="J288">
        <v>31</v>
      </c>
      <c r="K288">
        <v>49</v>
      </c>
      <c r="L288" t="s">
        <v>24</v>
      </c>
      <c r="M288" t="s">
        <v>25</v>
      </c>
      <c r="N288">
        <v>4</v>
      </c>
      <c r="O288" s="4"/>
      <c r="P288" s="4" t="str">
        <f>IF(Data_Set_2[[#This Row],[valor_bruto]]&gt;$W$13,"OUTLIER+","")</f>
        <v/>
      </c>
      <c r="Q288" s="4" t="str">
        <f>IF(Data_Set_2[[#This Row],[valor_bruto]]&lt;$W$14,"OUTLIER-","")</f>
        <v/>
      </c>
      <c r="R288" s="4"/>
      <c r="S288" s="4"/>
      <c r="AB288" t="str">
        <v>RES-100286</v>
      </c>
      <c r="AC288">
        <v>45975</v>
      </c>
      <c r="AD288">
        <v>0.84861111111111109</v>
      </c>
      <c r="AE288" t="str">
        <v>Centro</v>
      </c>
      <c r="AF288" t="str">
        <v>Domicilio</v>
      </c>
      <c r="AG288" t="str">
        <v>Pasta</v>
      </c>
      <c r="AH288">
        <v>4</v>
      </c>
      <c r="AI288">
        <v>69731.009999999995</v>
      </c>
      <c r="AJ288">
        <v>8206.76</v>
      </c>
      <c r="AK288">
        <v>31</v>
      </c>
      <c r="AL288">
        <v>49</v>
      </c>
      <c r="AM288" t="str">
        <v>Efectivo</v>
      </c>
      <c r="AN288" t="str">
        <v>Cancelada</v>
      </c>
      <c r="AO288">
        <v>4</v>
      </c>
    </row>
    <row r="289" spans="1:41" x14ac:dyDescent="0.3">
      <c r="A289" t="s">
        <v>322</v>
      </c>
      <c r="B289" s="8">
        <v>45976</v>
      </c>
      <c r="C289" s="2">
        <v>0.89513888888888893</v>
      </c>
      <c r="D289" t="s">
        <v>33</v>
      </c>
      <c r="E289" t="s">
        <v>28</v>
      </c>
      <c r="F289" t="s">
        <v>29</v>
      </c>
      <c r="G289">
        <v>3</v>
      </c>
      <c r="H289" s="6">
        <v>59706.83</v>
      </c>
      <c r="I289" s="6">
        <v>2022.64</v>
      </c>
      <c r="J289">
        <v>28</v>
      </c>
      <c r="K289">
        <v>51</v>
      </c>
      <c r="L289" t="s">
        <v>30</v>
      </c>
      <c r="M289" t="s">
        <v>31</v>
      </c>
      <c r="N289">
        <v>3</v>
      </c>
      <c r="O289" s="4"/>
      <c r="P289" s="4" t="str">
        <f>IF(Data_Set_2[[#This Row],[valor_bruto]]&gt;$W$13,"OUTLIER+","")</f>
        <v/>
      </c>
      <c r="Q289" s="4" t="str">
        <f>IF(Data_Set_2[[#This Row],[valor_bruto]]&lt;$W$14,"OUTLIER-","")</f>
        <v/>
      </c>
      <c r="R289" s="4"/>
      <c r="S289" s="4"/>
      <c r="AB289" t="str">
        <v>RES-100287</v>
      </c>
      <c r="AC289">
        <v>45976</v>
      </c>
      <c r="AD289">
        <v>0.89513888888888893</v>
      </c>
      <c r="AE289" t="str">
        <v>Envigado</v>
      </c>
      <c r="AF289" t="str">
        <v>Recoge</v>
      </c>
      <c r="AG289" t="str">
        <v>Parrilla</v>
      </c>
      <c r="AH289">
        <v>3</v>
      </c>
      <c r="AI289">
        <v>59706.83</v>
      </c>
      <c r="AJ289">
        <v>2022.64</v>
      </c>
      <c r="AK289">
        <v>28</v>
      </c>
      <c r="AL289">
        <v>51</v>
      </c>
      <c r="AM289" t="str">
        <v>App</v>
      </c>
      <c r="AN289" t="str">
        <v>Reembolsada</v>
      </c>
      <c r="AO289">
        <v>3</v>
      </c>
    </row>
    <row r="290" spans="1:41" x14ac:dyDescent="0.3">
      <c r="A290" t="s">
        <v>323</v>
      </c>
      <c r="B290" s="8">
        <v>45977</v>
      </c>
      <c r="C290" s="2">
        <v>0.44166666666666665</v>
      </c>
      <c r="D290" t="s">
        <v>15</v>
      </c>
      <c r="E290" t="s">
        <v>16</v>
      </c>
      <c r="F290" t="s">
        <v>34</v>
      </c>
      <c r="G290">
        <v>5</v>
      </c>
      <c r="H290" s="6">
        <v>36028.61</v>
      </c>
      <c r="I290" s="6">
        <v>5573.64</v>
      </c>
      <c r="J290">
        <v>31</v>
      </c>
      <c r="K290">
        <v>35</v>
      </c>
      <c r="L290" t="s">
        <v>18</v>
      </c>
      <c r="M290" t="s">
        <v>19</v>
      </c>
      <c r="N290">
        <v>5</v>
      </c>
      <c r="O290" s="4"/>
      <c r="P290" s="4" t="str">
        <f>IF(Data_Set_2[[#This Row],[valor_bruto]]&gt;$W$13,"OUTLIER+","")</f>
        <v/>
      </c>
      <c r="Q290" s="4" t="str">
        <f>IF(Data_Set_2[[#This Row],[valor_bruto]]&lt;$W$14,"OUTLIER-","")</f>
        <v/>
      </c>
      <c r="R290" s="4"/>
      <c r="S290" s="4"/>
      <c r="AB290" t="str">
        <v>RES-100288</v>
      </c>
      <c r="AC290">
        <v>45977</v>
      </c>
      <c r="AD290">
        <v>0.44166666666666665</v>
      </c>
      <c r="AE290" t="str">
        <v>Laureles</v>
      </c>
      <c r="AF290" t="str">
        <v>Mesa</v>
      </c>
      <c r="AG290" t="str">
        <v>Vegano</v>
      </c>
      <c r="AH290">
        <v>5</v>
      </c>
      <c r="AI290">
        <v>36028.61</v>
      </c>
      <c r="AJ290">
        <v>5573.64</v>
      </c>
      <c r="AK290">
        <v>31</v>
      </c>
      <c r="AL290">
        <v>35</v>
      </c>
      <c r="AM290" t="str">
        <v>Tarjeta</v>
      </c>
      <c r="AN290" t="str">
        <v>Entregada</v>
      </c>
      <c r="AO290">
        <v>5</v>
      </c>
    </row>
    <row r="291" spans="1:41" x14ac:dyDescent="0.3">
      <c r="A291" t="s">
        <v>324</v>
      </c>
      <c r="B291" s="8">
        <v>45978</v>
      </c>
      <c r="C291" s="2">
        <v>0.48819444444444443</v>
      </c>
      <c r="D291" t="s">
        <v>21</v>
      </c>
      <c r="E291" t="s">
        <v>22</v>
      </c>
      <c r="F291" t="s">
        <v>36</v>
      </c>
      <c r="G291">
        <v>6</v>
      </c>
      <c r="H291" s="6">
        <v>42217.81</v>
      </c>
      <c r="I291" s="6">
        <v>1630.36</v>
      </c>
      <c r="J291">
        <v>19</v>
      </c>
      <c r="K291">
        <v>40</v>
      </c>
      <c r="L291" t="s">
        <v>24</v>
      </c>
      <c r="M291" t="s">
        <v>25</v>
      </c>
      <c r="N291">
        <v>5</v>
      </c>
      <c r="O291" s="4"/>
      <c r="P291" s="4" t="str">
        <f>IF(Data_Set_2[[#This Row],[valor_bruto]]&gt;$W$13,"OUTLIER+","")</f>
        <v/>
      </c>
      <c r="Q291" s="4" t="str">
        <f>IF(Data_Set_2[[#This Row],[valor_bruto]]&lt;$W$14,"OUTLIER-","")</f>
        <v/>
      </c>
      <c r="R291" s="4"/>
      <c r="S291" s="4"/>
      <c r="AB291" t="str">
        <v>RES-100289</v>
      </c>
      <c r="AC291">
        <v>45978</v>
      </c>
      <c r="AD291">
        <v>0.48819444444444443</v>
      </c>
      <c r="AE291" t="str">
        <v>Poblado</v>
      </c>
      <c r="AF291" t="str">
        <v>Domicilio</v>
      </c>
      <c r="AG291" t="str">
        <v>Bebidas</v>
      </c>
      <c r="AH291">
        <v>6</v>
      </c>
      <c r="AI291">
        <v>42217.81</v>
      </c>
      <c r="AJ291">
        <v>1630.36</v>
      </c>
      <c r="AK291">
        <v>19</v>
      </c>
      <c r="AL291">
        <v>40</v>
      </c>
      <c r="AM291" t="str">
        <v>Efectivo</v>
      </c>
      <c r="AN291" t="str">
        <v>Cancelada</v>
      </c>
      <c r="AO291">
        <v>5</v>
      </c>
    </row>
    <row r="292" spans="1:41" x14ac:dyDescent="0.3">
      <c r="A292" t="s">
        <v>325</v>
      </c>
      <c r="B292" s="8">
        <v>45979</v>
      </c>
      <c r="C292" s="2">
        <v>0.53472222222222221</v>
      </c>
      <c r="D292" t="s">
        <v>27</v>
      </c>
      <c r="E292" t="s">
        <v>28</v>
      </c>
      <c r="F292" t="s">
        <v>17</v>
      </c>
      <c r="G292">
        <v>2</v>
      </c>
      <c r="H292" s="6">
        <v>56120.72</v>
      </c>
      <c r="I292" s="6">
        <v>1738.82</v>
      </c>
      <c r="J292">
        <v>27</v>
      </c>
      <c r="K292">
        <v>25</v>
      </c>
      <c r="L292" t="s">
        <v>30</v>
      </c>
      <c r="M292" t="s">
        <v>31</v>
      </c>
      <c r="N292">
        <v>3</v>
      </c>
      <c r="O292" s="4"/>
      <c r="P292" s="4" t="str">
        <f>IF(Data_Set_2[[#This Row],[valor_bruto]]&gt;$W$13,"OUTLIER+","")</f>
        <v/>
      </c>
      <c r="Q292" s="4" t="str">
        <f>IF(Data_Set_2[[#This Row],[valor_bruto]]&lt;$W$14,"OUTLIER-","")</f>
        <v/>
      </c>
      <c r="R292" s="4"/>
      <c r="S292" s="4"/>
      <c r="AB292" t="str">
        <v>RES-100290</v>
      </c>
      <c r="AC292">
        <v>45979</v>
      </c>
      <c r="AD292">
        <v>0.53472222222222221</v>
      </c>
      <c r="AE292" t="str">
        <v>Centro</v>
      </c>
      <c r="AF292" t="str">
        <v>Recoge</v>
      </c>
      <c r="AG292" t="str">
        <v>Comida rapida</v>
      </c>
      <c r="AH292">
        <v>2</v>
      </c>
      <c r="AI292">
        <v>56120.72</v>
      </c>
      <c r="AJ292">
        <v>1738.82</v>
      </c>
      <c r="AK292">
        <v>27</v>
      </c>
      <c r="AL292">
        <v>25</v>
      </c>
      <c r="AM292" t="str">
        <v>App</v>
      </c>
      <c r="AN292" t="str">
        <v>Reembolsada</v>
      </c>
      <c r="AO292">
        <v>3</v>
      </c>
    </row>
    <row r="293" spans="1:41" x14ac:dyDescent="0.3">
      <c r="A293" t="s">
        <v>326</v>
      </c>
      <c r="B293" s="8">
        <v>45980</v>
      </c>
      <c r="C293" s="2">
        <v>0.58125000000000004</v>
      </c>
      <c r="D293" t="s">
        <v>33</v>
      </c>
      <c r="E293" t="s">
        <v>16</v>
      </c>
      <c r="F293" t="s">
        <v>23</v>
      </c>
      <c r="G293">
        <v>5</v>
      </c>
      <c r="H293" s="6">
        <v>63495.64</v>
      </c>
      <c r="I293" s="6">
        <v>2783.44</v>
      </c>
      <c r="J293">
        <v>27</v>
      </c>
      <c r="K293">
        <v>33</v>
      </c>
      <c r="L293" t="s">
        <v>18</v>
      </c>
      <c r="M293" t="s">
        <v>19</v>
      </c>
      <c r="N293">
        <v>4</v>
      </c>
      <c r="O293" s="4"/>
      <c r="P293" s="4" t="str">
        <f>IF(Data_Set_2[[#This Row],[valor_bruto]]&gt;$W$13,"OUTLIER+","")</f>
        <v/>
      </c>
      <c r="Q293" s="4" t="str">
        <f>IF(Data_Set_2[[#This Row],[valor_bruto]]&lt;$W$14,"OUTLIER-","")</f>
        <v/>
      </c>
      <c r="R293" s="4"/>
      <c r="S293" s="4"/>
      <c r="AB293" t="str">
        <v>RES-100291</v>
      </c>
      <c r="AC293">
        <v>45980</v>
      </c>
      <c r="AD293">
        <v>0.58125000000000004</v>
      </c>
      <c r="AE293" t="str">
        <v>Envigado</v>
      </c>
      <c r="AF293" t="str">
        <v>Mesa</v>
      </c>
      <c r="AG293" t="str">
        <v>Pasta</v>
      </c>
      <c r="AH293">
        <v>5</v>
      </c>
      <c r="AI293">
        <v>63495.64</v>
      </c>
      <c r="AJ293">
        <v>2783.44</v>
      </c>
      <c r="AK293">
        <v>27</v>
      </c>
      <c r="AL293">
        <v>33</v>
      </c>
      <c r="AM293" t="str">
        <v>Tarjeta</v>
      </c>
      <c r="AN293" t="str">
        <v>Entregada</v>
      </c>
      <c r="AO293">
        <v>4</v>
      </c>
    </row>
    <row r="294" spans="1:41" x14ac:dyDescent="0.3">
      <c r="A294" t="s">
        <v>327</v>
      </c>
      <c r="B294" s="8">
        <v>45981</v>
      </c>
      <c r="C294" s="2">
        <v>0.58611111111111114</v>
      </c>
      <c r="D294" t="s">
        <v>15</v>
      </c>
      <c r="E294" t="s">
        <v>22</v>
      </c>
      <c r="F294" t="s">
        <v>29</v>
      </c>
      <c r="G294">
        <v>3</v>
      </c>
      <c r="H294" s="6">
        <v>63117.760000000002</v>
      </c>
      <c r="I294" s="6">
        <v>7302.05</v>
      </c>
      <c r="J294">
        <v>24</v>
      </c>
      <c r="K294">
        <v>26</v>
      </c>
      <c r="L294" t="s">
        <v>24</v>
      </c>
      <c r="M294" t="s">
        <v>25</v>
      </c>
      <c r="N294">
        <v>5</v>
      </c>
      <c r="O294" s="4"/>
      <c r="P294" s="4" t="str">
        <f>IF(Data_Set_2[[#This Row],[valor_bruto]]&gt;$W$13,"OUTLIER+","")</f>
        <v/>
      </c>
      <c r="Q294" s="4" t="str">
        <f>IF(Data_Set_2[[#This Row],[valor_bruto]]&lt;$W$14,"OUTLIER-","")</f>
        <v/>
      </c>
      <c r="R294" s="4"/>
      <c r="S294" s="4"/>
      <c r="AB294" t="str">
        <v>RES-100292</v>
      </c>
      <c r="AC294">
        <v>45981</v>
      </c>
      <c r="AD294">
        <v>0.58611111111111114</v>
      </c>
      <c r="AE294" t="str">
        <v>Laureles</v>
      </c>
      <c r="AF294" t="str">
        <v>Domicilio</v>
      </c>
      <c r="AG294" t="str">
        <v>Parrilla</v>
      </c>
      <c r="AH294">
        <v>3</v>
      </c>
      <c r="AI294">
        <v>63117.760000000002</v>
      </c>
      <c r="AJ294">
        <v>7302.05</v>
      </c>
      <c r="AK294">
        <v>24</v>
      </c>
      <c r="AL294">
        <v>26</v>
      </c>
      <c r="AM294" t="str">
        <v>Efectivo</v>
      </c>
      <c r="AN294" t="str">
        <v>Cancelada</v>
      </c>
      <c r="AO294">
        <v>5</v>
      </c>
    </row>
    <row r="295" spans="1:41" x14ac:dyDescent="0.3">
      <c r="A295" t="s">
        <v>328</v>
      </c>
      <c r="B295" s="8">
        <v>45982</v>
      </c>
      <c r="C295" s="2">
        <v>0.63263888888888886</v>
      </c>
      <c r="D295" t="s">
        <v>21</v>
      </c>
      <c r="E295" t="s">
        <v>28</v>
      </c>
      <c r="F295" t="s">
        <v>34</v>
      </c>
      <c r="G295">
        <v>2</v>
      </c>
      <c r="H295" s="6">
        <v>69238.05</v>
      </c>
      <c r="I295" s="6">
        <v>2949.16</v>
      </c>
      <c r="J295">
        <v>27</v>
      </c>
      <c r="K295">
        <v>51</v>
      </c>
      <c r="L295" t="s">
        <v>30</v>
      </c>
      <c r="M295" t="s">
        <v>31</v>
      </c>
      <c r="N295">
        <v>4</v>
      </c>
      <c r="O295" s="4"/>
      <c r="P295" s="4" t="str">
        <f>IF(Data_Set_2[[#This Row],[valor_bruto]]&gt;$W$13,"OUTLIER+","")</f>
        <v/>
      </c>
      <c r="Q295" s="4" t="str">
        <f>IF(Data_Set_2[[#This Row],[valor_bruto]]&lt;$W$14,"OUTLIER-","")</f>
        <v/>
      </c>
      <c r="R295" s="4"/>
      <c r="S295" s="4"/>
      <c r="AB295" t="str">
        <v>RES-100293</v>
      </c>
      <c r="AC295">
        <v>45982</v>
      </c>
      <c r="AD295">
        <v>0.63263888888888886</v>
      </c>
      <c r="AE295" t="str">
        <v>Poblado</v>
      </c>
      <c r="AF295" t="str">
        <v>Recoge</v>
      </c>
      <c r="AG295" t="str">
        <v>Vegano</v>
      </c>
      <c r="AH295">
        <v>2</v>
      </c>
      <c r="AI295">
        <v>69238.05</v>
      </c>
      <c r="AJ295">
        <v>2949.16</v>
      </c>
      <c r="AK295">
        <v>27</v>
      </c>
      <c r="AL295">
        <v>51</v>
      </c>
      <c r="AM295" t="str">
        <v>App</v>
      </c>
      <c r="AN295" t="str">
        <v>Reembolsada</v>
      </c>
      <c r="AO295">
        <v>4</v>
      </c>
    </row>
    <row r="296" spans="1:41" x14ac:dyDescent="0.3">
      <c r="A296" t="s">
        <v>329</v>
      </c>
      <c r="B296" s="8">
        <v>45983</v>
      </c>
      <c r="C296" s="2">
        <v>0.6791666666666667</v>
      </c>
      <c r="D296" t="s">
        <v>27</v>
      </c>
      <c r="E296" t="s">
        <v>16</v>
      </c>
      <c r="F296" t="s">
        <v>36</v>
      </c>
      <c r="G296">
        <v>4</v>
      </c>
      <c r="H296" s="6">
        <v>42884.52</v>
      </c>
      <c r="I296" s="6">
        <v>4841.8100000000004</v>
      </c>
      <c r="J296">
        <v>13</v>
      </c>
      <c r="K296">
        <v>27</v>
      </c>
      <c r="L296" t="s">
        <v>18</v>
      </c>
      <c r="M296" t="s">
        <v>19</v>
      </c>
      <c r="N296">
        <v>5</v>
      </c>
      <c r="O296" s="4"/>
      <c r="P296" s="4" t="str">
        <f>IF(Data_Set_2[[#This Row],[valor_bruto]]&gt;$W$13,"OUTLIER+","")</f>
        <v/>
      </c>
      <c r="Q296" s="4" t="str">
        <f>IF(Data_Set_2[[#This Row],[valor_bruto]]&lt;$W$14,"OUTLIER-","")</f>
        <v/>
      </c>
      <c r="R296" s="4"/>
      <c r="S296" s="4"/>
      <c r="AB296" t="str">
        <v>RES-100294</v>
      </c>
      <c r="AC296">
        <v>45983</v>
      </c>
      <c r="AD296">
        <v>0.6791666666666667</v>
      </c>
      <c r="AE296" t="str">
        <v>Centro</v>
      </c>
      <c r="AF296" t="str">
        <v>Mesa</v>
      </c>
      <c r="AG296" t="str">
        <v>Bebidas</v>
      </c>
      <c r="AH296">
        <v>4</v>
      </c>
      <c r="AI296">
        <v>42884.52</v>
      </c>
      <c r="AJ296">
        <v>4841.8100000000004</v>
      </c>
      <c r="AK296">
        <v>13</v>
      </c>
      <c r="AL296">
        <v>27</v>
      </c>
      <c r="AM296" t="str">
        <v>Tarjeta</v>
      </c>
      <c r="AN296" t="str">
        <v>Entregada</v>
      </c>
      <c r="AO296">
        <v>5</v>
      </c>
    </row>
    <row r="297" spans="1:41" x14ac:dyDescent="0.3">
      <c r="A297" t="s">
        <v>330</v>
      </c>
      <c r="B297" s="8">
        <v>45984</v>
      </c>
      <c r="C297" s="2">
        <v>0.72569444444444442</v>
      </c>
      <c r="D297" t="s">
        <v>33</v>
      </c>
      <c r="E297" t="s">
        <v>22</v>
      </c>
      <c r="F297" t="s">
        <v>17</v>
      </c>
      <c r="G297">
        <v>5</v>
      </c>
      <c r="H297" s="6">
        <v>57012.17</v>
      </c>
      <c r="I297" s="6">
        <v>8196.34</v>
      </c>
      <c r="J297">
        <v>22</v>
      </c>
      <c r="K297">
        <v>44</v>
      </c>
      <c r="L297" t="s">
        <v>24</v>
      </c>
      <c r="M297" t="s">
        <v>25</v>
      </c>
      <c r="N297">
        <v>4</v>
      </c>
      <c r="O297" s="4"/>
      <c r="P297" s="4" t="str">
        <f>IF(Data_Set_2[[#This Row],[valor_bruto]]&gt;$W$13,"OUTLIER+","")</f>
        <v/>
      </c>
      <c r="Q297" s="4" t="str">
        <f>IF(Data_Set_2[[#This Row],[valor_bruto]]&lt;$W$14,"OUTLIER-","")</f>
        <v/>
      </c>
      <c r="R297" s="4"/>
      <c r="S297" s="4"/>
      <c r="AB297" t="str">
        <v>RES-100295</v>
      </c>
      <c r="AC297">
        <v>45984</v>
      </c>
      <c r="AD297">
        <v>0.72569444444444442</v>
      </c>
      <c r="AE297" t="str">
        <v>Envigado</v>
      </c>
      <c r="AF297" t="str">
        <v>Domicilio</v>
      </c>
      <c r="AG297" t="str">
        <v>Comida rapida</v>
      </c>
      <c r="AH297">
        <v>5</v>
      </c>
      <c r="AI297">
        <v>57012.17</v>
      </c>
      <c r="AJ297">
        <v>8196.34</v>
      </c>
      <c r="AK297">
        <v>22</v>
      </c>
      <c r="AL297">
        <v>44</v>
      </c>
      <c r="AM297" t="str">
        <v>Efectivo</v>
      </c>
      <c r="AN297" t="str">
        <v>Cancelada</v>
      </c>
      <c r="AO297">
        <v>4</v>
      </c>
    </row>
    <row r="298" spans="1:41" x14ac:dyDescent="0.3">
      <c r="A298" t="s">
        <v>331</v>
      </c>
      <c r="B298" s="8">
        <v>45985</v>
      </c>
      <c r="C298" s="2">
        <v>0.77222222222222225</v>
      </c>
      <c r="D298" t="s">
        <v>15</v>
      </c>
      <c r="E298" t="s">
        <v>28</v>
      </c>
      <c r="F298" t="s">
        <v>23</v>
      </c>
      <c r="G298">
        <v>6</v>
      </c>
      <c r="H298" s="6">
        <v>64110.36</v>
      </c>
      <c r="I298" s="6">
        <v>2338.94</v>
      </c>
      <c r="J298">
        <v>21</v>
      </c>
      <c r="K298">
        <v>40</v>
      </c>
      <c r="L298" t="s">
        <v>30</v>
      </c>
      <c r="M298" t="s">
        <v>31</v>
      </c>
      <c r="N298">
        <v>3</v>
      </c>
      <c r="O298" s="4"/>
      <c r="P298" s="4" t="str">
        <f>IF(Data_Set_2[[#This Row],[valor_bruto]]&gt;$W$13,"OUTLIER+","")</f>
        <v/>
      </c>
      <c r="Q298" s="4" t="str">
        <f>IF(Data_Set_2[[#This Row],[valor_bruto]]&lt;$W$14,"OUTLIER-","")</f>
        <v/>
      </c>
      <c r="R298" s="4"/>
      <c r="S298" s="4"/>
      <c r="AB298" t="str">
        <v>RES-100296</v>
      </c>
      <c r="AC298">
        <v>45985</v>
      </c>
      <c r="AD298">
        <v>0.77222222222222225</v>
      </c>
      <c r="AE298" t="str">
        <v>Laureles</v>
      </c>
      <c r="AF298" t="str">
        <v>Recoge</v>
      </c>
      <c r="AG298" t="str">
        <v>Pasta</v>
      </c>
      <c r="AH298">
        <v>6</v>
      </c>
      <c r="AI298">
        <v>64110.36</v>
      </c>
      <c r="AJ298">
        <v>2338.94</v>
      </c>
      <c r="AK298">
        <v>21</v>
      </c>
      <c r="AL298">
        <v>40</v>
      </c>
      <c r="AM298" t="str">
        <v>App</v>
      </c>
      <c r="AN298" t="str">
        <v>Reembolsada</v>
      </c>
      <c r="AO298">
        <v>3</v>
      </c>
    </row>
    <row r="299" spans="1:41" x14ac:dyDescent="0.3">
      <c r="A299" t="s">
        <v>332</v>
      </c>
      <c r="B299" s="8">
        <v>45986</v>
      </c>
      <c r="C299" s="2">
        <v>0.81874999999999998</v>
      </c>
      <c r="D299" t="s">
        <v>21</v>
      </c>
      <c r="E299" t="s">
        <v>16</v>
      </c>
      <c r="F299" t="s">
        <v>29</v>
      </c>
      <c r="G299">
        <v>5</v>
      </c>
      <c r="H299" s="6">
        <v>37124.959999999999</v>
      </c>
      <c r="I299" s="6">
        <v>1026.71</v>
      </c>
      <c r="J299">
        <v>22</v>
      </c>
      <c r="K299">
        <v>46</v>
      </c>
      <c r="L299" t="s">
        <v>18</v>
      </c>
      <c r="M299" t="s">
        <v>19</v>
      </c>
      <c r="N299">
        <v>5</v>
      </c>
      <c r="O299" s="4"/>
      <c r="P299" s="4" t="str">
        <f>IF(Data_Set_2[[#This Row],[valor_bruto]]&gt;$W$13,"OUTLIER+","")</f>
        <v/>
      </c>
      <c r="Q299" s="4" t="str">
        <f>IF(Data_Set_2[[#This Row],[valor_bruto]]&lt;$W$14,"OUTLIER-","")</f>
        <v/>
      </c>
      <c r="R299" s="4"/>
      <c r="S299" s="4"/>
      <c r="AB299" t="str">
        <v>RES-100297</v>
      </c>
      <c r="AC299">
        <v>45986</v>
      </c>
      <c r="AD299">
        <v>0.81874999999999998</v>
      </c>
      <c r="AE299" t="str">
        <v>Poblado</v>
      </c>
      <c r="AF299" t="str">
        <v>Mesa</v>
      </c>
      <c r="AG299" t="str">
        <v>Parrilla</v>
      </c>
      <c r="AH299">
        <v>5</v>
      </c>
      <c r="AI299">
        <v>37124.959999999999</v>
      </c>
      <c r="AJ299">
        <v>1026.71</v>
      </c>
      <c r="AK299">
        <v>22</v>
      </c>
      <c r="AL299">
        <v>46</v>
      </c>
      <c r="AM299" t="str">
        <v>Tarjeta</v>
      </c>
      <c r="AN299" t="str">
        <v>Entregada</v>
      </c>
      <c r="AO299">
        <v>5</v>
      </c>
    </row>
    <row r="300" spans="1:41" x14ac:dyDescent="0.3">
      <c r="A300" t="s">
        <v>333</v>
      </c>
      <c r="B300" s="8">
        <v>45987</v>
      </c>
      <c r="C300" s="2">
        <v>0.86527777777777781</v>
      </c>
      <c r="D300" t="s">
        <v>27</v>
      </c>
      <c r="E300" t="s">
        <v>22</v>
      </c>
      <c r="F300" t="s">
        <v>34</v>
      </c>
      <c r="G300">
        <v>3</v>
      </c>
      <c r="H300" s="6">
        <v>52128.42</v>
      </c>
      <c r="I300" s="6">
        <v>5672.28</v>
      </c>
      <c r="J300">
        <v>16</v>
      </c>
      <c r="K300">
        <v>46</v>
      </c>
      <c r="L300" t="s">
        <v>24</v>
      </c>
      <c r="M300" t="s">
        <v>25</v>
      </c>
      <c r="N300">
        <v>5</v>
      </c>
      <c r="O300" s="4"/>
      <c r="P300" s="4" t="str">
        <f>IF(Data_Set_2[[#This Row],[valor_bruto]]&gt;$W$13,"OUTLIER+","")</f>
        <v/>
      </c>
      <c r="Q300" s="4" t="str">
        <f>IF(Data_Set_2[[#This Row],[valor_bruto]]&lt;$W$14,"OUTLIER-","")</f>
        <v/>
      </c>
      <c r="R300" s="4"/>
      <c r="S300" s="4"/>
      <c r="AB300" t="str">
        <v>RES-100298</v>
      </c>
      <c r="AC300">
        <v>45987</v>
      </c>
      <c r="AD300">
        <v>0.86527777777777781</v>
      </c>
      <c r="AE300" t="str">
        <v>Centro</v>
      </c>
      <c r="AF300" t="str">
        <v>Domicilio</v>
      </c>
      <c r="AG300" t="str">
        <v>Vegano</v>
      </c>
      <c r="AH300">
        <v>3</v>
      </c>
      <c r="AI300">
        <v>52128.42</v>
      </c>
      <c r="AJ300">
        <v>5672.28</v>
      </c>
      <c r="AK300">
        <v>16</v>
      </c>
      <c r="AL300">
        <v>46</v>
      </c>
      <c r="AM300" t="str">
        <v>Efectivo</v>
      </c>
      <c r="AN300" t="str">
        <v>Cancelada</v>
      </c>
      <c r="AO300">
        <v>5</v>
      </c>
    </row>
    <row r="301" spans="1:41" x14ac:dyDescent="0.3">
      <c r="A301" t="s">
        <v>334</v>
      </c>
      <c r="B301" s="8">
        <v>45988</v>
      </c>
      <c r="C301" s="2">
        <v>0.91180555555555554</v>
      </c>
      <c r="D301" t="s">
        <v>33</v>
      </c>
      <c r="E301" t="s">
        <v>28</v>
      </c>
      <c r="F301" t="s">
        <v>36</v>
      </c>
      <c r="G301">
        <v>4</v>
      </c>
      <c r="H301" s="6">
        <v>34985.949999999997</v>
      </c>
      <c r="I301" s="6">
        <v>7613.84</v>
      </c>
      <c r="J301">
        <v>15</v>
      </c>
      <c r="K301">
        <v>24</v>
      </c>
      <c r="L301" t="s">
        <v>30</v>
      </c>
      <c r="M301" t="s">
        <v>31</v>
      </c>
      <c r="N301">
        <v>5</v>
      </c>
      <c r="O301" s="4"/>
      <c r="P301" s="4" t="str">
        <f>IF(Data_Set_2[[#This Row],[valor_bruto]]&gt;$W$13,"OUTLIER+","")</f>
        <v/>
      </c>
      <c r="Q301" s="4" t="str">
        <f>IF(Data_Set_2[[#This Row],[valor_bruto]]&lt;$W$14,"OUTLIER-","")</f>
        <v/>
      </c>
      <c r="R301" s="4"/>
      <c r="S301" s="4"/>
      <c r="AB301" t="str">
        <v>RES-100299</v>
      </c>
      <c r="AC301">
        <v>45988</v>
      </c>
      <c r="AD301">
        <v>0.91180555555555554</v>
      </c>
      <c r="AE301" t="str">
        <v>Envigado</v>
      </c>
      <c r="AF301" t="str">
        <v>Recoge</v>
      </c>
      <c r="AG301" t="str">
        <v>Bebidas</v>
      </c>
      <c r="AH301">
        <v>4</v>
      </c>
      <c r="AI301">
        <v>34985.949999999997</v>
      </c>
      <c r="AJ301">
        <v>7613.84</v>
      </c>
      <c r="AK301">
        <v>15</v>
      </c>
      <c r="AL301">
        <v>24</v>
      </c>
      <c r="AM301" t="str">
        <v>App</v>
      </c>
      <c r="AN301" t="str">
        <v>Reembolsada</v>
      </c>
      <c r="AO301">
        <v>5</v>
      </c>
    </row>
    <row r="302" spans="1:41" x14ac:dyDescent="0.3">
      <c r="A302" t="s">
        <v>335</v>
      </c>
      <c r="B302" s="8">
        <v>45989</v>
      </c>
      <c r="C302" s="2">
        <v>0.41666666666666669</v>
      </c>
      <c r="D302" t="s">
        <v>15</v>
      </c>
      <c r="E302" t="s">
        <v>16</v>
      </c>
      <c r="F302" t="s">
        <v>17</v>
      </c>
      <c r="G302">
        <v>5</v>
      </c>
      <c r="H302" s="6">
        <v>68830.81</v>
      </c>
      <c r="I302" s="6">
        <v>3653.57</v>
      </c>
      <c r="J302">
        <v>28</v>
      </c>
      <c r="K302">
        <v>25</v>
      </c>
      <c r="L302" t="s">
        <v>18</v>
      </c>
      <c r="M302" t="s">
        <v>19</v>
      </c>
      <c r="N302">
        <v>5</v>
      </c>
      <c r="O302" s="4"/>
      <c r="P302" s="4" t="str">
        <f>IF(Data_Set_2[[#This Row],[valor_bruto]]&gt;$W$13,"OUTLIER+","")</f>
        <v/>
      </c>
      <c r="Q302" s="4" t="str">
        <f>IF(Data_Set_2[[#This Row],[valor_bruto]]&lt;$W$14,"OUTLIER-","")</f>
        <v/>
      </c>
      <c r="R302" s="4"/>
      <c r="S302" s="4"/>
      <c r="AB302" t="str">
        <v>RES-100300</v>
      </c>
      <c r="AC302">
        <v>45989</v>
      </c>
      <c r="AD302">
        <v>0.41666666666666669</v>
      </c>
      <c r="AE302" t="str">
        <v>Laureles</v>
      </c>
      <c r="AF302" t="str">
        <v>Mesa</v>
      </c>
      <c r="AG302" t="str">
        <v>Comida rapida</v>
      </c>
      <c r="AH302">
        <v>5</v>
      </c>
      <c r="AI302">
        <v>68830.81</v>
      </c>
      <c r="AJ302">
        <v>3653.57</v>
      </c>
      <c r="AK302">
        <v>28</v>
      </c>
      <c r="AL302">
        <v>25</v>
      </c>
      <c r="AM302" t="str">
        <v>Tarjeta</v>
      </c>
      <c r="AN302" t="str">
        <v>Entregada</v>
      </c>
      <c r="AO302">
        <v>5</v>
      </c>
    </row>
    <row r="303" spans="1:41" x14ac:dyDescent="0.3">
      <c r="A303" t="s">
        <v>336</v>
      </c>
      <c r="B303" s="8">
        <v>45990</v>
      </c>
      <c r="C303" s="2">
        <v>0.46319444444444446</v>
      </c>
      <c r="D303" t="s">
        <v>21</v>
      </c>
      <c r="E303" t="s">
        <v>22</v>
      </c>
      <c r="F303" t="s">
        <v>23</v>
      </c>
      <c r="G303">
        <v>5</v>
      </c>
      <c r="H303" s="6">
        <v>42114.41</v>
      </c>
      <c r="I303" s="6">
        <v>893.09</v>
      </c>
      <c r="J303">
        <v>17</v>
      </c>
      <c r="K303">
        <v>28</v>
      </c>
      <c r="L303" t="s">
        <v>24</v>
      </c>
      <c r="M303" t="s">
        <v>25</v>
      </c>
      <c r="N303">
        <v>5</v>
      </c>
      <c r="O303" s="4"/>
      <c r="P303" s="4" t="str">
        <f>IF(Data_Set_2[[#This Row],[valor_bruto]]&gt;$W$13,"OUTLIER+","")</f>
        <v/>
      </c>
      <c r="Q303" s="4" t="str">
        <f>IF(Data_Set_2[[#This Row],[valor_bruto]]&lt;$W$14,"OUTLIER-","")</f>
        <v/>
      </c>
      <c r="R303" s="4"/>
      <c r="S303" s="4"/>
      <c r="AB303" t="str">
        <v>RES-100301</v>
      </c>
      <c r="AC303">
        <v>45990</v>
      </c>
      <c r="AD303">
        <v>0.46319444444444446</v>
      </c>
      <c r="AE303" t="str">
        <v>Poblado</v>
      </c>
      <c r="AF303" t="str">
        <v>Domicilio</v>
      </c>
      <c r="AG303" t="str">
        <v>Pasta</v>
      </c>
      <c r="AH303">
        <v>5</v>
      </c>
      <c r="AI303">
        <v>42114.41</v>
      </c>
      <c r="AJ303">
        <v>893.09</v>
      </c>
      <c r="AK303">
        <v>17</v>
      </c>
      <c r="AL303">
        <v>28</v>
      </c>
      <c r="AM303" t="str">
        <v>Efectivo</v>
      </c>
      <c r="AN303" t="str">
        <v>Cancelada</v>
      </c>
      <c r="AO303">
        <v>5</v>
      </c>
    </row>
    <row r="304" spans="1:41" x14ac:dyDescent="0.3">
      <c r="A304" t="s">
        <v>337</v>
      </c>
      <c r="B304" s="8">
        <v>45991</v>
      </c>
      <c r="C304" s="2">
        <v>0.50972222222222219</v>
      </c>
      <c r="D304" t="s">
        <v>27</v>
      </c>
      <c r="E304" t="s">
        <v>28</v>
      </c>
      <c r="F304" t="s">
        <v>29</v>
      </c>
      <c r="G304">
        <v>6</v>
      </c>
      <c r="H304" s="6">
        <v>68088.639999999999</v>
      </c>
      <c r="I304" s="6">
        <v>1882.04</v>
      </c>
      <c r="J304">
        <v>23</v>
      </c>
      <c r="K304">
        <v>24</v>
      </c>
      <c r="L304" t="s">
        <v>30</v>
      </c>
      <c r="M304" t="s">
        <v>31</v>
      </c>
      <c r="N304">
        <v>4</v>
      </c>
      <c r="O304" s="4"/>
      <c r="P304" s="4" t="str">
        <f>IF(Data_Set_2[[#This Row],[valor_bruto]]&gt;$W$13,"OUTLIER+","")</f>
        <v/>
      </c>
      <c r="Q304" s="4" t="str">
        <f>IF(Data_Set_2[[#This Row],[valor_bruto]]&lt;$W$14,"OUTLIER-","")</f>
        <v/>
      </c>
      <c r="R304" s="4"/>
      <c r="S304" s="4"/>
      <c r="AB304" t="str">
        <v>RES-100302</v>
      </c>
      <c r="AC304">
        <v>45991</v>
      </c>
      <c r="AD304">
        <v>0.50972222222222219</v>
      </c>
      <c r="AE304" t="str">
        <v>Centro</v>
      </c>
      <c r="AF304" t="str">
        <v>Recoge</v>
      </c>
      <c r="AG304" t="str">
        <v>Parrilla</v>
      </c>
      <c r="AH304">
        <v>6</v>
      </c>
      <c r="AI304">
        <v>68088.639999999999</v>
      </c>
      <c r="AJ304">
        <v>1882.04</v>
      </c>
      <c r="AK304">
        <v>23</v>
      </c>
      <c r="AL304">
        <v>24</v>
      </c>
      <c r="AM304" t="str">
        <v>App</v>
      </c>
      <c r="AN304" t="str">
        <v>Reembolsada</v>
      </c>
      <c r="AO304">
        <v>4</v>
      </c>
    </row>
    <row r="305" spans="1:41" x14ac:dyDescent="0.3">
      <c r="A305" t="s">
        <v>338</v>
      </c>
      <c r="B305" s="8">
        <v>45992</v>
      </c>
      <c r="C305" s="2">
        <v>0.55625000000000002</v>
      </c>
      <c r="D305" t="s">
        <v>33</v>
      </c>
      <c r="E305" t="s">
        <v>16</v>
      </c>
      <c r="F305" t="s">
        <v>34</v>
      </c>
      <c r="G305">
        <v>6</v>
      </c>
      <c r="H305" s="6">
        <v>35697.379999999997</v>
      </c>
      <c r="I305" s="6">
        <v>3800.12</v>
      </c>
      <c r="J305">
        <v>20</v>
      </c>
      <c r="K305">
        <v>48</v>
      </c>
      <c r="L305" t="s">
        <v>18</v>
      </c>
      <c r="M305" t="s">
        <v>19</v>
      </c>
      <c r="N305">
        <v>4</v>
      </c>
      <c r="O305" s="4"/>
      <c r="P305" s="4" t="str">
        <f>IF(Data_Set_2[[#This Row],[valor_bruto]]&gt;$W$13,"OUTLIER+","")</f>
        <v/>
      </c>
      <c r="Q305" s="4" t="str">
        <f>IF(Data_Set_2[[#This Row],[valor_bruto]]&lt;$W$14,"OUTLIER-","")</f>
        <v/>
      </c>
      <c r="R305" s="4"/>
      <c r="S305" s="4"/>
      <c r="AB305" t="str">
        <v>RES-100303</v>
      </c>
      <c r="AC305">
        <v>45992</v>
      </c>
      <c r="AD305">
        <v>0.55625000000000002</v>
      </c>
      <c r="AE305" t="str">
        <v>Envigado</v>
      </c>
      <c r="AF305" t="str">
        <v>Mesa</v>
      </c>
      <c r="AG305" t="str">
        <v>Vegano</v>
      </c>
      <c r="AH305">
        <v>6</v>
      </c>
      <c r="AI305">
        <v>35697.379999999997</v>
      </c>
      <c r="AJ305">
        <v>3800.12</v>
      </c>
      <c r="AK305">
        <v>20</v>
      </c>
      <c r="AL305">
        <v>48</v>
      </c>
      <c r="AM305" t="str">
        <v>Tarjeta</v>
      </c>
      <c r="AN305" t="str">
        <v>Entregada</v>
      </c>
      <c r="AO305">
        <v>4</v>
      </c>
    </row>
    <row r="306" spans="1:41" x14ac:dyDescent="0.3">
      <c r="A306" t="s">
        <v>339</v>
      </c>
      <c r="B306" s="8">
        <v>45993</v>
      </c>
      <c r="C306" s="2">
        <v>0.60277777777777775</v>
      </c>
      <c r="D306" t="s">
        <v>15</v>
      </c>
      <c r="E306" t="s">
        <v>22</v>
      </c>
      <c r="F306" t="s">
        <v>36</v>
      </c>
      <c r="G306">
        <v>3</v>
      </c>
      <c r="H306" s="6">
        <v>58539.4</v>
      </c>
      <c r="I306" s="6">
        <v>6324.03</v>
      </c>
      <c r="J306">
        <v>24</v>
      </c>
      <c r="K306">
        <v>41</v>
      </c>
      <c r="L306" t="s">
        <v>24</v>
      </c>
      <c r="M306" t="s">
        <v>25</v>
      </c>
      <c r="N306">
        <v>5</v>
      </c>
      <c r="O306" s="4"/>
      <c r="P306" s="4" t="str">
        <f>IF(Data_Set_2[[#This Row],[valor_bruto]]&gt;$W$13,"OUTLIER+","")</f>
        <v/>
      </c>
      <c r="Q306" s="4" t="str">
        <f>IF(Data_Set_2[[#This Row],[valor_bruto]]&lt;$W$14,"OUTLIER-","")</f>
        <v/>
      </c>
      <c r="R306" s="4"/>
      <c r="S306" s="4"/>
      <c r="AB306" t="str">
        <v>RES-100304</v>
      </c>
      <c r="AC306">
        <v>45993</v>
      </c>
      <c r="AD306">
        <v>0.60277777777777775</v>
      </c>
      <c r="AE306" t="str">
        <v>Laureles</v>
      </c>
      <c r="AF306" t="str">
        <v>Domicilio</v>
      </c>
      <c r="AG306" t="str">
        <v>Bebidas</v>
      </c>
      <c r="AH306">
        <v>3</v>
      </c>
      <c r="AI306">
        <v>58539.4</v>
      </c>
      <c r="AJ306">
        <v>6324.03</v>
      </c>
      <c r="AK306">
        <v>24</v>
      </c>
      <c r="AL306">
        <v>41</v>
      </c>
      <c r="AM306" t="str">
        <v>Efectivo</v>
      </c>
      <c r="AN306" t="str">
        <v>Cancelada</v>
      </c>
      <c r="AO306">
        <v>5</v>
      </c>
    </row>
    <row r="307" spans="1:41" x14ac:dyDescent="0.3">
      <c r="A307" t="s">
        <v>340</v>
      </c>
      <c r="B307" s="8">
        <v>45728</v>
      </c>
      <c r="C307" s="2">
        <v>0.64930555555555558</v>
      </c>
      <c r="D307" t="s">
        <v>21</v>
      </c>
      <c r="E307" t="s">
        <v>28</v>
      </c>
      <c r="F307" t="s">
        <v>17</v>
      </c>
      <c r="G307">
        <v>3</v>
      </c>
      <c r="H307" s="6">
        <v>31457.27</v>
      </c>
      <c r="I307" s="6">
        <v>4922.18</v>
      </c>
      <c r="J307">
        <v>19</v>
      </c>
      <c r="K307">
        <v>51</v>
      </c>
      <c r="L307" t="s">
        <v>30</v>
      </c>
      <c r="M307" t="s">
        <v>31</v>
      </c>
      <c r="N307">
        <v>4</v>
      </c>
      <c r="O307" s="4"/>
      <c r="P307" s="4" t="str">
        <f>IF(Data_Set_2[[#This Row],[valor_bruto]]&gt;$W$13,"OUTLIER+","")</f>
        <v/>
      </c>
      <c r="Q307" s="4" t="str">
        <f>IF(Data_Set_2[[#This Row],[valor_bruto]]&lt;$W$14,"OUTLIER-","")</f>
        <v/>
      </c>
      <c r="R307" s="4"/>
      <c r="S307" s="4"/>
      <c r="AB307" t="str">
        <v>RES-100305</v>
      </c>
      <c r="AC307">
        <v>45728</v>
      </c>
      <c r="AD307">
        <v>0.64930555555555558</v>
      </c>
      <c r="AE307" t="str">
        <v>Poblado</v>
      </c>
      <c r="AF307" t="str">
        <v>Recoge</v>
      </c>
      <c r="AG307" t="str">
        <v>Comida rapida</v>
      </c>
      <c r="AH307">
        <v>3</v>
      </c>
      <c r="AI307">
        <v>31457.27</v>
      </c>
      <c r="AJ307">
        <v>4922.18</v>
      </c>
      <c r="AK307">
        <v>19</v>
      </c>
      <c r="AL307">
        <v>51</v>
      </c>
      <c r="AM307" t="str">
        <v>App</v>
      </c>
      <c r="AN307" t="str">
        <v>Reembolsada</v>
      </c>
      <c r="AO307">
        <v>4</v>
      </c>
    </row>
    <row r="308" spans="1:41" x14ac:dyDescent="0.3">
      <c r="A308" t="s">
        <v>341</v>
      </c>
      <c r="B308" s="8">
        <v>45995</v>
      </c>
      <c r="C308" s="2">
        <v>0.6958333333333333</v>
      </c>
      <c r="D308" t="s">
        <v>27</v>
      </c>
      <c r="E308" t="s">
        <v>16</v>
      </c>
      <c r="F308" t="s">
        <v>23</v>
      </c>
      <c r="G308">
        <v>2</v>
      </c>
      <c r="H308" s="6">
        <v>41260.339999999997</v>
      </c>
      <c r="I308" s="6">
        <v>5631.63</v>
      </c>
      <c r="J308">
        <v>27</v>
      </c>
      <c r="K308">
        <v>34</v>
      </c>
      <c r="L308" t="s">
        <v>18</v>
      </c>
      <c r="M308" t="s">
        <v>19</v>
      </c>
      <c r="N308">
        <v>3</v>
      </c>
      <c r="O308" s="4"/>
      <c r="P308" s="4" t="str">
        <f>IF(Data_Set_2[[#This Row],[valor_bruto]]&gt;$W$13,"OUTLIER+","")</f>
        <v/>
      </c>
      <c r="Q308" s="4" t="str">
        <f>IF(Data_Set_2[[#This Row],[valor_bruto]]&lt;$W$14,"OUTLIER-","")</f>
        <v/>
      </c>
      <c r="R308" s="4"/>
      <c r="S308" s="4"/>
      <c r="AB308" t="str">
        <v>RES-100306</v>
      </c>
      <c r="AC308">
        <v>45995</v>
      </c>
      <c r="AD308">
        <v>0.6958333333333333</v>
      </c>
      <c r="AE308" t="str">
        <v>Centro</v>
      </c>
      <c r="AF308" t="str">
        <v>Mesa</v>
      </c>
      <c r="AG308" t="str">
        <v>Pasta</v>
      </c>
      <c r="AH308">
        <v>2</v>
      </c>
      <c r="AI308">
        <v>41260.339999999997</v>
      </c>
      <c r="AJ308">
        <v>5631.63</v>
      </c>
      <c r="AK308">
        <v>27</v>
      </c>
      <c r="AL308">
        <v>34</v>
      </c>
      <c r="AM308" t="str">
        <v>Tarjeta</v>
      </c>
      <c r="AN308" t="str">
        <v>Entregada</v>
      </c>
      <c r="AO308">
        <v>3</v>
      </c>
    </row>
    <row r="309" spans="1:41" x14ac:dyDescent="0.3">
      <c r="A309" t="s">
        <v>342</v>
      </c>
      <c r="B309" s="8">
        <v>45996</v>
      </c>
      <c r="C309" s="2">
        <v>0.74236111111111114</v>
      </c>
      <c r="D309" t="s">
        <v>33</v>
      </c>
      <c r="E309" t="s">
        <v>22</v>
      </c>
      <c r="F309" t="s">
        <v>29</v>
      </c>
      <c r="G309">
        <v>3</v>
      </c>
      <c r="H309" s="6">
        <v>47630.15</v>
      </c>
      <c r="I309" s="6">
        <v>2993.85</v>
      </c>
      <c r="J309">
        <v>19</v>
      </c>
      <c r="K309">
        <v>34</v>
      </c>
      <c r="L309" t="s">
        <v>24</v>
      </c>
      <c r="M309" t="s">
        <v>25</v>
      </c>
      <c r="N309">
        <v>3</v>
      </c>
      <c r="O309" s="4"/>
      <c r="P309" s="4" t="str">
        <f>IF(Data_Set_2[[#This Row],[valor_bruto]]&gt;$W$13,"OUTLIER+","")</f>
        <v/>
      </c>
      <c r="Q309" s="4" t="str">
        <f>IF(Data_Set_2[[#This Row],[valor_bruto]]&lt;$W$14,"OUTLIER-","")</f>
        <v/>
      </c>
      <c r="R309" s="4"/>
      <c r="S309" s="4"/>
      <c r="AB309" t="str">
        <v>RES-100307</v>
      </c>
      <c r="AC309">
        <v>45996</v>
      </c>
      <c r="AD309">
        <v>0.74236111111111114</v>
      </c>
      <c r="AE309" t="str">
        <v>Envigado</v>
      </c>
      <c r="AF309" t="str">
        <v>Domicilio</v>
      </c>
      <c r="AG309" t="str">
        <v>Parrilla</v>
      </c>
      <c r="AH309">
        <v>3</v>
      </c>
      <c r="AI309">
        <v>47630.15</v>
      </c>
      <c r="AJ309">
        <v>2993.85</v>
      </c>
      <c r="AK309">
        <v>19</v>
      </c>
      <c r="AL309">
        <v>34</v>
      </c>
      <c r="AM309" t="str">
        <v>Efectivo</v>
      </c>
      <c r="AN309" t="str">
        <v>Cancelada</v>
      </c>
      <c r="AO309">
        <v>3</v>
      </c>
    </row>
    <row r="310" spans="1:41" x14ac:dyDescent="0.3">
      <c r="A310" t="s">
        <v>343</v>
      </c>
      <c r="B310" s="8">
        <v>45820</v>
      </c>
      <c r="C310" s="2">
        <v>0.78888888888888886</v>
      </c>
      <c r="D310" t="s">
        <v>15</v>
      </c>
      <c r="E310" t="s">
        <v>28</v>
      </c>
      <c r="F310" t="s">
        <v>34</v>
      </c>
      <c r="G310">
        <v>6</v>
      </c>
      <c r="H310" s="6">
        <v>68666.45</v>
      </c>
      <c r="I310" s="6">
        <v>2028.87</v>
      </c>
      <c r="J310">
        <v>18</v>
      </c>
      <c r="K310">
        <v>29</v>
      </c>
      <c r="L310" t="s">
        <v>30</v>
      </c>
      <c r="M310" t="s">
        <v>31</v>
      </c>
      <c r="N310">
        <v>3</v>
      </c>
      <c r="O310" s="4"/>
      <c r="P310" s="4" t="str">
        <f>IF(Data_Set_2[[#This Row],[valor_bruto]]&gt;$W$13,"OUTLIER+","")</f>
        <v/>
      </c>
      <c r="Q310" s="4" t="str">
        <f>IF(Data_Set_2[[#This Row],[valor_bruto]]&lt;$W$14,"OUTLIER-","")</f>
        <v/>
      </c>
      <c r="R310" s="4"/>
      <c r="S310" s="4"/>
      <c r="AB310" t="str">
        <v>RES-100308</v>
      </c>
      <c r="AC310">
        <v>45820</v>
      </c>
      <c r="AD310">
        <v>0.78888888888888886</v>
      </c>
      <c r="AE310" t="str">
        <v>Laureles</v>
      </c>
      <c r="AF310" t="str">
        <v>Recoge</v>
      </c>
      <c r="AG310" t="str">
        <v>Vegano</v>
      </c>
      <c r="AH310">
        <v>6</v>
      </c>
      <c r="AI310">
        <v>68666.45</v>
      </c>
      <c r="AJ310">
        <v>2028.87</v>
      </c>
      <c r="AK310">
        <v>18</v>
      </c>
      <c r="AL310">
        <v>29</v>
      </c>
      <c r="AM310" t="str">
        <v>App</v>
      </c>
      <c r="AN310" t="str">
        <v>Reembolsada</v>
      </c>
      <c r="AO310">
        <v>3</v>
      </c>
    </row>
    <row r="311" spans="1:41" x14ac:dyDescent="0.3">
      <c r="A311" t="s">
        <v>344</v>
      </c>
      <c r="B311" s="8">
        <v>45998</v>
      </c>
      <c r="C311" s="2">
        <v>0.79374999999999996</v>
      </c>
      <c r="D311" t="s">
        <v>21</v>
      </c>
      <c r="E311" t="s">
        <v>16</v>
      </c>
      <c r="F311" t="s">
        <v>36</v>
      </c>
      <c r="G311">
        <v>3</v>
      </c>
      <c r="H311" s="6">
        <v>54786.13</v>
      </c>
      <c r="I311" s="6">
        <v>2914.94</v>
      </c>
      <c r="J311">
        <v>26</v>
      </c>
      <c r="K311">
        <v>39</v>
      </c>
      <c r="L311" t="s">
        <v>18</v>
      </c>
      <c r="M311" t="s">
        <v>19</v>
      </c>
      <c r="N311">
        <v>4</v>
      </c>
      <c r="O311" s="4"/>
      <c r="P311" s="4" t="str">
        <f>IF(Data_Set_2[[#This Row],[valor_bruto]]&gt;$W$13,"OUTLIER+","")</f>
        <v/>
      </c>
      <c r="Q311" s="4" t="str">
        <f>IF(Data_Set_2[[#This Row],[valor_bruto]]&lt;$W$14,"OUTLIER-","")</f>
        <v/>
      </c>
      <c r="R311" s="4"/>
      <c r="S311" s="4"/>
      <c r="AB311" t="str">
        <v>RES-100309</v>
      </c>
      <c r="AC311">
        <v>45998</v>
      </c>
      <c r="AD311">
        <v>0.79374999999999996</v>
      </c>
      <c r="AE311" t="str">
        <v>Poblado</v>
      </c>
      <c r="AF311" t="str">
        <v>Mesa</v>
      </c>
      <c r="AG311" t="str">
        <v>Bebidas</v>
      </c>
      <c r="AH311">
        <v>3</v>
      </c>
      <c r="AI311">
        <v>54786.13</v>
      </c>
      <c r="AJ311">
        <v>2914.94</v>
      </c>
      <c r="AK311">
        <v>26</v>
      </c>
      <c r="AL311">
        <v>39</v>
      </c>
      <c r="AM311" t="str">
        <v>Tarjeta</v>
      </c>
      <c r="AN311" t="str">
        <v>Entregada</v>
      </c>
      <c r="AO311">
        <v>4</v>
      </c>
    </row>
    <row r="312" spans="1:41" x14ac:dyDescent="0.3">
      <c r="A312" t="s">
        <v>345</v>
      </c>
      <c r="B312" s="8">
        <v>45999</v>
      </c>
      <c r="C312" s="2">
        <v>0.84027777777777779</v>
      </c>
      <c r="D312" t="s">
        <v>27</v>
      </c>
      <c r="E312" t="s">
        <v>22</v>
      </c>
      <c r="F312" t="s">
        <v>17</v>
      </c>
      <c r="G312">
        <v>3</v>
      </c>
      <c r="H312" s="6">
        <v>44879.07</v>
      </c>
      <c r="I312" s="6">
        <v>2547.69</v>
      </c>
      <c r="J312">
        <v>29</v>
      </c>
      <c r="K312">
        <v>28</v>
      </c>
      <c r="L312" t="s">
        <v>24</v>
      </c>
      <c r="M312" t="s">
        <v>25</v>
      </c>
      <c r="N312">
        <v>4</v>
      </c>
      <c r="O312" s="4"/>
      <c r="P312" s="4" t="str">
        <f>IF(Data_Set_2[[#This Row],[valor_bruto]]&gt;$W$13,"OUTLIER+","")</f>
        <v/>
      </c>
      <c r="Q312" s="4" t="str">
        <f>IF(Data_Set_2[[#This Row],[valor_bruto]]&lt;$W$14,"OUTLIER-","")</f>
        <v/>
      </c>
      <c r="R312" s="4"/>
      <c r="S312" s="4"/>
      <c r="AB312" t="str">
        <v>RES-100310</v>
      </c>
      <c r="AC312">
        <v>45999</v>
      </c>
      <c r="AD312">
        <v>0.84027777777777779</v>
      </c>
      <c r="AE312" t="str">
        <v>Centro</v>
      </c>
      <c r="AF312" t="str">
        <v>Domicilio</v>
      </c>
      <c r="AG312" t="str">
        <v>Comida rapida</v>
      </c>
      <c r="AH312">
        <v>3</v>
      </c>
      <c r="AI312">
        <v>44879.07</v>
      </c>
      <c r="AJ312">
        <v>2547.69</v>
      </c>
      <c r="AK312">
        <v>29</v>
      </c>
      <c r="AL312">
        <v>28</v>
      </c>
      <c r="AM312" t="str">
        <v>Efectivo</v>
      </c>
      <c r="AN312" t="str">
        <v>Cancelada</v>
      </c>
      <c r="AO312">
        <v>4</v>
      </c>
    </row>
    <row r="313" spans="1:41" x14ac:dyDescent="0.3">
      <c r="A313" t="s">
        <v>346</v>
      </c>
      <c r="B313" s="8">
        <v>45912</v>
      </c>
      <c r="C313" s="2">
        <v>0.88680555555555551</v>
      </c>
      <c r="D313" t="s">
        <v>33</v>
      </c>
      <c r="E313" t="s">
        <v>28</v>
      </c>
      <c r="F313" t="s">
        <v>23</v>
      </c>
      <c r="G313">
        <v>3</v>
      </c>
      <c r="H313" s="6">
        <v>44918.15</v>
      </c>
      <c r="I313" s="6">
        <v>6142.83</v>
      </c>
      <c r="J313">
        <v>30</v>
      </c>
      <c r="K313">
        <v>39</v>
      </c>
      <c r="L313" t="s">
        <v>30</v>
      </c>
      <c r="M313" t="s">
        <v>31</v>
      </c>
      <c r="N313">
        <v>4</v>
      </c>
      <c r="O313" s="4"/>
      <c r="P313" s="4" t="str">
        <f>IF(Data_Set_2[[#This Row],[valor_bruto]]&gt;$W$13,"OUTLIER+","")</f>
        <v/>
      </c>
      <c r="Q313" s="4" t="str">
        <f>IF(Data_Set_2[[#This Row],[valor_bruto]]&lt;$W$14,"OUTLIER-","")</f>
        <v/>
      </c>
      <c r="R313" s="4"/>
      <c r="S313" s="4"/>
      <c r="AB313" t="str">
        <v>RES-100311</v>
      </c>
      <c r="AC313">
        <v>45912</v>
      </c>
      <c r="AD313">
        <v>0.88680555555555551</v>
      </c>
      <c r="AE313" t="str">
        <v>Envigado</v>
      </c>
      <c r="AF313" t="str">
        <v>Recoge</v>
      </c>
      <c r="AG313" t="str">
        <v>Pasta</v>
      </c>
      <c r="AH313">
        <v>3</v>
      </c>
      <c r="AI313">
        <v>44918.15</v>
      </c>
      <c r="AJ313">
        <v>6142.83</v>
      </c>
      <c r="AK313">
        <v>30</v>
      </c>
      <c r="AL313">
        <v>39</v>
      </c>
      <c r="AM313" t="str">
        <v>App</v>
      </c>
      <c r="AN313" t="str">
        <v>Reembolsada</v>
      </c>
      <c r="AO313">
        <v>4</v>
      </c>
    </row>
    <row r="314" spans="1:41" x14ac:dyDescent="0.3">
      <c r="A314" t="s">
        <v>347</v>
      </c>
      <c r="B314" s="8">
        <v>46001</v>
      </c>
      <c r="C314" s="2">
        <v>0.43333333333333335</v>
      </c>
      <c r="D314" t="s">
        <v>15</v>
      </c>
      <c r="E314" t="s">
        <v>16</v>
      </c>
      <c r="F314" t="s">
        <v>29</v>
      </c>
      <c r="G314">
        <v>4</v>
      </c>
      <c r="H314" s="6">
        <v>56569.93</v>
      </c>
      <c r="I314" s="6">
        <v>4035.34</v>
      </c>
      <c r="J314">
        <v>30</v>
      </c>
      <c r="K314">
        <v>52</v>
      </c>
      <c r="L314" t="s">
        <v>18</v>
      </c>
      <c r="M314" t="s">
        <v>19</v>
      </c>
      <c r="N314">
        <v>4</v>
      </c>
      <c r="O314" s="4"/>
      <c r="P314" s="4" t="str">
        <f>IF(Data_Set_2[[#This Row],[valor_bruto]]&gt;$W$13,"OUTLIER+","")</f>
        <v/>
      </c>
      <c r="Q314" s="4" t="str">
        <f>IF(Data_Set_2[[#This Row],[valor_bruto]]&lt;$W$14,"OUTLIER-","")</f>
        <v/>
      </c>
      <c r="R314" s="4"/>
      <c r="S314" s="4"/>
      <c r="AB314" t="str">
        <v>RES-100312</v>
      </c>
      <c r="AC314">
        <v>46001</v>
      </c>
      <c r="AD314">
        <v>0.43333333333333335</v>
      </c>
      <c r="AE314" t="str">
        <v>Laureles</v>
      </c>
      <c r="AF314" t="str">
        <v>Mesa</v>
      </c>
      <c r="AG314" t="str">
        <v>Parrilla</v>
      </c>
      <c r="AH314">
        <v>4</v>
      </c>
      <c r="AI314">
        <v>56569.93</v>
      </c>
      <c r="AJ314">
        <v>4035.34</v>
      </c>
      <c r="AK314">
        <v>30</v>
      </c>
      <c r="AL314">
        <v>52</v>
      </c>
      <c r="AM314" t="str">
        <v>Tarjeta</v>
      </c>
      <c r="AN314" t="str">
        <v>Entregada</v>
      </c>
      <c r="AO314">
        <v>4</v>
      </c>
    </row>
    <row r="315" spans="1:41" x14ac:dyDescent="0.3">
      <c r="A315" t="s">
        <v>348</v>
      </c>
      <c r="B315" s="8">
        <v>46002</v>
      </c>
      <c r="C315" s="2">
        <v>0.47986111111111113</v>
      </c>
      <c r="D315" t="s">
        <v>21</v>
      </c>
      <c r="E315" t="s">
        <v>22</v>
      </c>
      <c r="F315" t="s">
        <v>34</v>
      </c>
      <c r="G315">
        <v>3</v>
      </c>
      <c r="H315" s="6">
        <v>30232.25</v>
      </c>
      <c r="I315" s="6">
        <v>804.01</v>
      </c>
      <c r="J315">
        <v>17</v>
      </c>
      <c r="K315">
        <v>43</v>
      </c>
      <c r="L315" t="s">
        <v>24</v>
      </c>
      <c r="M315" t="s">
        <v>25</v>
      </c>
      <c r="N315">
        <v>4</v>
      </c>
      <c r="O315" s="4"/>
      <c r="P315" s="4" t="str">
        <f>IF(Data_Set_2[[#This Row],[valor_bruto]]&gt;$W$13,"OUTLIER+","")</f>
        <v/>
      </c>
      <c r="Q315" s="4" t="str">
        <f>IF(Data_Set_2[[#This Row],[valor_bruto]]&lt;$W$14,"OUTLIER-","")</f>
        <v/>
      </c>
      <c r="R315" s="4"/>
      <c r="S315" s="4"/>
      <c r="AB315" t="str">
        <v>RES-100313</v>
      </c>
      <c r="AC315">
        <v>46002</v>
      </c>
      <c r="AD315">
        <v>0.47986111111111113</v>
      </c>
      <c r="AE315" t="str">
        <v>Poblado</v>
      </c>
      <c r="AF315" t="str">
        <v>Domicilio</v>
      </c>
      <c r="AG315" t="str">
        <v>Vegano</v>
      </c>
      <c r="AH315">
        <v>3</v>
      </c>
      <c r="AI315">
        <v>30232.25</v>
      </c>
      <c r="AJ315">
        <v>804.01</v>
      </c>
      <c r="AK315">
        <v>17</v>
      </c>
      <c r="AL315">
        <v>43</v>
      </c>
      <c r="AM315" t="str">
        <v>Efectivo</v>
      </c>
      <c r="AN315" t="str">
        <v>Cancelada</v>
      </c>
      <c r="AO315">
        <v>4</v>
      </c>
    </row>
    <row r="316" spans="1:41" x14ac:dyDescent="0.3">
      <c r="A316" t="s">
        <v>349</v>
      </c>
      <c r="B316" s="8">
        <v>46003</v>
      </c>
      <c r="C316" s="2">
        <v>0.52638888888888891</v>
      </c>
      <c r="D316" t="s">
        <v>27</v>
      </c>
      <c r="E316" t="s">
        <v>28</v>
      </c>
      <c r="F316" t="s">
        <v>36</v>
      </c>
      <c r="G316">
        <v>3</v>
      </c>
      <c r="H316" s="6">
        <v>53589.97</v>
      </c>
      <c r="I316" s="6">
        <v>4558.25</v>
      </c>
      <c r="J316">
        <v>18</v>
      </c>
      <c r="K316">
        <v>25</v>
      </c>
      <c r="L316" t="s">
        <v>30</v>
      </c>
      <c r="M316" t="s">
        <v>31</v>
      </c>
      <c r="N316">
        <v>4</v>
      </c>
      <c r="O316" s="4"/>
      <c r="P316" s="4" t="str">
        <f>IF(Data_Set_2[[#This Row],[valor_bruto]]&gt;$W$13,"OUTLIER+","")</f>
        <v/>
      </c>
      <c r="Q316" s="4" t="str">
        <f>IF(Data_Set_2[[#This Row],[valor_bruto]]&lt;$W$14,"OUTLIER-","")</f>
        <v/>
      </c>
      <c r="R316" s="4"/>
      <c r="S316" s="4"/>
      <c r="AB316" t="str">
        <v>RES-100314</v>
      </c>
      <c r="AC316">
        <v>46003</v>
      </c>
      <c r="AD316">
        <v>0.52638888888888891</v>
      </c>
      <c r="AE316" t="str">
        <v>Centro</v>
      </c>
      <c r="AF316" t="str">
        <v>Recoge</v>
      </c>
      <c r="AG316" t="str">
        <v>Bebidas</v>
      </c>
      <c r="AH316">
        <v>3</v>
      </c>
      <c r="AI316">
        <v>53589.97</v>
      </c>
      <c r="AJ316">
        <v>4558.25</v>
      </c>
      <c r="AK316">
        <v>18</v>
      </c>
      <c r="AL316">
        <v>25</v>
      </c>
      <c r="AM316" t="str">
        <v>App</v>
      </c>
      <c r="AN316" t="str">
        <v>Reembolsada</v>
      </c>
      <c r="AO316">
        <v>4</v>
      </c>
    </row>
    <row r="317" spans="1:41" x14ac:dyDescent="0.3">
      <c r="A317" t="s">
        <v>350</v>
      </c>
      <c r="B317" s="8">
        <v>46004</v>
      </c>
      <c r="C317" s="2">
        <v>0.57291666666666663</v>
      </c>
      <c r="D317" t="s">
        <v>33</v>
      </c>
      <c r="E317" t="s">
        <v>16</v>
      </c>
      <c r="F317" t="s">
        <v>17</v>
      </c>
      <c r="G317">
        <v>4</v>
      </c>
      <c r="H317" s="6">
        <v>43581</v>
      </c>
      <c r="I317" s="6">
        <v>4052.21</v>
      </c>
      <c r="J317">
        <v>22</v>
      </c>
      <c r="K317">
        <v>47</v>
      </c>
      <c r="L317" t="s">
        <v>18</v>
      </c>
      <c r="M317" t="s">
        <v>19</v>
      </c>
      <c r="N317">
        <v>3</v>
      </c>
      <c r="O317" s="4"/>
      <c r="P317" s="4" t="str">
        <f>IF(Data_Set_2[[#This Row],[valor_bruto]]&gt;$W$13,"OUTLIER+","")</f>
        <v/>
      </c>
      <c r="Q317" s="4" t="str">
        <f>IF(Data_Set_2[[#This Row],[valor_bruto]]&lt;$W$14,"OUTLIER-","")</f>
        <v/>
      </c>
      <c r="R317" s="4"/>
      <c r="S317" s="4"/>
      <c r="AB317" t="str">
        <v>RES-100315</v>
      </c>
      <c r="AC317">
        <v>46004</v>
      </c>
      <c r="AD317">
        <v>0.57291666666666663</v>
      </c>
      <c r="AE317" t="str">
        <v>Envigado</v>
      </c>
      <c r="AF317" t="str">
        <v>Mesa</v>
      </c>
      <c r="AG317" t="str">
        <v>Comida rapida</v>
      </c>
      <c r="AH317">
        <v>4</v>
      </c>
      <c r="AI317">
        <v>43581</v>
      </c>
      <c r="AJ317">
        <v>4052.21</v>
      </c>
      <c r="AK317">
        <v>22</v>
      </c>
      <c r="AL317">
        <v>47</v>
      </c>
      <c r="AM317" t="str">
        <v>Tarjeta</v>
      </c>
      <c r="AN317" t="str">
        <v>Entregada</v>
      </c>
      <c r="AO317">
        <v>3</v>
      </c>
    </row>
    <row r="318" spans="1:41" x14ac:dyDescent="0.3">
      <c r="A318" t="s">
        <v>351</v>
      </c>
      <c r="B318" s="8">
        <v>46005</v>
      </c>
      <c r="C318" s="2">
        <v>0.61944444444444446</v>
      </c>
      <c r="D318" t="s">
        <v>15</v>
      </c>
      <c r="E318" t="s">
        <v>22</v>
      </c>
      <c r="F318" t="s">
        <v>23</v>
      </c>
      <c r="G318">
        <v>5</v>
      </c>
      <c r="H318" s="6">
        <v>37381.14</v>
      </c>
      <c r="I318" s="6">
        <v>5875.35</v>
      </c>
      <c r="J318">
        <v>27</v>
      </c>
      <c r="K318">
        <v>26</v>
      </c>
      <c r="L318" t="s">
        <v>24</v>
      </c>
      <c r="M318" t="s">
        <v>25</v>
      </c>
      <c r="N318">
        <v>5</v>
      </c>
      <c r="O318" s="4"/>
      <c r="P318" s="4" t="str">
        <f>IF(Data_Set_2[[#This Row],[valor_bruto]]&gt;$W$13,"OUTLIER+","")</f>
        <v/>
      </c>
      <c r="Q318" s="4" t="str">
        <f>IF(Data_Set_2[[#This Row],[valor_bruto]]&lt;$W$14,"OUTLIER-","")</f>
        <v/>
      </c>
      <c r="R318" s="4"/>
      <c r="S318" s="4"/>
      <c r="AB318" t="str">
        <v>RES-100316</v>
      </c>
      <c r="AC318">
        <v>46005</v>
      </c>
      <c r="AD318">
        <v>0.61944444444444446</v>
      </c>
      <c r="AE318" t="str">
        <v>Laureles</v>
      </c>
      <c r="AF318" t="str">
        <v>Domicilio</v>
      </c>
      <c r="AG318" t="str">
        <v>Pasta</v>
      </c>
      <c r="AH318">
        <v>5</v>
      </c>
      <c r="AI318">
        <v>37381.14</v>
      </c>
      <c r="AJ318">
        <v>5875.35</v>
      </c>
      <c r="AK318">
        <v>27</v>
      </c>
      <c r="AL318">
        <v>26</v>
      </c>
      <c r="AM318" t="str">
        <v>Efectivo</v>
      </c>
      <c r="AN318" t="str">
        <v>Cancelada</v>
      </c>
      <c r="AO318">
        <v>5</v>
      </c>
    </row>
    <row r="319" spans="1:41" x14ac:dyDescent="0.3">
      <c r="A319" t="s">
        <v>352</v>
      </c>
      <c r="B319" s="8">
        <v>46006</v>
      </c>
      <c r="C319" s="2">
        <v>0.66597222222222219</v>
      </c>
      <c r="D319" t="s">
        <v>21</v>
      </c>
      <c r="E319" t="s">
        <v>28</v>
      </c>
      <c r="F319" t="s">
        <v>29</v>
      </c>
      <c r="G319">
        <v>3</v>
      </c>
      <c r="H319" s="6">
        <v>62379.76</v>
      </c>
      <c r="I319" s="6">
        <v>1985.06</v>
      </c>
      <c r="J319">
        <v>15</v>
      </c>
      <c r="K319">
        <v>51</v>
      </c>
      <c r="L319" t="s">
        <v>30</v>
      </c>
      <c r="M319" t="s">
        <v>31</v>
      </c>
      <c r="N319">
        <v>4</v>
      </c>
      <c r="O319" s="4"/>
      <c r="P319" s="4" t="str">
        <f>IF(Data_Set_2[[#This Row],[valor_bruto]]&gt;$W$13,"OUTLIER+","")</f>
        <v/>
      </c>
      <c r="Q319" s="4" t="str">
        <f>IF(Data_Set_2[[#This Row],[valor_bruto]]&lt;$W$14,"OUTLIER-","")</f>
        <v/>
      </c>
      <c r="R319" s="4"/>
      <c r="S319" s="4"/>
      <c r="AB319" t="str">
        <v>RES-100317</v>
      </c>
      <c r="AC319">
        <v>46006</v>
      </c>
      <c r="AD319">
        <v>0.66597222222222219</v>
      </c>
      <c r="AE319" t="str">
        <v>Poblado</v>
      </c>
      <c r="AF319" t="str">
        <v>Recoge</v>
      </c>
      <c r="AG319" t="str">
        <v>Parrilla</v>
      </c>
      <c r="AH319">
        <v>3</v>
      </c>
      <c r="AI319">
        <v>62379.76</v>
      </c>
      <c r="AJ319">
        <v>1985.06</v>
      </c>
      <c r="AK319">
        <v>15</v>
      </c>
      <c r="AL319">
        <v>51</v>
      </c>
      <c r="AM319" t="str">
        <v>App</v>
      </c>
      <c r="AN319" t="str">
        <v>Reembolsada</v>
      </c>
      <c r="AO319">
        <v>4</v>
      </c>
    </row>
    <row r="320" spans="1:41" x14ac:dyDescent="0.3">
      <c r="A320" t="s">
        <v>353</v>
      </c>
      <c r="B320" s="8">
        <v>46007</v>
      </c>
      <c r="C320" s="2">
        <v>0.67083333333333328</v>
      </c>
      <c r="D320" t="s">
        <v>27</v>
      </c>
      <c r="E320" t="s">
        <v>16</v>
      </c>
      <c r="F320" t="s">
        <v>34</v>
      </c>
      <c r="G320">
        <v>4</v>
      </c>
      <c r="H320" s="6">
        <v>46638.66</v>
      </c>
      <c r="I320" s="6">
        <v>715.19</v>
      </c>
      <c r="J320">
        <v>16</v>
      </c>
      <c r="K320">
        <v>43</v>
      </c>
      <c r="L320" t="s">
        <v>18</v>
      </c>
      <c r="M320" t="s">
        <v>19</v>
      </c>
      <c r="N320">
        <v>4</v>
      </c>
      <c r="O320" s="4"/>
      <c r="P320" s="4" t="str">
        <f>IF(Data_Set_2[[#This Row],[valor_bruto]]&gt;$W$13,"OUTLIER+","")</f>
        <v/>
      </c>
      <c r="Q320" s="4" t="str">
        <f>IF(Data_Set_2[[#This Row],[valor_bruto]]&lt;$W$14,"OUTLIER-","")</f>
        <v/>
      </c>
      <c r="R320" s="4"/>
      <c r="S320" s="4"/>
      <c r="AB320" t="str">
        <v>RES-100318</v>
      </c>
      <c r="AC320">
        <v>46007</v>
      </c>
      <c r="AD320">
        <v>0.67083333333333328</v>
      </c>
      <c r="AE320" t="str">
        <v>Centro</v>
      </c>
      <c r="AF320" t="str">
        <v>Mesa</v>
      </c>
      <c r="AG320" t="str">
        <v>Vegano</v>
      </c>
      <c r="AH320">
        <v>4</v>
      </c>
      <c r="AI320">
        <v>46638.66</v>
      </c>
      <c r="AJ320">
        <v>715.19</v>
      </c>
      <c r="AK320">
        <v>16</v>
      </c>
      <c r="AL320">
        <v>43</v>
      </c>
      <c r="AM320" t="str">
        <v>Tarjeta</v>
      </c>
      <c r="AN320" t="str">
        <v>Entregada</v>
      </c>
      <c r="AO320">
        <v>4</v>
      </c>
    </row>
    <row r="321" spans="1:41" x14ac:dyDescent="0.3">
      <c r="A321" t="s">
        <v>354</v>
      </c>
      <c r="B321" s="8">
        <v>46008</v>
      </c>
      <c r="C321" s="2">
        <v>0.71736111111111112</v>
      </c>
      <c r="D321" t="s">
        <v>33</v>
      </c>
      <c r="E321" t="s">
        <v>22</v>
      </c>
      <c r="F321" t="s">
        <v>36</v>
      </c>
      <c r="G321">
        <v>4</v>
      </c>
      <c r="H321" s="6">
        <v>64218.239999999998</v>
      </c>
      <c r="I321" s="6">
        <v>8403.42</v>
      </c>
      <c r="J321">
        <v>25</v>
      </c>
      <c r="K321">
        <v>33</v>
      </c>
      <c r="L321" t="s">
        <v>24</v>
      </c>
      <c r="M321" t="s">
        <v>25</v>
      </c>
      <c r="N321">
        <v>4</v>
      </c>
      <c r="O321" s="4"/>
      <c r="P321" s="4" t="str">
        <f>IF(Data_Set_2[[#This Row],[valor_bruto]]&gt;$W$13,"OUTLIER+","")</f>
        <v/>
      </c>
      <c r="Q321" s="4" t="str">
        <f>IF(Data_Set_2[[#This Row],[valor_bruto]]&lt;$W$14,"OUTLIER-","")</f>
        <v/>
      </c>
      <c r="R321" s="4"/>
      <c r="S321" s="4"/>
      <c r="AB321" t="str">
        <v>RES-100319</v>
      </c>
      <c r="AC321">
        <v>46008</v>
      </c>
      <c r="AD321">
        <v>0.71736111111111112</v>
      </c>
      <c r="AE321" t="str">
        <v>Envigado</v>
      </c>
      <c r="AF321" t="str">
        <v>Domicilio</v>
      </c>
      <c r="AG321" t="str">
        <v>Bebidas</v>
      </c>
      <c r="AH321">
        <v>4</v>
      </c>
      <c r="AI321">
        <v>64218.239999999998</v>
      </c>
      <c r="AJ321">
        <v>8403.42</v>
      </c>
      <c r="AK321">
        <v>25</v>
      </c>
      <c r="AL321">
        <v>33</v>
      </c>
      <c r="AM321" t="str">
        <v>Efectivo</v>
      </c>
      <c r="AN321" t="str">
        <v>Cancelada</v>
      </c>
      <c r="AO321">
        <v>4</v>
      </c>
    </row>
    <row r="322" spans="1:41" x14ac:dyDescent="0.3">
      <c r="A322" t="s">
        <v>355</v>
      </c>
      <c r="B322" s="8">
        <v>46009</v>
      </c>
      <c r="C322" s="2">
        <v>0.76388888888888884</v>
      </c>
      <c r="D322" t="s">
        <v>15</v>
      </c>
      <c r="E322" t="s">
        <v>28</v>
      </c>
      <c r="F322" t="s">
        <v>17</v>
      </c>
      <c r="G322">
        <v>5</v>
      </c>
      <c r="H322" s="6">
        <v>42763.21</v>
      </c>
      <c r="I322" s="6">
        <v>4244.78</v>
      </c>
      <c r="J322">
        <v>30</v>
      </c>
      <c r="K322">
        <v>41</v>
      </c>
      <c r="L322" t="s">
        <v>30</v>
      </c>
      <c r="M322" t="s">
        <v>31</v>
      </c>
      <c r="N322">
        <v>4</v>
      </c>
      <c r="O322" s="4"/>
      <c r="P322" s="4" t="str">
        <f>IF(Data_Set_2[[#This Row],[valor_bruto]]&gt;$W$13,"OUTLIER+","")</f>
        <v/>
      </c>
      <c r="Q322" s="4" t="str">
        <f>IF(Data_Set_2[[#This Row],[valor_bruto]]&lt;$W$14,"OUTLIER-","")</f>
        <v/>
      </c>
      <c r="R322" s="4"/>
      <c r="S322" s="4"/>
      <c r="AB322" t="str">
        <v>RES-100320</v>
      </c>
      <c r="AC322">
        <v>46009</v>
      </c>
      <c r="AD322">
        <v>0.76388888888888884</v>
      </c>
      <c r="AE322" t="str">
        <v>Laureles</v>
      </c>
      <c r="AF322" t="str">
        <v>Recoge</v>
      </c>
      <c r="AG322" t="str">
        <v>Comida rapida</v>
      </c>
      <c r="AH322">
        <v>5</v>
      </c>
      <c r="AI322">
        <v>42763.21</v>
      </c>
      <c r="AJ322">
        <v>4244.78</v>
      </c>
      <c r="AK322">
        <v>30</v>
      </c>
      <c r="AL322">
        <v>41</v>
      </c>
      <c r="AM322" t="str">
        <v>App</v>
      </c>
      <c r="AN322" t="str">
        <v>Reembolsada</v>
      </c>
      <c r="AO322">
        <v>4</v>
      </c>
    </row>
    <row r="323" spans="1:41" x14ac:dyDescent="0.3">
      <c r="A323" t="s">
        <v>356</v>
      </c>
      <c r="B323" s="8">
        <v>46010</v>
      </c>
      <c r="C323" s="2">
        <v>0.81041666666666667</v>
      </c>
      <c r="D323" t="s">
        <v>21</v>
      </c>
      <c r="E323" t="s">
        <v>16</v>
      </c>
      <c r="F323" t="s">
        <v>23</v>
      </c>
      <c r="G323">
        <v>3</v>
      </c>
      <c r="H323" s="6">
        <v>61669.95</v>
      </c>
      <c r="I323" s="6">
        <v>6847.46</v>
      </c>
      <c r="J323">
        <v>28</v>
      </c>
      <c r="K323">
        <v>31</v>
      </c>
      <c r="L323" t="s">
        <v>18</v>
      </c>
      <c r="M323" t="s">
        <v>19</v>
      </c>
      <c r="N323">
        <v>4</v>
      </c>
      <c r="O323" s="4"/>
      <c r="P323" s="4" t="str">
        <f>IF(Data_Set_2[[#This Row],[valor_bruto]]&gt;$W$13,"OUTLIER+","")</f>
        <v/>
      </c>
      <c r="Q323" s="4" t="str">
        <f>IF(Data_Set_2[[#This Row],[valor_bruto]]&lt;$W$14,"OUTLIER-","")</f>
        <v/>
      </c>
      <c r="R323" s="4"/>
      <c r="S323" s="4"/>
      <c r="AB323" t="str">
        <v>RES-100321</v>
      </c>
      <c r="AC323">
        <v>46010</v>
      </c>
      <c r="AD323">
        <v>0.81041666666666667</v>
      </c>
      <c r="AE323" t="str">
        <v>Poblado</v>
      </c>
      <c r="AF323" t="str">
        <v>Mesa</v>
      </c>
      <c r="AG323" t="str">
        <v>Pasta</v>
      </c>
      <c r="AH323">
        <v>3</v>
      </c>
      <c r="AI323">
        <v>61669.95</v>
      </c>
      <c r="AJ323">
        <v>6847.46</v>
      </c>
      <c r="AK323">
        <v>28</v>
      </c>
      <c r="AL323">
        <v>31</v>
      </c>
      <c r="AM323" t="str">
        <v>Tarjeta</v>
      </c>
      <c r="AN323" t="str">
        <v>Entregada</v>
      </c>
      <c r="AO323">
        <v>4</v>
      </c>
    </row>
    <row r="324" spans="1:41" x14ac:dyDescent="0.3">
      <c r="A324" t="s">
        <v>357</v>
      </c>
      <c r="B324" s="8">
        <v>46011</v>
      </c>
      <c r="C324" s="2">
        <v>0.8569444444444444</v>
      </c>
      <c r="D324" t="s">
        <v>27</v>
      </c>
      <c r="E324" t="s">
        <v>22</v>
      </c>
      <c r="F324" t="s">
        <v>29</v>
      </c>
      <c r="G324">
        <v>5</v>
      </c>
      <c r="H324" s="6">
        <v>44891.6</v>
      </c>
      <c r="I324" s="6">
        <v>4307.1400000000003</v>
      </c>
      <c r="J324">
        <v>25</v>
      </c>
      <c r="K324">
        <v>27</v>
      </c>
      <c r="L324" t="s">
        <v>24</v>
      </c>
      <c r="M324" t="s">
        <v>25</v>
      </c>
      <c r="N324">
        <v>5</v>
      </c>
      <c r="O324" s="4"/>
      <c r="P324" s="4" t="str">
        <f>IF(Data_Set_2[[#This Row],[valor_bruto]]&gt;$W$13,"OUTLIER+","")</f>
        <v/>
      </c>
      <c r="Q324" s="4" t="str">
        <f>IF(Data_Set_2[[#This Row],[valor_bruto]]&lt;$W$14,"OUTLIER-","")</f>
        <v/>
      </c>
      <c r="R324" s="4"/>
      <c r="S324" s="4"/>
      <c r="AB324" t="str">
        <v>RES-100322</v>
      </c>
      <c r="AC324">
        <v>46011</v>
      </c>
      <c r="AD324">
        <v>0.8569444444444444</v>
      </c>
      <c r="AE324" t="str">
        <v>Centro</v>
      </c>
      <c r="AF324" t="str">
        <v>Domicilio</v>
      </c>
      <c r="AG324" t="str">
        <v>Parrilla</v>
      </c>
      <c r="AH324">
        <v>5</v>
      </c>
      <c r="AI324">
        <v>44891.6</v>
      </c>
      <c r="AJ324">
        <v>4307.1400000000003</v>
      </c>
      <c r="AK324">
        <v>25</v>
      </c>
      <c r="AL324">
        <v>27</v>
      </c>
      <c r="AM324" t="str">
        <v>Efectivo</v>
      </c>
      <c r="AN324" t="str">
        <v>Cancelada</v>
      </c>
      <c r="AO324">
        <v>5</v>
      </c>
    </row>
    <row r="325" spans="1:41" x14ac:dyDescent="0.3">
      <c r="A325" t="s">
        <v>358</v>
      </c>
      <c r="B325" s="8">
        <v>46012</v>
      </c>
      <c r="C325" s="2">
        <v>0.90347222222222223</v>
      </c>
      <c r="D325" t="s">
        <v>33</v>
      </c>
      <c r="E325" t="s">
        <v>28</v>
      </c>
      <c r="F325" t="s">
        <v>34</v>
      </c>
      <c r="G325">
        <v>4</v>
      </c>
      <c r="H325" s="6">
        <v>55459.65</v>
      </c>
      <c r="I325" s="6">
        <v>7168.14</v>
      </c>
      <c r="J325">
        <v>21</v>
      </c>
      <c r="K325">
        <v>52</v>
      </c>
      <c r="L325" t="s">
        <v>30</v>
      </c>
      <c r="M325" t="s">
        <v>31</v>
      </c>
      <c r="N325">
        <v>4</v>
      </c>
      <c r="O325" s="4"/>
      <c r="P325" s="4" t="str">
        <f>IF(Data_Set_2[[#This Row],[valor_bruto]]&gt;$W$13,"OUTLIER+","")</f>
        <v/>
      </c>
      <c r="Q325" s="4" t="str">
        <f>IF(Data_Set_2[[#This Row],[valor_bruto]]&lt;$W$14,"OUTLIER-","")</f>
        <v/>
      </c>
      <c r="R325" s="4"/>
      <c r="S325" s="4"/>
      <c r="AB325" t="str">
        <v>RES-100323</v>
      </c>
      <c r="AC325">
        <v>46012</v>
      </c>
      <c r="AD325">
        <v>0.90347222222222223</v>
      </c>
      <c r="AE325" t="str">
        <v>Envigado</v>
      </c>
      <c r="AF325" t="str">
        <v>Recoge</v>
      </c>
      <c r="AG325" t="str">
        <v>Vegano</v>
      </c>
      <c r="AH325">
        <v>4</v>
      </c>
      <c r="AI325">
        <v>55459.65</v>
      </c>
      <c r="AJ325">
        <v>7168.14</v>
      </c>
      <c r="AK325">
        <v>21</v>
      </c>
      <c r="AL325">
        <v>52</v>
      </c>
      <c r="AM325" t="str">
        <v>App</v>
      </c>
      <c r="AN325" t="str">
        <v>Reembolsada</v>
      </c>
      <c r="AO325">
        <v>4</v>
      </c>
    </row>
    <row r="326" spans="1:41" x14ac:dyDescent="0.3">
      <c r="A326" t="s">
        <v>359</v>
      </c>
      <c r="B326" s="8">
        <v>46013</v>
      </c>
      <c r="C326" s="2">
        <v>0.45</v>
      </c>
      <c r="D326" t="s">
        <v>15</v>
      </c>
      <c r="E326" t="s">
        <v>16</v>
      </c>
      <c r="F326" t="s">
        <v>36</v>
      </c>
      <c r="G326">
        <v>5</v>
      </c>
      <c r="H326" s="6">
        <v>51408.95</v>
      </c>
      <c r="I326" s="6">
        <v>6698.15</v>
      </c>
      <c r="J326">
        <v>17</v>
      </c>
      <c r="K326">
        <v>42</v>
      </c>
      <c r="L326" t="s">
        <v>18</v>
      </c>
      <c r="M326" t="s">
        <v>19</v>
      </c>
      <c r="N326">
        <v>5</v>
      </c>
      <c r="O326" s="4"/>
      <c r="P326" s="4" t="str">
        <f>IF(Data_Set_2[[#This Row],[valor_bruto]]&gt;$W$13,"OUTLIER+","")</f>
        <v/>
      </c>
      <c r="Q326" s="4" t="str">
        <f>IF(Data_Set_2[[#This Row],[valor_bruto]]&lt;$W$14,"OUTLIER-","")</f>
        <v/>
      </c>
      <c r="R326" s="4"/>
      <c r="S326" s="4"/>
      <c r="AB326" t="str">
        <v>RES-100324</v>
      </c>
      <c r="AC326">
        <v>46013</v>
      </c>
      <c r="AD326">
        <v>0.45</v>
      </c>
      <c r="AE326" t="str">
        <v>Laureles</v>
      </c>
      <c r="AF326" t="str">
        <v>Mesa</v>
      </c>
      <c r="AG326" t="str">
        <v>Bebidas</v>
      </c>
      <c r="AH326">
        <v>5</v>
      </c>
      <c r="AI326">
        <v>51408.95</v>
      </c>
      <c r="AJ326">
        <v>6698.15</v>
      </c>
      <c r="AK326">
        <v>17</v>
      </c>
      <c r="AL326">
        <v>42</v>
      </c>
      <c r="AM326" t="str">
        <v>Tarjeta</v>
      </c>
      <c r="AN326" t="str">
        <v>Entregada</v>
      </c>
      <c r="AO326">
        <v>5</v>
      </c>
    </row>
    <row r="327" spans="1:41" x14ac:dyDescent="0.3">
      <c r="A327" t="s">
        <v>360</v>
      </c>
      <c r="B327" s="8">
        <v>46014</v>
      </c>
      <c r="C327" s="2">
        <v>0.49652777777777779</v>
      </c>
      <c r="D327" t="s">
        <v>21</v>
      </c>
      <c r="E327" t="s">
        <v>22</v>
      </c>
      <c r="F327" t="s">
        <v>17</v>
      </c>
      <c r="G327">
        <v>2</v>
      </c>
      <c r="H327" s="6">
        <v>26825.69</v>
      </c>
      <c r="I327" s="6">
        <v>2139.83</v>
      </c>
      <c r="J327">
        <v>15</v>
      </c>
      <c r="K327">
        <v>49</v>
      </c>
      <c r="L327" t="s">
        <v>24</v>
      </c>
      <c r="M327" t="s">
        <v>25</v>
      </c>
      <c r="N327">
        <v>3</v>
      </c>
      <c r="O327" s="4"/>
      <c r="P327" s="4" t="str">
        <f>IF(Data_Set_2[[#This Row],[valor_bruto]]&gt;$W$13,"OUTLIER+","")</f>
        <v/>
      </c>
      <c r="Q327" s="4" t="str">
        <f>IF(Data_Set_2[[#This Row],[valor_bruto]]&lt;$W$14,"OUTLIER-","")</f>
        <v/>
      </c>
      <c r="R327" s="4"/>
      <c r="S327" s="4"/>
      <c r="AB327" t="str">
        <v>RES-100325</v>
      </c>
      <c r="AC327">
        <v>46014</v>
      </c>
      <c r="AD327">
        <v>0.49652777777777779</v>
      </c>
      <c r="AE327" t="str">
        <v>Poblado</v>
      </c>
      <c r="AF327" t="str">
        <v>Domicilio</v>
      </c>
      <c r="AG327" t="str">
        <v>Comida rapida</v>
      </c>
      <c r="AH327">
        <v>2</v>
      </c>
      <c r="AI327">
        <v>26825.69</v>
      </c>
      <c r="AJ327">
        <v>2139.83</v>
      </c>
      <c r="AK327">
        <v>15</v>
      </c>
      <c r="AL327">
        <v>49</v>
      </c>
      <c r="AM327" t="str">
        <v>Efectivo</v>
      </c>
      <c r="AN327" t="str">
        <v>Cancelada</v>
      </c>
      <c r="AO327">
        <v>3</v>
      </c>
    </row>
    <row r="328" spans="1:41" x14ac:dyDescent="0.3">
      <c r="A328" t="s">
        <v>361</v>
      </c>
      <c r="B328" s="8">
        <v>46015</v>
      </c>
      <c r="C328" s="2">
        <v>0.50138888888888888</v>
      </c>
      <c r="D328" t="s">
        <v>27</v>
      </c>
      <c r="E328" t="s">
        <v>28</v>
      </c>
      <c r="F328" t="s">
        <v>23</v>
      </c>
      <c r="G328">
        <v>5</v>
      </c>
      <c r="H328" s="6">
        <v>26849.38</v>
      </c>
      <c r="I328" s="6">
        <v>3145.91</v>
      </c>
      <c r="J328">
        <v>15</v>
      </c>
      <c r="K328">
        <v>37</v>
      </c>
      <c r="L328" t="s">
        <v>30</v>
      </c>
      <c r="M328" t="s">
        <v>31</v>
      </c>
      <c r="N328">
        <v>4</v>
      </c>
      <c r="O328" s="4"/>
      <c r="P328" s="4" t="str">
        <f>IF(Data_Set_2[[#This Row],[valor_bruto]]&gt;$W$13,"OUTLIER+","")</f>
        <v/>
      </c>
      <c r="Q328" s="4" t="str">
        <f>IF(Data_Set_2[[#This Row],[valor_bruto]]&lt;$W$14,"OUTLIER-","")</f>
        <v/>
      </c>
      <c r="R328" s="4"/>
      <c r="S328" s="4"/>
      <c r="AB328" t="str">
        <v>RES-100326</v>
      </c>
      <c r="AC328">
        <v>46015</v>
      </c>
      <c r="AD328">
        <v>0.50138888888888888</v>
      </c>
      <c r="AE328" t="str">
        <v>Centro</v>
      </c>
      <c r="AF328" t="str">
        <v>Recoge</v>
      </c>
      <c r="AG328" t="str">
        <v>Pasta</v>
      </c>
      <c r="AH328">
        <v>5</v>
      </c>
      <c r="AI328">
        <v>26849.38</v>
      </c>
      <c r="AJ328">
        <v>3145.91</v>
      </c>
      <c r="AK328">
        <v>15</v>
      </c>
      <c r="AL328">
        <v>37</v>
      </c>
      <c r="AM328" t="str">
        <v>App</v>
      </c>
      <c r="AN328" t="str">
        <v>Reembolsada</v>
      </c>
      <c r="AO328">
        <v>4</v>
      </c>
    </row>
    <row r="329" spans="1:41" x14ac:dyDescent="0.3">
      <c r="A329" t="s">
        <v>362</v>
      </c>
      <c r="B329" s="8">
        <v>46016</v>
      </c>
      <c r="C329" s="2">
        <v>0.54791666666666672</v>
      </c>
      <c r="D329" t="s">
        <v>33</v>
      </c>
      <c r="E329" t="s">
        <v>16</v>
      </c>
      <c r="F329" t="s">
        <v>29</v>
      </c>
      <c r="G329">
        <v>4</v>
      </c>
      <c r="H329" s="6">
        <v>55052.85</v>
      </c>
      <c r="I329" s="6">
        <v>882.7</v>
      </c>
      <c r="J329">
        <v>27</v>
      </c>
      <c r="K329">
        <v>48</v>
      </c>
      <c r="L329" t="s">
        <v>18</v>
      </c>
      <c r="M329" t="s">
        <v>19</v>
      </c>
      <c r="N329">
        <v>5</v>
      </c>
      <c r="O329" s="4"/>
      <c r="P329" s="4" t="str">
        <f>IF(Data_Set_2[[#This Row],[valor_bruto]]&gt;$W$13,"OUTLIER+","")</f>
        <v/>
      </c>
      <c r="Q329" s="4" t="str">
        <f>IF(Data_Set_2[[#This Row],[valor_bruto]]&lt;$W$14,"OUTLIER-","")</f>
        <v/>
      </c>
      <c r="R329" s="4"/>
      <c r="S329" s="4"/>
      <c r="AB329" t="str">
        <v>RES-100327</v>
      </c>
      <c r="AC329">
        <v>46016</v>
      </c>
      <c r="AD329">
        <v>0.54791666666666672</v>
      </c>
      <c r="AE329" t="str">
        <v>Envigado</v>
      </c>
      <c r="AF329" t="str">
        <v>Mesa</v>
      </c>
      <c r="AG329" t="str">
        <v>Parrilla</v>
      </c>
      <c r="AH329">
        <v>4</v>
      </c>
      <c r="AI329">
        <v>55052.85</v>
      </c>
      <c r="AJ329">
        <v>882.7</v>
      </c>
      <c r="AK329">
        <v>27</v>
      </c>
      <c r="AL329">
        <v>48</v>
      </c>
      <c r="AM329" t="str">
        <v>Tarjeta</v>
      </c>
      <c r="AN329" t="str">
        <v>Entregada</v>
      </c>
      <c r="AO329">
        <v>5</v>
      </c>
    </row>
    <row r="330" spans="1:41" x14ac:dyDescent="0.3">
      <c r="A330" t="s">
        <v>363</v>
      </c>
      <c r="B330" s="8">
        <v>46017</v>
      </c>
      <c r="C330" s="2">
        <v>0.59444444444444444</v>
      </c>
      <c r="D330" t="s">
        <v>15</v>
      </c>
      <c r="E330" t="s">
        <v>22</v>
      </c>
      <c r="F330" t="s">
        <v>34</v>
      </c>
      <c r="G330">
        <v>6</v>
      </c>
      <c r="H330" s="6">
        <v>35219.49</v>
      </c>
      <c r="I330" s="6">
        <v>5050.21</v>
      </c>
      <c r="J330">
        <v>28</v>
      </c>
      <c r="K330">
        <v>41</v>
      </c>
      <c r="L330" t="s">
        <v>24</v>
      </c>
      <c r="M330" t="s">
        <v>25</v>
      </c>
      <c r="N330">
        <v>3</v>
      </c>
      <c r="O330" s="4"/>
      <c r="P330" s="4" t="str">
        <f>IF(Data_Set_2[[#This Row],[valor_bruto]]&gt;$W$13,"OUTLIER+","")</f>
        <v/>
      </c>
      <c r="Q330" s="4" t="str">
        <f>IF(Data_Set_2[[#This Row],[valor_bruto]]&lt;$W$14,"OUTLIER-","")</f>
        <v/>
      </c>
      <c r="R330" s="4"/>
      <c r="S330" s="4"/>
      <c r="AB330" t="str">
        <v>RES-100328</v>
      </c>
      <c r="AC330">
        <v>46017</v>
      </c>
      <c r="AD330">
        <v>0.59444444444444444</v>
      </c>
      <c r="AE330" t="str">
        <v>Laureles</v>
      </c>
      <c r="AF330" t="str">
        <v>Domicilio</v>
      </c>
      <c r="AG330" t="str">
        <v>Vegano</v>
      </c>
      <c r="AH330">
        <v>6</v>
      </c>
      <c r="AI330">
        <v>35219.49</v>
      </c>
      <c r="AJ330">
        <v>5050.21</v>
      </c>
      <c r="AK330">
        <v>28</v>
      </c>
      <c r="AL330">
        <v>41</v>
      </c>
      <c r="AM330" t="str">
        <v>Efectivo</v>
      </c>
      <c r="AN330" t="str">
        <v>Cancelada</v>
      </c>
      <c r="AO330">
        <v>3</v>
      </c>
    </row>
    <row r="331" spans="1:41" x14ac:dyDescent="0.3">
      <c r="A331" t="s">
        <v>364</v>
      </c>
      <c r="B331" s="8">
        <v>46018</v>
      </c>
      <c r="C331" s="2">
        <v>0.64097222222222228</v>
      </c>
      <c r="D331" t="s">
        <v>21</v>
      </c>
      <c r="E331" t="s">
        <v>28</v>
      </c>
      <c r="F331" t="s">
        <v>36</v>
      </c>
      <c r="G331">
        <v>3</v>
      </c>
      <c r="H331" s="6">
        <v>27798.79</v>
      </c>
      <c r="I331" s="6">
        <v>7387.77</v>
      </c>
      <c r="J331">
        <v>29</v>
      </c>
      <c r="K331">
        <v>29</v>
      </c>
      <c r="L331" t="s">
        <v>30</v>
      </c>
      <c r="M331" t="s">
        <v>31</v>
      </c>
      <c r="N331">
        <v>3</v>
      </c>
      <c r="O331" s="4"/>
      <c r="P331" s="4" t="str">
        <f>IF(Data_Set_2[[#This Row],[valor_bruto]]&gt;$W$13,"OUTLIER+","")</f>
        <v/>
      </c>
      <c r="Q331" s="4" t="str">
        <f>IF(Data_Set_2[[#This Row],[valor_bruto]]&lt;$W$14,"OUTLIER-","")</f>
        <v/>
      </c>
      <c r="R331" s="4"/>
      <c r="S331" s="4"/>
      <c r="AB331" t="str">
        <v>RES-100329</v>
      </c>
      <c r="AC331">
        <v>46018</v>
      </c>
      <c r="AD331">
        <v>0.64097222222222228</v>
      </c>
      <c r="AE331" t="str">
        <v>Poblado</v>
      </c>
      <c r="AF331" t="str">
        <v>Recoge</v>
      </c>
      <c r="AG331" t="str">
        <v>Bebidas</v>
      </c>
      <c r="AH331">
        <v>3</v>
      </c>
      <c r="AI331">
        <v>27798.79</v>
      </c>
      <c r="AJ331">
        <v>7387.77</v>
      </c>
      <c r="AK331">
        <v>29</v>
      </c>
      <c r="AL331">
        <v>29</v>
      </c>
      <c r="AM331" t="str">
        <v>App</v>
      </c>
      <c r="AN331" t="str">
        <v>Reembolsada</v>
      </c>
      <c r="AO331">
        <v>3</v>
      </c>
    </row>
    <row r="332" spans="1:41" x14ac:dyDescent="0.3">
      <c r="A332" t="s">
        <v>365</v>
      </c>
      <c r="B332" s="8">
        <v>46019</v>
      </c>
      <c r="C332" s="2">
        <v>0.6875</v>
      </c>
      <c r="D332" t="s">
        <v>27</v>
      </c>
      <c r="E332" t="s">
        <v>16</v>
      </c>
      <c r="F332" t="s">
        <v>17</v>
      </c>
      <c r="G332">
        <v>3</v>
      </c>
      <c r="H332" s="6">
        <v>38986.379999999997</v>
      </c>
      <c r="I332" s="6">
        <v>3855.55</v>
      </c>
      <c r="J332">
        <v>21</v>
      </c>
      <c r="K332">
        <v>39</v>
      </c>
      <c r="L332" t="s">
        <v>18</v>
      </c>
      <c r="M332" t="s">
        <v>19</v>
      </c>
      <c r="N332">
        <v>5</v>
      </c>
      <c r="O332" s="4"/>
      <c r="P332" s="4" t="str">
        <f>IF(Data_Set_2[[#This Row],[valor_bruto]]&gt;$W$13,"OUTLIER+","")</f>
        <v/>
      </c>
      <c r="Q332" s="4" t="str">
        <f>IF(Data_Set_2[[#This Row],[valor_bruto]]&lt;$W$14,"OUTLIER-","")</f>
        <v/>
      </c>
      <c r="R332" s="4"/>
      <c r="S332" s="4"/>
      <c r="AB332" t="str">
        <v>RES-100330</v>
      </c>
      <c r="AC332">
        <v>46019</v>
      </c>
      <c r="AD332">
        <v>0.6875</v>
      </c>
      <c r="AE332" t="str">
        <v>Centro</v>
      </c>
      <c r="AF332" t="str">
        <v>Mesa</v>
      </c>
      <c r="AG332" t="str">
        <v>Comida rapida</v>
      </c>
      <c r="AH332">
        <v>3</v>
      </c>
      <c r="AI332">
        <v>38986.379999999997</v>
      </c>
      <c r="AJ332">
        <v>3855.55</v>
      </c>
      <c r="AK332">
        <v>21</v>
      </c>
      <c r="AL332">
        <v>39</v>
      </c>
      <c r="AM332" t="str">
        <v>Tarjeta</v>
      </c>
      <c r="AN332" t="str">
        <v>Entregada</v>
      </c>
      <c r="AO332">
        <v>5</v>
      </c>
    </row>
    <row r="333" spans="1:41" x14ac:dyDescent="0.3">
      <c r="A333" t="s">
        <v>366</v>
      </c>
      <c r="B333" s="8">
        <v>46020</v>
      </c>
      <c r="C333" s="2">
        <v>0.73402777777777772</v>
      </c>
      <c r="D333" t="s">
        <v>33</v>
      </c>
      <c r="E333" t="s">
        <v>22</v>
      </c>
      <c r="F333" t="s">
        <v>23</v>
      </c>
      <c r="G333">
        <v>4</v>
      </c>
      <c r="H333" s="6">
        <v>50903.93</v>
      </c>
      <c r="I333" s="6">
        <v>6168.71</v>
      </c>
      <c r="J333">
        <v>24</v>
      </c>
      <c r="K333">
        <v>53</v>
      </c>
      <c r="L333" t="s">
        <v>24</v>
      </c>
      <c r="M333" t="s">
        <v>25</v>
      </c>
      <c r="N333">
        <v>5</v>
      </c>
      <c r="O333" s="4"/>
      <c r="P333" s="4" t="str">
        <f>IF(Data_Set_2[[#This Row],[valor_bruto]]&gt;$W$13,"OUTLIER+","")</f>
        <v/>
      </c>
      <c r="Q333" s="4" t="str">
        <f>IF(Data_Set_2[[#This Row],[valor_bruto]]&lt;$W$14,"OUTLIER-","")</f>
        <v/>
      </c>
      <c r="R333" s="4"/>
      <c r="S333" s="4"/>
      <c r="AB333" t="str">
        <v>RES-100331</v>
      </c>
      <c r="AC333">
        <v>46020</v>
      </c>
      <c r="AD333">
        <v>0.73402777777777772</v>
      </c>
      <c r="AE333" t="str">
        <v>Envigado</v>
      </c>
      <c r="AF333" t="str">
        <v>Domicilio</v>
      </c>
      <c r="AG333" t="str">
        <v>Pasta</v>
      </c>
      <c r="AH333">
        <v>4</v>
      </c>
      <c r="AI333">
        <v>50903.93</v>
      </c>
      <c r="AJ333">
        <v>6168.71</v>
      </c>
      <c r="AK333">
        <v>24</v>
      </c>
      <c r="AL333">
        <v>53</v>
      </c>
      <c r="AM333" t="str">
        <v>Efectivo</v>
      </c>
      <c r="AN333" t="str">
        <v>Cancelada</v>
      </c>
      <c r="AO333">
        <v>5</v>
      </c>
    </row>
    <row r="334" spans="1:41" x14ac:dyDescent="0.3">
      <c r="A334" t="s">
        <v>367</v>
      </c>
      <c r="B334" s="8">
        <v>46021</v>
      </c>
      <c r="C334" s="2">
        <v>0.78055555555555556</v>
      </c>
      <c r="D334" t="s">
        <v>15</v>
      </c>
      <c r="E334" t="s">
        <v>28</v>
      </c>
      <c r="F334" t="s">
        <v>29</v>
      </c>
      <c r="G334">
        <v>4</v>
      </c>
      <c r="H334" s="6">
        <v>65390.21</v>
      </c>
      <c r="I334" s="6">
        <v>4405.97</v>
      </c>
      <c r="J334">
        <v>16</v>
      </c>
      <c r="K334">
        <v>38</v>
      </c>
      <c r="L334" t="s">
        <v>30</v>
      </c>
      <c r="M334" t="s">
        <v>31</v>
      </c>
      <c r="N334">
        <v>3</v>
      </c>
      <c r="O334" s="4"/>
      <c r="P334" s="4" t="str">
        <f>IF(Data_Set_2[[#This Row],[valor_bruto]]&gt;$W$13,"OUTLIER+","")</f>
        <v/>
      </c>
      <c r="Q334" s="4" t="str">
        <f>IF(Data_Set_2[[#This Row],[valor_bruto]]&lt;$W$14,"OUTLIER-","")</f>
        <v/>
      </c>
      <c r="R334" s="4"/>
      <c r="S334" s="4"/>
      <c r="AB334" t="str">
        <v>RES-100332</v>
      </c>
      <c r="AC334">
        <v>46021</v>
      </c>
      <c r="AD334">
        <v>0.78055555555555556</v>
      </c>
      <c r="AE334" t="str">
        <v>Laureles</v>
      </c>
      <c r="AF334" t="str">
        <v>Recoge</v>
      </c>
      <c r="AG334" t="str">
        <v>Parrilla</v>
      </c>
      <c r="AH334">
        <v>4</v>
      </c>
      <c r="AI334">
        <v>65390.21</v>
      </c>
      <c r="AJ334">
        <v>4405.97</v>
      </c>
      <c r="AK334">
        <v>16</v>
      </c>
      <c r="AL334">
        <v>38</v>
      </c>
      <c r="AM334" t="str">
        <v>App</v>
      </c>
      <c r="AN334" t="str">
        <v>Reembolsada</v>
      </c>
      <c r="AO334">
        <v>3</v>
      </c>
    </row>
    <row r="335" spans="1:41" x14ac:dyDescent="0.3">
      <c r="A335" t="s">
        <v>368</v>
      </c>
      <c r="B335" s="8">
        <v>46022</v>
      </c>
      <c r="C335" s="2">
        <v>0.82708333333333328</v>
      </c>
      <c r="D335" t="s">
        <v>21</v>
      </c>
      <c r="E335" t="s">
        <v>16</v>
      </c>
      <c r="F335" t="s">
        <v>34</v>
      </c>
      <c r="G335">
        <v>4</v>
      </c>
      <c r="H335" s="6">
        <v>41997.63</v>
      </c>
      <c r="I335" s="6">
        <v>6714.69</v>
      </c>
      <c r="J335">
        <v>31</v>
      </c>
      <c r="K335">
        <v>35</v>
      </c>
      <c r="L335" t="s">
        <v>18</v>
      </c>
      <c r="M335" t="s">
        <v>19</v>
      </c>
      <c r="N335">
        <v>5</v>
      </c>
      <c r="O335" s="4"/>
      <c r="P335" s="4" t="str">
        <f>IF(Data_Set_2[[#This Row],[valor_bruto]]&gt;$W$13,"OUTLIER+","")</f>
        <v/>
      </c>
      <c r="Q335" s="4" t="str">
        <f>IF(Data_Set_2[[#This Row],[valor_bruto]]&lt;$W$14,"OUTLIER-","")</f>
        <v/>
      </c>
      <c r="R335" s="4"/>
      <c r="S335" s="4"/>
      <c r="AB335" t="str">
        <v>RES-100333</v>
      </c>
      <c r="AC335">
        <v>46022</v>
      </c>
      <c r="AD335">
        <v>0.82708333333333328</v>
      </c>
      <c r="AE335" t="str">
        <v>Poblado</v>
      </c>
      <c r="AF335" t="str">
        <v>Mesa</v>
      </c>
      <c r="AG335" t="str">
        <v>Vegano</v>
      </c>
      <c r="AH335">
        <v>4</v>
      </c>
      <c r="AI335">
        <v>41997.63</v>
      </c>
      <c r="AJ335">
        <v>6714.69</v>
      </c>
      <c r="AK335">
        <v>31</v>
      </c>
      <c r="AL335">
        <v>35</v>
      </c>
      <c r="AM335" t="str">
        <v>Tarjeta</v>
      </c>
      <c r="AN335" t="str">
        <v>Entregada</v>
      </c>
      <c r="AO335">
        <v>5</v>
      </c>
    </row>
    <row r="336" spans="1:41" x14ac:dyDescent="0.3">
      <c r="A336" t="s">
        <v>369</v>
      </c>
      <c r="B336" s="8">
        <v>46023</v>
      </c>
      <c r="C336" s="2">
        <v>0.87361111111111112</v>
      </c>
      <c r="D336" t="s">
        <v>27</v>
      </c>
      <c r="E336" t="s">
        <v>22</v>
      </c>
      <c r="F336" t="s">
        <v>36</v>
      </c>
      <c r="G336">
        <v>5</v>
      </c>
      <c r="H336" s="6">
        <v>65531.13</v>
      </c>
      <c r="I336" s="6">
        <v>1681.5</v>
      </c>
      <c r="J336">
        <v>26</v>
      </c>
      <c r="K336">
        <v>53</v>
      </c>
      <c r="L336" t="s">
        <v>24</v>
      </c>
      <c r="M336" t="s">
        <v>25</v>
      </c>
      <c r="N336">
        <v>5</v>
      </c>
      <c r="O336" s="4"/>
      <c r="P336" s="4" t="str">
        <f>IF(Data_Set_2[[#This Row],[valor_bruto]]&gt;$W$13,"OUTLIER+","")</f>
        <v/>
      </c>
      <c r="Q336" s="4" t="str">
        <f>IF(Data_Set_2[[#This Row],[valor_bruto]]&lt;$W$14,"OUTLIER-","")</f>
        <v/>
      </c>
      <c r="R336" s="4"/>
      <c r="S336" s="4"/>
      <c r="AB336" t="str">
        <v>RES-100334</v>
      </c>
      <c r="AC336">
        <v>46023</v>
      </c>
      <c r="AD336">
        <v>0.87361111111111112</v>
      </c>
      <c r="AE336" t="str">
        <v>Centro</v>
      </c>
      <c r="AF336" t="str">
        <v>Domicilio</v>
      </c>
      <c r="AG336" t="str">
        <v>Bebidas</v>
      </c>
      <c r="AH336">
        <v>5</v>
      </c>
      <c r="AI336">
        <v>65531.13</v>
      </c>
      <c r="AJ336">
        <v>1681.5</v>
      </c>
      <c r="AK336">
        <v>26</v>
      </c>
      <c r="AL336">
        <v>53</v>
      </c>
      <c r="AM336" t="str">
        <v>Efectivo</v>
      </c>
      <c r="AN336" t="str">
        <v>Cancelada</v>
      </c>
      <c r="AO336">
        <v>5</v>
      </c>
    </row>
    <row r="337" spans="1:41" x14ac:dyDescent="0.3">
      <c r="A337" t="s">
        <v>370</v>
      </c>
      <c r="B337" s="8">
        <v>46054</v>
      </c>
      <c r="C337" s="2">
        <v>0.87847222222222221</v>
      </c>
      <c r="D337" t="s">
        <v>33</v>
      </c>
      <c r="E337" t="s">
        <v>28</v>
      </c>
      <c r="F337" t="s">
        <v>17</v>
      </c>
      <c r="G337">
        <v>4</v>
      </c>
      <c r="H337" s="6">
        <v>53043.22</v>
      </c>
      <c r="I337" s="6">
        <v>6368.27</v>
      </c>
      <c r="J337">
        <v>30</v>
      </c>
      <c r="K337">
        <v>47</v>
      </c>
      <c r="L337" t="s">
        <v>30</v>
      </c>
      <c r="M337" t="s">
        <v>31</v>
      </c>
      <c r="N337">
        <v>4</v>
      </c>
      <c r="O337" s="4"/>
      <c r="P337" s="4" t="str">
        <f>IF(Data_Set_2[[#This Row],[valor_bruto]]&gt;$W$13,"OUTLIER+","")</f>
        <v/>
      </c>
      <c r="Q337" s="4" t="str">
        <f>IF(Data_Set_2[[#This Row],[valor_bruto]]&lt;$W$14,"OUTLIER-","")</f>
        <v/>
      </c>
      <c r="R337" s="4"/>
      <c r="S337" s="4"/>
      <c r="AB337" t="str">
        <v>RES-100335</v>
      </c>
      <c r="AC337">
        <v>46054</v>
      </c>
      <c r="AD337">
        <v>0.87847222222222221</v>
      </c>
      <c r="AE337" t="str">
        <v>Envigado</v>
      </c>
      <c r="AF337" t="str">
        <v>Recoge</v>
      </c>
      <c r="AG337" t="str">
        <v>Comida rapida</v>
      </c>
      <c r="AH337">
        <v>4</v>
      </c>
      <c r="AI337">
        <v>53043.22</v>
      </c>
      <c r="AJ337">
        <v>6368.27</v>
      </c>
      <c r="AK337">
        <v>30</v>
      </c>
      <c r="AL337">
        <v>47</v>
      </c>
      <c r="AM337" t="str">
        <v>App</v>
      </c>
      <c r="AN337" t="str">
        <v>Reembolsada</v>
      </c>
      <c r="AO337">
        <v>4</v>
      </c>
    </row>
    <row r="338" spans="1:41" x14ac:dyDescent="0.3">
      <c r="A338" t="s">
        <v>371</v>
      </c>
      <c r="B338" s="8">
        <v>46025</v>
      </c>
      <c r="C338" s="2">
        <v>0.42499999999999999</v>
      </c>
      <c r="D338" t="s">
        <v>15</v>
      </c>
      <c r="E338" t="s">
        <v>16</v>
      </c>
      <c r="F338" t="s">
        <v>23</v>
      </c>
      <c r="G338">
        <v>3</v>
      </c>
      <c r="H338" s="6">
        <v>31175.39</v>
      </c>
      <c r="I338" s="6">
        <v>2155.66</v>
      </c>
      <c r="J338">
        <v>13</v>
      </c>
      <c r="K338">
        <v>28</v>
      </c>
      <c r="L338" t="s">
        <v>18</v>
      </c>
      <c r="M338" t="s">
        <v>19</v>
      </c>
      <c r="N338">
        <v>3</v>
      </c>
      <c r="O338" s="4"/>
      <c r="P338" s="4" t="str">
        <f>IF(Data_Set_2[[#This Row],[valor_bruto]]&gt;$W$13,"OUTLIER+","")</f>
        <v/>
      </c>
      <c r="Q338" s="4" t="str">
        <f>IF(Data_Set_2[[#This Row],[valor_bruto]]&lt;$W$14,"OUTLIER-","")</f>
        <v/>
      </c>
      <c r="R338" s="4"/>
      <c r="S338" s="4"/>
      <c r="AB338" t="str">
        <v>RES-100336</v>
      </c>
      <c r="AC338">
        <v>46025</v>
      </c>
      <c r="AD338">
        <v>0.42499999999999999</v>
      </c>
      <c r="AE338" t="str">
        <v>Laureles</v>
      </c>
      <c r="AF338" t="str">
        <v>Mesa</v>
      </c>
      <c r="AG338" t="str">
        <v>Pasta</v>
      </c>
      <c r="AH338">
        <v>3</v>
      </c>
      <c r="AI338">
        <v>31175.39</v>
      </c>
      <c r="AJ338">
        <v>2155.66</v>
      </c>
      <c r="AK338">
        <v>13</v>
      </c>
      <c r="AL338">
        <v>28</v>
      </c>
      <c r="AM338" t="str">
        <v>Tarjeta</v>
      </c>
      <c r="AN338" t="str">
        <v>Entregada</v>
      </c>
      <c r="AO338">
        <v>3</v>
      </c>
    </row>
    <row r="339" spans="1:41" x14ac:dyDescent="0.3">
      <c r="A339" t="s">
        <v>372</v>
      </c>
      <c r="B339" s="8">
        <v>46026</v>
      </c>
      <c r="C339" s="2">
        <v>0.47152777777777777</v>
      </c>
      <c r="D339" t="s">
        <v>21</v>
      </c>
      <c r="E339" t="s">
        <v>22</v>
      </c>
      <c r="F339" t="s">
        <v>29</v>
      </c>
      <c r="G339">
        <v>3</v>
      </c>
      <c r="H339" s="6">
        <v>28263.45</v>
      </c>
      <c r="I339" s="6">
        <v>7919.39</v>
      </c>
      <c r="J339">
        <v>27</v>
      </c>
      <c r="K339">
        <v>23</v>
      </c>
      <c r="L339" t="s">
        <v>24</v>
      </c>
      <c r="M339" t="s">
        <v>25</v>
      </c>
      <c r="N339">
        <v>3</v>
      </c>
      <c r="O339" s="4"/>
      <c r="P339" s="4" t="str">
        <f>IF(Data_Set_2[[#This Row],[valor_bruto]]&gt;$W$13,"OUTLIER+","")</f>
        <v/>
      </c>
      <c r="Q339" s="4" t="str">
        <f>IF(Data_Set_2[[#This Row],[valor_bruto]]&lt;$W$14,"OUTLIER-","")</f>
        <v/>
      </c>
      <c r="R339" s="4"/>
      <c r="S339" s="4"/>
      <c r="AB339" t="str">
        <v>RES-100337</v>
      </c>
      <c r="AC339">
        <v>46026</v>
      </c>
      <c r="AD339">
        <v>0.47152777777777777</v>
      </c>
      <c r="AE339" t="str">
        <v>Poblado</v>
      </c>
      <c r="AF339" t="str">
        <v>Domicilio</v>
      </c>
      <c r="AG339" t="str">
        <v>Parrilla</v>
      </c>
      <c r="AH339">
        <v>3</v>
      </c>
      <c r="AI339">
        <v>28263.45</v>
      </c>
      <c r="AJ339">
        <v>7919.39</v>
      </c>
      <c r="AK339">
        <v>27</v>
      </c>
      <c r="AL339">
        <v>23</v>
      </c>
      <c r="AM339" t="str">
        <v>Efectivo</v>
      </c>
      <c r="AN339" t="str">
        <v>Cancelada</v>
      </c>
      <c r="AO339">
        <v>3</v>
      </c>
    </row>
    <row r="340" spans="1:41" x14ac:dyDescent="0.3">
      <c r="A340" t="s">
        <v>373</v>
      </c>
      <c r="B340" s="8">
        <v>46143</v>
      </c>
      <c r="C340" s="2">
        <v>0.5180555555555556</v>
      </c>
      <c r="D340" t="s">
        <v>27</v>
      </c>
      <c r="E340" t="s">
        <v>28</v>
      </c>
      <c r="F340" t="s">
        <v>34</v>
      </c>
      <c r="G340">
        <v>4</v>
      </c>
      <c r="H340" s="6">
        <v>66034.38</v>
      </c>
      <c r="I340" s="6">
        <v>4717.24</v>
      </c>
      <c r="J340">
        <v>15</v>
      </c>
      <c r="K340">
        <v>53</v>
      </c>
      <c r="L340" t="s">
        <v>30</v>
      </c>
      <c r="M340" t="s">
        <v>31</v>
      </c>
      <c r="N340">
        <v>4</v>
      </c>
      <c r="O340" s="4"/>
      <c r="P340" s="4" t="str">
        <f>IF(Data_Set_2[[#This Row],[valor_bruto]]&gt;$W$13,"OUTLIER+","")</f>
        <v/>
      </c>
      <c r="Q340" s="4" t="str">
        <f>IF(Data_Set_2[[#This Row],[valor_bruto]]&lt;$W$14,"OUTLIER-","")</f>
        <v/>
      </c>
      <c r="R340" s="4"/>
      <c r="S340" s="4"/>
      <c r="AB340" t="str">
        <v>RES-100338</v>
      </c>
      <c r="AC340">
        <v>46143</v>
      </c>
      <c r="AD340">
        <v>0.5180555555555556</v>
      </c>
      <c r="AE340" t="str">
        <v>Centro</v>
      </c>
      <c r="AF340" t="str">
        <v>Recoge</v>
      </c>
      <c r="AG340" t="str">
        <v>Vegano</v>
      </c>
      <c r="AH340">
        <v>4</v>
      </c>
      <c r="AI340">
        <v>66034.38</v>
      </c>
      <c r="AJ340">
        <v>4717.24</v>
      </c>
      <c r="AK340">
        <v>15</v>
      </c>
      <c r="AL340">
        <v>53</v>
      </c>
      <c r="AM340" t="str">
        <v>App</v>
      </c>
      <c r="AN340" t="str">
        <v>Reembolsada</v>
      </c>
      <c r="AO340">
        <v>4</v>
      </c>
    </row>
    <row r="341" spans="1:41" x14ac:dyDescent="0.3">
      <c r="A341" t="s">
        <v>374</v>
      </c>
      <c r="B341" s="8">
        <v>46028</v>
      </c>
      <c r="C341" s="2">
        <v>0.56458333333333333</v>
      </c>
      <c r="D341" t="s">
        <v>33</v>
      </c>
      <c r="E341" t="s">
        <v>16</v>
      </c>
      <c r="F341" t="s">
        <v>36</v>
      </c>
      <c r="G341">
        <v>2</v>
      </c>
      <c r="H341" s="6">
        <v>51388.67</v>
      </c>
      <c r="I341" s="6">
        <v>5839.18</v>
      </c>
      <c r="J341">
        <v>19</v>
      </c>
      <c r="K341">
        <v>49</v>
      </c>
      <c r="L341" t="s">
        <v>18</v>
      </c>
      <c r="M341" t="s">
        <v>19</v>
      </c>
      <c r="N341">
        <f>VLOOKUP(Data_Set_2[[#This Row],[estado]],M2:N340,2,0)</f>
        <v>5</v>
      </c>
      <c r="O341" s="4"/>
      <c r="P341" s="4" t="str">
        <f>IF(Data_Set_2[[#This Row],[valor_bruto]]&gt;$W$13,"OUTLIER+","")</f>
        <v/>
      </c>
      <c r="Q341" s="4" t="str">
        <f>IF(Data_Set_2[[#This Row],[valor_bruto]]&lt;$W$14,"OUTLIER-","")</f>
        <v/>
      </c>
      <c r="R341" s="4"/>
      <c r="S341" s="4"/>
      <c r="AB341" t="str">
        <v>RES-100339</v>
      </c>
      <c r="AC341">
        <v>46028</v>
      </c>
      <c r="AD341">
        <v>0.56458333333333333</v>
      </c>
      <c r="AE341" t="str">
        <v>Envigado</v>
      </c>
      <c r="AF341" t="str">
        <v>Mesa</v>
      </c>
      <c r="AG341" t="str">
        <v>Bebidas</v>
      </c>
      <c r="AH341">
        <v>2</v>
      </c>
      <c r="AI341">
        <v>51388.67</v>
      </c>
      <c r="AJ341">
        <v>5839.18</v>
      </c>
      <c r="AK341">
        <v>19</v>
      </c>
      <c r="AL341">
        <v>49</v>
      </c>
      <c r="AM341" t="str">
        <v>Tarjeta</v>
      </c>
      <c r="AN341" t="str">
        <v>Entregada</v>
      </c>
      <c r="AO341">
        <v>5</v>
      </c>
    </row>
    <row r="342" spans="1:41" x14ac:dyDescent="0.3">
      <c r="A342" t="s">
        <v>375</v>
      </c>
      <c r="B342" s="8">
        <v>46029</v>
      </c>
      <c r="C342" s="2">
        <v>0.61111111111111116</v>
      </c>
      <c r="D342" t="s">
        <v>15</v>
      </c>
      <c r="E342" t="s">
        <v>22</v>
      </c>
      <c r="F342" t="s">
        <v>17</v>
      </c>
      <c r="G342">
        <v>3</v>
      </c>
      <c r="H342" s="6">
        <v>38194.43</v>
      </c>
      <c r="I342" s="6">
        <v>3841.94</v>
      </c>
      <c r="J342">
        <v>26</v>
      </c>
      <c r="K342">
        <v>23</v>
      </c>
      <c r="L342" t="s">
        <v>24</v>
      </c>
      <c r="M342" t="s">
        <v>25</v>
      </c>
      <c r="N342">
        <v>4</v>
      </c>
      <c r="O342" s="4"/>
      <c r="P342" s="4" t="str">
        <f>IF(Data_Set_2[[#This Row],[valor_bruto]]&gt;$W$13,"OUTLIER+","")</f>
        <v/>
      </c>
      <c r="Q342" s="4" t="str">
        <f>IF(Data_Set_2[[#This Row],[valor_bruto]]&lt;$W$14,"OUTLIER-","")</f>
        <v/>
      </c>
      <c r="R342" s="4"/>
      <c r="S342" s="4"/>
      <c r="AB342" t="str">
        <v>RES-100340</v>
      </c>
      <c r="AC342">
        <v>46029</v>
      </c>
      <c r="AD342">
        <v>0.61111111111111116</v>
      </c>
      <c r="AE342" t="str">
        <v>Laureles</v>
      </c>
      <c r="AF342" t="str">
        <v>Domicilio</v>
      </c>
      <c r="AG342" t="str">
        <v>Comida rapida</v>
      </c>
      <c r="AH342">
        <v>3</v>
      </c>
      <c r="AI342">
        <v>38194.43</v>
      </c>
      <c r="AJ342">
        <v>3841.94</v>
      </c>
      <c r="AK342">
        <v>26</v>
      </c>
      <c r="AL342">
        <v>23</v>
      </c>
      <c r="AM342" t="str">
        <v>Efectivo</v>
      </c>
      <c r="AN342" t="str">
        <v>Cancelada</v>
      </c>
      <c r="AO342">
        <v>4</v>
      </c>
    </row>
    <row r="343" spans="1:41" x14ac:dyDescent="0.3">
      <c r="A343" t="s">
        <v>376</v>
      </c>
      <c r="B343" s="8">
        <v>46235</v>
      </c>
      <c r="C343" s="2">
        <v>0.65763888888888888</v>
      </c>
      <c r="D343" t="s">
        <v>21</v>
      </c>
      <c r="E343" t="s">
        <v>28</v>
      </c>
      <c r="F343" t="s">
        <v>23</v>
      </c>
      <c r="G343">
        <v>6</v>
      </c>
      <c r="H343" s="6">
        <v>66280.289999999994</v>
      </c>
      <c r="I343" s="6">
        <v>4279.83</v>
      </c>
      <c r="J343">
        <v>15</v>
      </c>
      <c r="K343">
        <v>35</v>
      </c>
      <c r="L343" t="s">
        <v>30</v>
      </c>
      <c r="M343" t="s">
        <v>31</v>
      </c>
      <c r="N343">
        <v>4</v>
      </c>
      <c r="O343" s="4"/>
      <c r="P343" s="4" t="str">
        <f>IF(Data_Set_2[[#This Row],[valor_bruto]]&gt;$W$13,"OUTLIER+","")</f>
        <v/>
      </c>
      <c r="Q343" s="4" t="str">
        <f>IF(Data_Set_2[[#This Row],[valor_bruto]]&lt;$W$14,"OUTLIER-","")</f>
        <v/>
      </c>
      <c r="R343" s="4"/>
      <c r="S343" s="4"/>
      <c r="AB343" t="str">
        <v>RES-100341</v>
      </c>
      <c r="AC343">
        <v>46235</v>
      </c>
      <c r="AD343">
        <v>0.65763888888888888</v>
      </c>
      <c r="AE343" t="str">
        <v>Poblado</v>
      </c>
      <c r="AF343" t="str">
        <v>Recoge</v>
      </c>
      <c r="AG343" t="str">
        <v>Pasta</v>
      </c>
      <c r="AH343">
        <v>6</v>
      </c>
      <c r="AI343">
        <v>66280.289999999994</v>
      </c>
      <c r="AJ343">
        <v>4279.83</v>
      </c>
      <c r="AK343">
        <v>15</v>
      </c>
      <c r="AL343">
        <v>35</v>
      </c>
      <c r="AM343" t="str">
        <v>App</v>
      </c>
      <c r="AN343" t="str">
        <v>Reembolsada</v>
      </c>
      <c r="AO343">
        <v>4</v>
      </c>
    </row>
    <row r="344" spans="1:41" x14ac:dyDescent="0.3">
      <c r="A344" t="s">
        <v>377</v>
      </c>
      <c r="B344" s="8">
        <v>46031</v>
      </c>
      <c r="C344" s="2">
        <v>0.70416666666666672</v>
      </c>
      <c r="D344" t="s">
        <v>27</v>
      </c>
      <c r="E344" t="s">
        <v>16</v>
      </c>
      <c r="F344" t="s">
        <v>29</v>
      </c>
      <c r="G344">
        <v>6</v>
      </c>
      <c r="H344" s="6">
        <v>33689.25</v>
      </c>
      <c r="I344" s="6">
        <v>6449.44</v>
      </c>
      <c r="J344">
        <v>26</v>
      </c>
      <c r="K344">
        <v>51</v>
      </c>
      <c r="L344" t="s">
        <v>18</v>
      </c>
      <c r="M344" t="s">
        <v>19</v>
      </c>
      <c r="N344">
        <v>5</v>
      </c>
      <c r="O344" s="4"/>
      <c r="P344" s="4" t="str">
        <f>IF(Data_Set_2[[#This Row],[valor_bruto]]&gt;$W$13,"OUTLIER+","")</f>
        <v/>
      </c>
      <c r="Q344" s="4" t="str">
        <f>IF(Data_Set_2[[#This Row],[valor_bruto]]&lt;$W$14,"OUTLIER-","")</f>
        <v/>
      </c>
      <c r="R344" s="4"/>
      <c r="S344" s="4"/>
      <c r="AB344" t="str">
        <v>RES-100342</v>
      </c>
      <c r="AC344">
        <v>46031</v>
      </c>
      <c r="AD344">
        <v>0.70416666666666672</v>
      </c>
      <c r="AE344" t="str">
        <v>Centro</v>
      </c>
      <c r="AF344" t="str">
        <v>Mesa</v>
      </c>
      <c r="AG344" t="str">
        <v>Parrilla</v>
      </c>
      <c r="AH344">
        <v>6</v>
      </c>
      <c r="AI344">
        <v>33689.25</v>
      </c>
      <c r="AJ344">
        <v>6449.44</v>
      </c>
      <c r="AK344">
        <v>26</v>
      </c>
      <c r="AL344">
        <v>51</v>
      </c>
      <c r="AM344" t="str">
        <v>Tarjeta</v>
      </c>
      <c r="AN344" t="str">
        <v>Entregada</v>
      </c>
      <c r="AO344">
        <v>5</v>
      </c>
    </row>
    <row r="345" spans="1:41" x14ac:dyDescent="0.3">
      <c r="A345" t="s">
        <v>378</v>
      </c>
      <c r="B345" s="8">
        <v>46032</v>
      </c>
      <c r="C345" s="2">
        <v>0.70902777777777781</v>
      </c>
      <c r="D345" t="s">
        <v>33</v>
      </c>
      <c r="E345" t="s">
        <v>22</v>
      </c>
      <c r="F345" t="s">
        <v>34</v>
      </c>
      <c r="G345">
        <v>6</v>
      </c>
      <c r="H345" s="6">
        <v>67794.710000000006</v>
      </c>
      <c r="I345" s="6">
        <v>4687.37</v>
      </c>
      <c r="J345">
        <v>30</v>
      </c>
      <c r="K345">
        <v>23</v>
      </c>
      <c r="L345" t="s">
        <v>24</v>
      </c>
      <c r="M345" t="s">
        <v>25</v>
      </c>
      <c r="N345">
        <v>4</v>
      </c>
      <c r="O345" s="4"/>
      <c r="P345" s="4" t="str">
        <f>IF(Data_Set_2[[#This Row],[valor_bruto]]&gt;$W$13,"OUTLIER+","")</f>
        <v/>
      </c>
      <c r="Q345" s="4" t="str">
        <f>IF(Data_Set_2[[#This Row],[valor_bruto]]&lt;$W$14,"OUTLIER-","")</f>
        <v/>
      </c>
      <c r="R345" s="4"/>
      <c r="S345" s="4"/>
      <c r="AB345" t="str">
        <v>RES-100343</v>
      </c>
      <c r="AC345">
        <v>46032</v>
      </c>
      <c r="AD345">
        <v>0.70902777777777781</v>
      </c>
      <c r="AE345" t="str">
        <v>Envigado</v>
      </c>
      <c r="AF345" t="str">
        <v>Domicilio</v>
      </c>
      <c r="AG345" t="str">
        <v>Vegano</v>
      </c>
      <c r="AH345">
        <v>6</v>
      </c>
      <c r="AI345">
        <v>67794.710000000006</v>
      </c>
      <c r="AJ345">
        <v>4687.37</v>
      </c>
      <c r="AK345">
        <v>30</v>
      </c>
      <c r="AL345">
        <v>23</v>
      </c>
      <c r="AM345" t="str">
        <v>Efectivo</v>
      </c>
      <c r="AN345" t="str">
        <v>Cancelada</v>
      </c>
      <c r="AO345">
        <v>4</v>
      </c>
    </row>
    <row r="346" spans="1:41" x14ac:dyDescent="0.3">
      <c r="A346" t="s">
        <v>379</v>
      </c>
      <c r="B346" s="8">
        <v>46327</v>
      </c>
      <c r="C346" s="2">
        <v>0.75555555555555554</v>
      </c>
      <c r="D346" t="s">
        <v>15</v>
      </c>
      <c r="E346" t="s">
        <v>28</v>
      </c>
      <c r="F346" t="s">
        <v>36</v>
      </c>
      <c r="G346">
        <v>3</v>
      </c>
      <c r="H346" s="6">
        <v>50195.06</v>
      </c>
      <c r="I346" s="6">
        <v>649.26</v>
      </c>
      <c r="J346">
        <v>23</v>
      </c>
      <c r="K346">
        <v>26</v>
      </c>
      <c r="L346" t="s">
        <v>30</v>
      </c>
      <c r="M346" t="s">
        <v>31</v>
      </c>
      <c r="N346">
        <v>3</v>
      </c>
      <c r="O346" s="4"/>
      <c r="P346" s="4" t="str">
        <f>IF(Data_Set_2[[#This Row],[valor_bruto]]&gt;$W$13,"OUTLIER+","")</f>
        <v/>
      </c>
      <c r="Q346" s="4" t="str">
        <f>IF(Data_Set_2[[#This Row],[valor_bruto]]&lt;$W$14,"OUTLIER-","")</f>
        <v/>
      </c>
      <c r="R346" s="4"/>
      <c r="S346" s="4"/>
      <c r="AB346" t="str">
        <v>RES-100344</v>
      </c>
      <c r="AC346">
        <v>46327</v>
      </c>
      <c r="AD346">
        <v>0.75555555555555554</v>
      </c>
      <c r="AE346" t="str">
        <v>Laureles</v>
      </c>
      <c r="AF346" t="str">
        <v>Recoge</v>
      </c>
      <c r="AG346" t="str">
        <v>Bebidas</v>
      </c>
      <c r="AH346">
        <v>3</v>
      </c>
      <c r="AI346">
        <v>50195.06</v>
      </c>
      <c r="AJ346">
        <v>649.26</v>
      </c>
      <c r="AK346">
        <v>23</v>
      </c>
      <c r="AL346">
        <v>26</v>
      </c>
      <c r="AM346" t="str">
        <v>App</v>
      </c>
      <c r="AN346" t="str">
        <v>Reembolsada</v>
      </c>
      <c r="AO346">
        <v>3</v>
      </c>
    </row>
    <row r="347" spans="1:41" x14ac:dyDescent="0.3">
      <c r="A347" t="s">
        <v>380</v>
      </c>
      <c r="B347" s="8">
        <v>46034</v>
      </c>
      <c r="C347" s="2">
        <v>0.80208333333333337</v>
      </c>
      <c r="D347" t="s">
        <v>21</v>
      </c>
      <c r="E347" t="s">
        <v>16</v>
      </c>
      <c r="F347" t="s">
        <v>17</v>
      </c>
      <c r="G347">
        <v>6</v>
      </c>
      <c r="H347" s="6">
        <v>29311.52</v>
      </c>
      <c r="I347" s="6">
        <v>1823.47</v>
      </c>
      <c r="J347">
        <v>22</v>
      </c>
      <c r="K347">
        <v>24</v>
      </c>
      <c r="L347" t="s">
        <v>18</v>
      </c>
      <c r="M347" t="s">
        <v>19</v>
      </c>
      <c r="N347">
        <v>4</v>
      </c>
      <c r="O347" s="4"/>
      <c r="P347" s="4" t="str">
        <f>IF(Data_Set_2[[#This Row],[valor_bruto]]&gt;$W$13,"OUTLIER+","")</f>
        <v/>
      </c>
      <c r="Q347" s="4" t="str">
        <f>IF(Data_Set_2[[#This Row],[valor_bruto]]&lt;$W$14,"OUTLIER-","")</f>
        <v/>
      </c>
      <c r="R347" s="4"/>
      <c r="S347" s="4"/>
      <c r="AB347" t="str">
        <v>RES-100345</v>
      </c>
      <c r="AC347">
        <v>46034</v>
      </c>
      <c r="AD347">
        <v>0.80208333333333337</v>
      </c>
      <c r="AE347" t="str">
        <v>Poblado</v>
      </c>
      <c r="AF347" t="str">
        <v>Mesa</v>
      </c>
      <c r="AG347" t="str">
        <v>Comida rapida</v>
      </c>
      <c r="AH347">
        <v>6</v>
      </c>
      <c r="AI347">
        <v>29311.52</v>
      </c>
      <c r="AJ347">
        <v>1823.47</v>
      </c>
      <c r="AK347">
        <v>22</v>
      </c>
      <c r="AL347">
        <v>24</v>
      </c>
      <c r="AM347" t="str">
        <v>Tarjeta</v>
      </c>
      <c r="AN347" t="str">
        <v>Entregada</v>
      </c>
      <c r="AO347">
        <v>4</v>
      </c>
    </row>
    <row r="348" spans="1:41" x14ac:dyDescent="0.3">
      <c r="A348" t="s">
        <v>381</v>
      </c>
      <c r="B348" s="8">
        <v>46035</v>
      </c>
      <c r="C348" s="2">
        <v>0.84861111111111109</v>
      </c>
      <c r="D348" t="s">
        <v>27</v>
      </c>
      <c r="E348" t="s">
        <v>22</v>
      </c>
      <c r="F348" t="s">
        <v>23</v>
      </c>
      <c r="G348">
        <v>2</v>
      </c>
      <c r="H348" s="6">
        <v>39842.14</v>
      </c>
      <c r="I348" s="6">
        <v>8181.64</v>
      </c>
      <c r="J348">
        <v>18</v>
      </c>
      <c r="K348">
        <v>23</v>
      </c>
      <c r="L348" t="s">
        <v>24</v>
      </c>
      <c r="M348" t="s">
        <v>25</v>
      </c>
      <c r="N348">
        <v>4</v>
      </c>
      <c r="O348" s="4"/>
      <c r="P348" s="4" t="str">
        <f>IF(Data_Set_2[[#This Row],[valor_bruto]]&gt;$W$13,"OUTLIER+","")</f>
        <v/>
      </c>
      <c r="Q348" s="4" t="str">
        <f>IF(Data_Set_2[[#This Row],[valor_bruto]]&lt;$W$14,"OUTLIER-","")</f>
        <v/>
      </c>
      <c r="R348" s="4"/>
      <c r="S348" s="4"/>
      <c r="AB348" t="str">
        <v>RES-100346</v>
      </c>
      <c r="AC348">
        <v>46035</v>
      </c>
      <c r="AD348">
        <v>0.84861111111111109</v>
      </c>
      <c r="AE348" t="str">
        <v>Centro</v>
      </c>
      <c r="AF348" t="str">
        <v>Domicilio</v>
      </c>
      <c r="AG348" t="str">
        <v>Pasta</v>
      </c>
      <c r="AH348">
        <v>2</v>
      </c>
      <c r="AI348">
        <v>39842.14</v>
      </c>
      <c r="AJ348">
        <v>8181.64</v>
      </c>
      <c r="AK348">
        <v>18</v>
      </c>
      <c r="AL348">
        <v>23</v>
      </c>
      <c r="AM348" t="str">
        <v>Efectivo</v>
      </c>
      <c r="AN348" t="str">
        <v>Cancelada</v>
      </c>
      <c r="AO348">
        <v>4</v>
      </c>
    </row>
    <row r="349" spans="1:41" x14ac:dyDescent="0.3">
      <c r="A349" t="s">
        <v>382</v>
      </c>
      <c r="B349" s="8">
        <v>46036</v>
      </c>
      <c r="C349" s="2">
        <v>0.89513888888888893</v>
      </c>
      <c r="D349" t="s">
        <v>33</v>
      </c>
      <c r="E349" t="s">
        <v>28</v>
      </c>
      <c r="F349" t="s">
        <v>29</v>
      </c>
      <c r="G349">
        <v>6</v>
      </c>
      <c r="H349" s="6">
        <v>34982.11</v>
      </c>
      <c r="I349" s="6">
        <v>2690.87</v>
      </c>
      <c r="J349">
        <v>23</v>
      </c>
      <c r="K349">
        <v>27</v>
      </c>
      <c r="L349" t="s">
        <v>30</v>
      </c>
      <c r="M349" t="s">
        <v>31</v>
      </c>
      <c r="N349">
        <v>3</v>
      </c>
      <c r="O349" s="4"/>
      <c r="P349" s="4" t="str">
        <f>IF(Data_Set_2[[#This Row],[valor_bruto]]&gt;$W$13,"OUTLIER+","")</f>
        <v/>
      </c>
      <c r="Q349" s="4" t="str">
        <f>IF(Data_Set_2[[#This Row],[valor_bruto]]&lt;$W$14,"OUTLIER-","")</f>
        <v/>
      </c>
      <c r="R349" s="4"/>
      <c r="S349" s="4"/>
      <c r="AB349" t="str">
        <v>RES-100347</v>
      </c>
      <c r="AC349">
        <v>46036</v>
      </c>
      <c r="AD349">
        <v>0.89513888888888893</v>
      </c>
      <c r="AE349" t="str">
        <v>Envigado</v>
      </c>
      <c r="AF349" t="str">
        <v>Recoge</v>
      </c>
      <c r="AG349" t="str">
        <v>Parrilla</v>
      </c>
      <c r="AH349">
        <v>6</v>
      </c>
      <c r="AI349">
        <v>34982.11</v>
      </c>
      <c r="AJ349">
        <v>2690.87</v>
      </c>
      <c r="AK349">
        <v>23</v>
      </c>
      <c r="AL349">
        <v>27</v>
      </c>
      <c r="AM349" t="str">
        <v>App</v>
      </c>
      <c r="AN349" t="str">
        <v>Reembolsada</v>
      </c>
      <c r="AO349">
        <v>3</v>
      </c>
    </row>
    <row r="350" spans="1:41" x14ac:dyDescent="0.3">
      <c r="A350" t="s">
        <v>383</v>
      </c>
      <c r="B350" s="8">
        <v>46037</v>
      </c>
      <c r="C350" s="2">
        <v>0.44166666666666665</v>
      </c>
      <c r="D350" t="s">
        <v>15</v>
      </c>
      <c r="E350" t="s">
        <v>16</v>
      </c>
      <c r="F350" t="s">
        <v>34</v>
      </c>
      <c r="G350">
        <v>6</v>
      </c>
      <c r="H350" s="6">
        <v>27852.01</v>
      </c>
      <c r="I350" s="6">
        <v>5485.43</v>
      </c>
      <c r="J350">
        <v>29</v>
      </c>
      <c r="K350">
        <v>43</v>
      </c>
      <c r="L350" t="s">
        <v>18</v>
      </c>
      <c r="M350" t="s">
        <v>19</v>
      </c>
      <c r="N350">
        <v>4</v>
      </c>
      <c r="O350" s="4"/>
      <c r="P350" s="4" t="str">
        <f>IF(Data_Set_2[[#This Row],[valor_bruto]]&gt;$W$13,"OUTLIER+","")</f>
        <v/>
      </c>
      <c r="Q350" s="4" t="str">
        <f>IF(Data_Set_2[[#This Row],[valor_bruto]]&lt;$W$14,"OUTLIER-","")</f>
        <v/>
      </c>
      <c r="R350" s="4"/>
      <c r="S350" s="4"/>
      <c r="AB350" t="str">
        <v>RES-100348</v>
      </c>
      <c r="AC350">
        <v>46037</v>
      </c>
      <c r="AD350">
        <v>0.44166666666666665</v>
      </c>
      <c r="AE350" t="str">
        <v>Laureles</v>
      </c>
      <c r="AF350" t="str">
        <v>Mesa</v>
      </c>
      <c r="AG350" t="str">
        <v>Vegano</v>
      </c>
      <c r="AH350">
        <v>6</v>
      </c>
      <c r="AI350">
        <v>27852.01</v>
      </c>
      <c r="AJ350">
        <v>5485.43</v>
      </c>
      <c r="AK350">
        <v>29</v>
      </c>
      <c r="AL350">
        <v>43</v>
      </c>
      <c r="AM350" t="str">
        <v>Tarjeta</v>
      </c>
      <c r="AN350" t="str">
        <v>Entregada</v>
      </c>
      <c r="AO350">
        <v>4</v>
      </c>
    </row>
    <row r="351" spans="1:41" x14ac:dyDescent="0.3">
      <c r="A351" t="s">
        <v>384</v>
      </c>
      <c r="B351" s="8">
        <v>46038</v>
      </c>
      <c r="C351" s="2">
        <v>0.48819444444444443</v>
      </c>
      <c r="D351" t="s">
        <v>21</v>
      </c>
      <c r="E351" t="s">
        <v>22</v>
      </c>
      <c r="F351" t="s">
        <v>36</v>
      </c>
      <c r="G351">
        <v>4</v>
      </c>
      <c r="H351" s="6">
        <v>51594.51</v>
      </c>
      <c r="I351" s="6">
        <v>6023.83</v>
      </c>
      <c r="J351">
        <v>21</v>
      </c>
      <c r="K351">
        <v>37</v>
      </c>
      <c r="L351" t="s">
        <v>24</v>
      </c>
      <c r="M351" t="s">
        <v>25</v>
      </c>
      <c r="N351">
        <v>5</v>
      </c>
      <c r="O351" s="4"/>
      <c r="P351" s="4" t="str">
        <f>IF(Data_Set_2[[#This Row],[valor_bruto]]&gt;$W$13,"OUTLIER+","")</f>
        <v/>
      </c>
      <c r="Q351" s="4" t="str">
        <f>IF(Data_Set_2[[#This Row],[valor_bruto]]&lt;$W$14,"OUTLIER-","")</f>
        <v/>
      </c>
      <c r="R351" s="4"/>
      <c r="S351" s="4"/>
      <c r="AB351" t="str">
        <v>RES-100349</v>
      </c>
      <c r="AC351">
        <v>46038</v>
      </c>
      <c r="AD351">
        <v>0.48819444444444443</v>
      </c>
      <c r="AE351" t="str">
        <v>Poblado</v>
      </c>
      <c r="AF351" t="str">
        <v>Domicilio</v>
      </c>
      <c r="AG351" t="str">
        <v>Bebidas</v>
      </c>
      <c r="AH351">
        <v>4</v>
      </c>
      <c r="AI351">
        <v>51594.51</v>
      </c>
      <c r="AJ351">
        <v>6023.83</v>
      </c>
      <c r="AK351">
        <v>21</v>
      </c>
      <c r="AL351">
        <v>37</v>
      </c>
      <c r="AM351" t="str">
        <v>Efectivo</v>
      </c>
      <c r="AN351" t="str">
        <v>Cancelada</v>
      </c>
      <c r="AO351">
        <v>5</v>
      </c>
    </row>
    <row r="352" spans="1:41" x14ac:dyDescent="0.3">
      <c r="A352" t="s">
        <v>385</v>
      </c>
      <c r="B352" s="8">
        <v>46039</v>
      </c>
      <c r="C352" s="2">
        <v>0.53472222222222221</v>
      </c>
      <c r="D352" t="s">
        <v>27</v>
      </c>
      <c r="E352" t="s">
        <v>28</v>
      </c>
      <c r="F352" t="s">
        <v>17</v>
      </c>
      <c r="G352">
        <v>4</v>
      </c>
      <c r="H352" s="6">
        <v>32407.39</v>
      </c>
      <c r="I352" s="6">
        <v>3836.3</v>
      </c>
      <c r="J352">
        <v>24</v>
      </c>
      <c r="K352">
        <v>51</v>
      </c>
      <c r="L352" t="s">
        <v>30</v>
      </c>
      <c r="M352" t="s">
        <v>31</v>
      </c>
      <c r="N352">
        <v>5</v>
      </c>
      <c r="O352" s="4"/>
      <c r="P352" s="4" t="str">
        <f>IF(Data_Set_2[[#This Row],[valor_bruto]]&gt;$W$13,"OUTLIER+","")</f>
        <v/>
      </c>
      <c r="Q352" s="4" t="str">
        <f>IF(Data_Set_2[[#This Row],[valor_bruto]]&lt;$W$14,"OUTLIER-","")</f>
        <v/>
      </c>
      <c r="R352" s="4"/>
      <c r="S352" s="4"/>
      <c r="AB352" t="str">
        <v>RES-100350</v>
      </c>
      <c r="AC352">
        <v>46039</v>
      </c>
      <c r="AD352">
        <v>0.53472222222222221</v>
      </c>
      <c r="AE352" t="str">
        <v>Centro</v>
      </c>
      <c r="AF352" t="str">
        <v>Recoge</v>
      </c>
      <c r="AG352" t="str">
        <v>Comida rapida</v>
      </c>
      <c r="AH352">
        <v>4</v>
      </c>
      <c r="AI352">
        <v>32407.39</v>
      </c>
      <c r="AJ352">
        <v>3836.3</v>
      </c>
      <c r="AK352">
        <v>24</v>
      </c>
      <c r="AL352">
        <v>51</v>
      </c>
      <c r="AM352" t="str">
        <v>App</v>
      </c>
      <c r="AN352" t="str">
        <v>Reembolsada</v>
      </c>
      <c r="AO352">
        <v>5</v>
      </c>
    </row>
    <row r="353" spans="1:41" x14ac:dyDescent="0.3">
      <c r="A353" t="s">
        <v>386</v>
      </c>
      <c r="B353" s="8">
        <v>46040</v>
      </c>
      <c r="C353" s="2">
        <v>0.58125000000000004</v>
      </c>
      <c r="D353" t="s">
        <v>33</v>
      </c>
      <c r="E353" t="s">
        <v>16</v>
      </c>
      <c r="F353" t="s">
        <v>23</v>
      </c>
      <c r="G353">
        <v>2</v>
      </c>
      <c r="H353" s="6">
        <v>65189.13</v>
      </c>
      <c r="I353" s="6">
        <v>3392.03</v>
      </c>
      <c r="J353">
        <v>18</v>
      </c>
      <c r="K353">
        <v>52</v>
      </c>
      <c r="L353" t="s">
        <v>18</v>
      </c>
      <c r="M353" t="s">
        <v>19</v>
      </c>
      <c r="N353">
        <v>4</v>
      </c>
      <c r="O353" s="4"/>
      <c r="P353" s="4" t="str">
        <f>IF(Data_Set_2[[#This Row],[valor_bruto]]&gt;$W$13,"OUTLIER+","")</f>
        <v/>
      </c>
      <c r="Q353" s="4" t="str">
        <f>IF(Data_Set_2[[#This Row],[valor_bruto]]&lt;$W$14,"OUTLIER-","")</f>
        <v/>
      </c>
      <c r="R353" s="4"/>
      <c r="S353" s="4"/>
      <c r="AB353" t="str">
        <v>RES-100351</v>
      </c>
      <c r="AC353">
        <v>46040</v>
      </c>
      <c r="AD353">
        <v>0.58125000000000004</v>
      </c>
      <c r="AE353" t="str">
        <v>Envigado</v>
      </c>
      <c r="AF353" t="str">
        <v>Mesa</v>
      </c>
      <c r="AG353" t="str">
        <v>Pasta</v>
      </c>
      <c r="AH353">
        <v>2</v>
      </c>
      <c r="AI353">
        <v>65189.13</v>
      </c>
      <c r="AJ353">
        <v>3392.03</v>
      </c>
      <c r="AK353">
        <v>18</v>
      </c>
      <c r="AL353">
        <v>52</v>
      </c>
      <c r="AM353" t="str">
        <v>Tarjeta</v>
      </c>
      <c r="AN353" t="str">
        <v>Entregada</v>
      </c>
      <c r="AO353">
        <v>4</v>
      </c>
    </row>
    <row r="354" spans="1:41" x14ac:dyDescent="0.3">
      <c r="A354" t="s">
        <v>387</v>
      </c>
      <c r="B354" s="8">
        <v>46041</v>
      </c>
      <c r="C354" s="2">
        <v>0.58611111111111114</v>
      </c>
      <c r="D354" t="s">
        <v>15</v>
      </c>
      <c r="E354" t="s">
        <v>22</v>
      </c>
      <c r="F354" t="s">
        <v>29</v>
      </c>
      <c r="G354">
        <v>6</v>
      </c>
      <c r="H354" s="6">
        <v>37765.26</v>
      </c>
      <c r="I354" s="6">
        <v>801.82</v>
      </c>
      <c r="J354">
        <v>30</v>
      </c>
      <c r="K354">
        <v>40</v>
      </c>
      <c r="L354" t="s">
        <v>24</v>
      </c>
      <c r="M354" t="s">
        <v>25</v>
      </c>
      <c r="N354">
        <v>5</v>
      </c>
      <c r="O354" s="4"/>
      <c r="P354" s="4" t="str">
        <f>IF(Data_Set_2[[#This Row],[valor_bruto]]&gt;$W$13,"OUTLIER+","")</f>
        <v/>
      </c>
      <c r="Q354" s="4" t="str">
        <f>IF(Data_Set_2[[#This Row],[valor_bruto]]&lt;$W$14,"OUTLIER-","")</f>
        <v/>
      </c>
      <c r="R354" s="4"/>
      <c r="S354" s="4"/>
      <c r="AB354" t="str">
        <v>RES-100352</v>
      </c>
      <c r="AC354">
        <v>46041</v>
      </c>
      <c r="AD354">
        <v>0.58611111111111114</v>
      </c>
      <c r="AE354" t="str">
        <v>Laureles</v>
      </c>
      <c r="AF354" t="str">
        <v>Domicilio</v>
      </c>
      <c r="AG354" t="str">
        <v>Parrilla</v>
      </c>
      <c r="AH354">
        <v>6</v>
      </c>
      <c r="AI354">
        <v>37765.26</v>
      </c>
      <c r="AJ354">
        <v>801.82</v>
      </c>
      <c r="AK354">
        <v>30</v>
      </c>
      <c r="AL354">
        <v>40</v>
      </c>
      <c r="AM354" t="str">
        <v>Efectivo</v>
      </c>
      <c r="AN354" t="str">
        <v>Cancelada</v>
      </c>
      <c r="AO354">
        <v>5</v>
      </c>
    </row>
    <row r="355" spans="1:41" x14ac:dyDescent="0.3">
      <c r="A355" t="s">
        <v>388</v>
      </c>
      <c r="B355" s="8">
        <v>46042</v>
      </c>
      <c r="C355" s="2">
        <v>0.63263888888888886</v>
      </c>
      <c r="D355" t="s">
        <v>21</v>
      </c>
      <c r="E355" t="s">
        <v>28</v>
      </c>
      <c r="F355" t="s">
        <v>34</v>
      </c>
      <c r="G355">
        <v>4</v>
      </c>
      <c r="H355" s="6">
        <v>60066.15</v>
      </c>
      <c r="I355" s="6">
        <v>3845.93</v>
      </c>
      <c r="J355">
        <v>15</v>
      </c>
      <c r="K355">
        <v>41</v>
      </c>
      <c r="L355" t="s">
        <v>30</v>
      </c>
      <c r="M355" t="s">
        <v>31</v>
      </c>
      <c r="N355">
        <v>5</v>
      </c>
      <c r="O355" s="4"/>
      <c r="P355" s="4" t="str">
        <f>IF(Data_Set_2[[#This Row],[valor_bruto]]&gt;$W$13,"OUTLIER+","")</f>
        <v/>
      </c>
      <c r="Q355" s="4" t="str">
        <f>IF(Data_Set_2[[#This Row],[valor_bruto]]&lt;$W$14,"OUTLIER-","")</f>
        <v/>
      </c>
      <c r="R355" s="4"/>
      <c r="S355" s="4"/>
      <c r="AB355" t="str">
        <v>RES-100353</v>
      </c>
      <c r="AC355">
        <v>46042</v>
      </c>
      <c r="AD355">
        <v>0.63263888888888886</v>
      </c>
      <c r="AE355" t="str">
        <v>Poblado</v>
      </c>
      <c r="AF355" t="str">
        <v>Recoge</v>
      </c>
      <c r="AG355" t="str">
        <v>Vegano</v>
      </c>
      <c r="AH355">
        <v>4</v>
      </c>
      <c r="AI355">
        <v>60066.15</v>
      </c>
      <c r="AJ355">
        <v>3845.93</v>
      </c>
      <c r="AK355">
        <v>15</v>
      </c>
      <c r="AL355">
        <v>41</v>
      </c>
      <c r="AM355" t="str">
        <v>App</v>
      </c>
      <c r="AN355" t="str">
        <v>Reembolsada</v>
      </c>
      <c r="AO355">
        <v>5</v>
      </c>
    </row>
    <row r="356" spans="1:41" x14ac:dyDescent="0.3">
      <c r="A356" t="s">
        <v>389</v>
      </c>
      <c r="B356" s="8">
        <v>46043</v>
      </c>
      <c r="C356" s="2">
        <v>0.6791666666666667</v>
      </c>
      <c r="D356" t="s">
        <v>27</v>
      </c>
      <c r="E356" t="s">
        <v>16</v>
      </c>
      <c r="F356" t="s">
        <v>36</v>
      </c>
      <c r="G356">
        <v>2</v>
      </c>
      <c r="H356" s="6">
        <v>61602.92</v>
      </c>
      <c r="I356" s="6">
        <v>6596.59</v>
      </c>
      <c r="J356">
        <v>23</v>
      </c>
      <c r="K356">
        <v>25</v>
      </c>
      <c r="L356" t="s">
        <v>18</v>
      </c>
      <c r="M356" t="s">
        <v>19</v>
      </c>
      <c r="N356">
        <v>5</v>
      </c>
      <c r="O356" s="4"/>
      <c r="P356" s="4" t="str">
        <f>IF(Data_Set_2[[#This Row],[valor_bruto]]&gt;$W$13,"OUTLIER+","")</f>
        <v/>
      </c>
      <c r="Q356" s="4" t="str">
        <f>IF(Data_Set_2[[#This Row],[valor_bruto]]&lt;$W$14,"OUTLIER-","")</f>
        <v/>
      </c>
      <c r="R356" s="4"/>
      <c r="S356" s="4"/>
      <c r="AB356" t="str">
        <v>RES-100354</v>
      </c>
      <c r="AC356">
        <v>46043</v>
      </c>
      <c r="AD356">
        <v>0.6791666666666667</v>
      </c>
      <c r="AE356" t="str">
        <v>Centro</v>
      </c>
      <c r="AF356" t="str">
        <v>Mesa</v>
      </c>
      <c r="AG356" t="str">
        <v>Bebidas</v>
      </c>
      <c r="AH356">
        <v>2</v>
      </c>
      <c r="AI356">
        <v>61602.92</v>
      </c>
      <c r="AJ356">
        <v>6596.59</v>
      </c>
      <c r="AK356">
        <v>23</v>
      </c>
      <c r="AL356">
        <v>25</v>
      </c>
      <c r="AM356" t="str">
        <v>Tarjeta</v>
      </c>
      <c r="AN356" t="str">
        <v>Entregada</v>
      </c>
      <c r="AO356">
        <v>5</v>
      </c>
    </row>
    <row r="357" spans="1:41" x14ac:dyDescent="0.3">
      <c r="A357" t="s">
        <v>390</v>
      </c>
      <c r="B357" s="8">
        <v>46044</v>
      </c>
      <c r="C357" s="2">
        <v>0.72569444444444442</v>
      </c>
      <c r="D357" t="s">
        <v>33</v>
      </c>
      <c r="E357" t="s">
        <v>22</v>
      </c>
      <c r="F357" t="s">
        <v>17</v>
      </c>
      <c r="G357">
        <v>2</v>
      </c>
      <c r="H357" s="6">
        <v>52664.14</v>
      </c>
      <c r="I357" s="6">
        <v>809.08</v>
      </c>
      <c r="J357">
        <v>22</v>
      </c>
      <c r="K357">
        <v>39</v>
      </c>
      <c r="L357" t="s">
        <v>24</v>
      </c>
      <c r="M357" t="s">
        <v>25</v>
      </c>
      <c r="N357">
        <v>4</v>
      </c>
      <c r="O357" s="4"/>
      <c r="P357" s="4" t="str">
        <f>IF(Data_Set_2[[#This Row],[valor_bruto]]&gt;$W$13,"OUTLIER+","")</f>
        <v/>
      </c>
      <c r="Q357" s="4" t="str">
        <f>IF(Data_Set_2[[#This Row],[valor_bruto]]&lt;$W$14,"OUTLIER-","")</f>
        <v/>
      </c>
      <c r="R357" s="4"/>
      <c r="S357" s="4"/>
      <c r="AB357" t="str">
        <v>RES-100355</v>
      </c>
      <c r="AC357">
        <v>46044</v>
      </c>
      <c r="AD357">
        <v>0.72569444444444442</v>
      </c>
      <c r="AE357" t="str">
        <v>Envigado</v>
      </c>
      <c r="AF357" t="str">
        <v>Domicilio</v>
      </c>
      <c r="AG357" t="str">
        <v>Comida rapida</v>
      </c>
      <c r="AH357">
        <v>2</v>
      </c>
      <c r="AI357">
        <v>52664.14</v>
      </c>
      <c r="AJ357">
        <v>809.08</v>
      </c>
      <c r="AK357">
        <v>22</v>
      </c>
      <c r="AL357">
        <v>39</v>
      </c>
      <c r="AM357" t="str">
        <v>Efectivo</v>
      </c>
      <c r="AN357" t="str">
        <v>Cancelada</v>
      </c>
      <c r="AO357">
        <v>4</v>
      </c>
    </row>
    <row r="358" spans="1:41" x14ac:dyDescent="0.3">
      <c r="A358" t="s">
        <v>391</v>
      </c>
      <c r="B358" s="8">
        <v>46045</v>
      </c>
      <c r="C358" s="2">
        <v>0.77222222222222225</v>
      </c>
      <c r="D358" t="s">
        <v>15</v>
      </c>
      <c r="E358" t="s">
        <v>28</v>
      </c>
      <c r="F358" t="s">
        <v>23</v>
      </c>
      <c r="G358">
        <v>2</v>
      </c>
      <c r="H358" s="6">
        <v>43848.18</v>
      </c>
      <c r="I358" s="6">
        <v>4844.5</v>
      </c>
      <c r="J358">
        <v>19</v>
      </c>
      <c r="K358">
        <v>32</v>
      </c>
      <c r="L358" t="s">
        <v>30</v>
      </c>
      <c r="M358" t="s">
        <v>31</v>
      </c>
      <c r="N358">
        <v>5</v>
      </c>
      <c r="O358" s="4"/>
      <c r="P358" s="4" t="str">
        <f>IF(Data_Set_2[[#This Row],[valor_bruto]]&gt;$W$13,"OUTLIER+","")</f>
        <v/>
      </c>
      <c r="Q358" s="4" t="str">
        <f>IF(Data_Set_2[[#This Row],[valor_bruto]]&lt;$W$14,"OUTLIER-","")</f>
        <v/>
      </c>
      <c r="R358" s="4"/>
      <c r="S358" s="4"/>
      <c r="AB358" t="str">
        <v>RES-100356</v>
      </c>
      <c r="AC358">
        <v>46045</v>
      </c>
      <c r="AD358">
        <v>0.77222222222222225</v>
      </c>
      <c r="AE358" t="str">
        <v>Laureles</v>
      </c>
      <c r="AF358" t="str">
        <v>Recoge</v>
      </c>
      <c r="AG358" t="str">
        <v>Pasta</v>
      </c>
      <c r="AH358">
        <v>2</v>
      </c>
      <c r="AI358">
        <v>43848.18</v>
      </c>
      <c r="AJ358">
        <v>4844.5</v>
      </c>
      <c r="AK358">
        <v>19</v>
      </c>
      <c r="AL358">
        <v>32</v>
      </c>
      <c r="AM358" t="str">
        <v>App</v>
      </c>
      <c r="AN358" t="str">
        <v>Reembolsada</v>
      </c>
      <c r="AO358">
        <v>5</v>
      </c>
    </row>
    <row r="359" spans="1:41" x14ac:dyDescent="0.3">
      <c r="A359" t="s">
        <v>392</v>
      </c>
      <c r="B359" s="8">
        <v>46046</v>
      </c>
      <c r="C359" s="2">
        <v>0.81874999999999998</v>
      </c>
      <c r="D359" t="s">
        <v>21</v>
      </c>
      <c r="E359" t="s">
        <v>16</v>
      </c>
      <c r="F359" t="s">
        <v>29</v>
      </c>
      <c r="G359">
        <v>4</v>
      </c>
      <c r="H359" s="6">
        <v>68565.350000000006</v>
      </c>
      <c r="I359" s="6">
        <v>1205.6500000000001</v>
      </c>
      <c r="J359">
        <v>19</v>
      </c>
      <c r="K359">
        <v>48</v>
      </c>
      <c r="L359" t="s">
        <v>18</v>
      </c>
      <c r="M359" t="s">
        <v>19</v>
      </c>
      <c r="N359">
        <v>5</v>
      </c>
      <c r="O359" s="4"/>
      <c r="P359" s="4" t="str">
        <f>IF(Data_Set_2[[#This Row],[valor_bruto]]&gt;$W$13,"OUTLIER+","")</f>
        <v/>
      </c>
      <c r="Q359" s="4" t="str">
        <f>IF(Data_Set_2[[#This Row],[valor_bruto]]&lt;$W$14,"OUTLIER-","")</f>
        <v/>
      </c>
      <c r="R359" s="4"/>
      <c r="S359" s="4"/>
      <c r="AB359" t="str">
        <v>RES-100357</v>
      </c>
      <c r="AC359">
        <v>46046</v>
      </c>
      <c r="AD359">
        <v>0.81874999999999998</v>
      </c>
      <c r="AE359" t="str">
        <v>Poblado</v>
      </c>
      <c r="AF359" t="str">
        <v>Mesa</v>
      </c>
      <c r="AG359" t="str">
        <v>Parrilla</v>
      </c>
      <c r="AH359">
        <v>4</v>
      </c>
      <c r="AI359">
        <v>68565.350000000006</v>
      </c>
      <c r="AJ359">
        <v>1205.6500000000001</v>
      </c>
      <c r="AK359">
        <v>19</v>
      </c>
      <c r="AL359">
        <v>48</v>
      </c>
      <c r="AM359" t="str">
        <v>Tarjeta</v>
      </c>
      <c r="AN359" t="str">
        <v>Entregada</v>
      </c>
      <c r="AO359">
        <v>5</v>
      </c>
    </row>
    <row r="360" spans="1:41" x14ac:dyDescent="0.3">
      <c r="A360" t="s">
        <v>393</v>
      </c>
      <c r="B360" s="8">
        <v>46047</v>
      </c>
      <c r="C360" s="2">
        <v>0.86527777777777781</v>
      </c>
      <c r="D360" t="s">
        <v>27</v>
      </c>
      <c r="E360" t="s">
        <v>22</v>
      </c>
      <c r="F360" t="s">
        <v>34</v>
      </c>
      <c r="G360">
        <v>4</v>
      </c>
      <c r="H360" s="6">
        <v>67835.899999999994</v>
      </c>
      <c r="I360" s="6">
        <v>6365.73</v>
      </c>
      <c r="J360">
        <v>14</v>
      </c>
      <c r="K360">
        <v>34</v>
      </c>
      <c r="L360" t="s">
        <v>24</v>
      </c>
      <c r="M360" t="s">
        <v>25</v>
      </c>
      <c r="N360">
        <v>4</v>
      </c>
      <c r="O360" s="4"/>
      <c r="P360" s="4" t="str">
        <f>IF(Data_Set_2[[#This Row],[valor_bruto]]&gt;$W$13,"OUTLIER+","")</f>
        <v/>
      </c>
      <c r="Q360" s="4" t="str">
        <f>IF(Data_Set_2[[#This Row],[valor_bruto]]&lt;$W$14,"OUTLIER-","")</f>
        <v/>
      </c>
      <c r="R360" s="4"/>
      <c r="S360" s="4"/>
      <c r="AB360" t="str">
        <v>RES-100358</v>
      </c>
      <c r="AC360">
        <v>46047</v>
      </c>
      <c r="AD360">
        <v>0.86527777777777781</v>
      </c>
      <c r="AE360" t="str">
        <v>Centro</v>
      </c>
      <c r="AF360" t="str">
        <v>Domicilio</v>
      </c>
      <c r="AG360" t="str">
        <v>Vegano</v>
      </c>
      <c r="AH360">
        <v>4</v>
      </c>
      <c r="AI360">
        <v>67835.899999999994</v>
      </c>
      <c r="AJ360">
        <v>6365.73</v>
      </c>
      <c r="AK360">
        <v>14</v>
      </c>
      <c r="AL360">
        <v>34</v>
      </c>
      <c r="AM360" t="str">
        <v>Efectivo</v>
      </c>
      <c r="AN360" t="str">
        <v>Cancelada</v>
      </c>
      <c r="AO360">
        <v>4</v>
      </c>
    </row>
    <row r="361" spans="1:41" x14ac:dyDescent="0.3">
      <c r="A361" t="s">
        <v>394</v>
      </c>
      <c r="B361" s="8">
        <v>46048</v>
      </c>
      <c r="C361" s="2">
        <v>0.91180555555555554</v>
      </c>
      <c r="D361" t="s">
        <v>33</v>
      </c>
      <c r="E361" t="s">
        <v>28</v>
      </c>
      <c r="F361" t="s">
        <v>36</v>
      </c>
      <c r="G361">
        <v>3</v>
      </c>
      <c r="H361" s="6">
        <v>34539.019999999997</v>
      </c>
      <c r="I361" s="6">
        <v>7371.06</v>
      </c>
      <c r="J361">
        <v>26</v>
      </c>
      <c r="K361">
        <v>28</v>
      </c>
      <c r="L361" t="s">
        <v>30</v>
      </c>
      <c r="M361" t="s">
        <v>31</v>
      </c>
      <c r="N361">
        <v>4</v>
      </c>
      <c r="O361" s="4"/>
      <c r="P361" s="4" t="str">
        <f>IF(Data_Set_2[[#This Row],[valor_bruto]]&gt;$W$13,"OUTLIER+","")</f>
        <v/>
      </c>
      <c r="Q361" s="4" t="str">
        <f>IF(Data_Set_2[[#This Row],[valor_bruto]]&lt;$W$14,"OUTLIER-","")</f>
        <v/>
      </c>
      <c r="R361" s="4"/>
      <c r="S361" s="4"/>
      <c r="AB361" t="str">
        <v>RES-100359</v>
      </c>
      <c r="AC361">
        <v>46048</v>
      </c>
      <c r="AD361">
        <v>0.91180555555555554</v>
      </c>
      <c r="AE361" t="str">
        <v>Envigado</v>
      </c>
      <c r="AF361" t="str">
        <v>Recoge</v>
      </c>
      <c r="AG361" t="str">
        <v>Bebidas</v>
      </c>
      <c r="AH361">
        <v>3</v>
      </c>
      <c r="AI361">
        <v>34539.019999999997</v>
      </c>
      <c r="AJ361">
        <v>7371.06</v>
      </c>
      <c r="AK361">
        <v>26</v>
      </c>
      <c r="AL361">
        <v>28</v>
      </c>
      <c r="AM361" t="str">
        <v>App</v>
      </c>
      <c r="AN361" t="str">
        <v>Reembolsada</v>
      </c>
      <c r="AO361">
        <v>4</v>
      </c>
    </row>
    <row r="362" spans="1:41" x14ac:dyDescent="0.3">
      <c r="A362" t="s">
        <v>395</v>
      </c>
      <c r="B362" s="8">
        <v>46049</v>
      </c>
      <c r="C362" s="2">
        <v>0.41666666666666669</v>
      </c>
      <c r="D362" t="s">
        <v>15</v>
      </c>
      <c r="E362" t="s">
        <v>16</v>
      </c>
      <c r="F362" t="s">
        <v>17</v>
      </c>
      <c r="G362">
        <v>5</v>
      </c>
      <c r="H362" s="6">
        <v>60650.8</v>
      </c>
      <c r="I362" s="6">
        <v>4273.38</v>
      </c>
      <c r="J362">
        <v>24</v>
      </c>
      <c r="K362">
        <v>40</v>
      </c>
      <c r="L362" t="s">
        <v>18</v>
      </c>
      <c r="M362" t="s">
        <v>19</v>
      </c>
      <c r="N362">
        <v>5</v>
      </c>
      <c r="O362" s="4"/>
      <c r="P362" s="4" t="str">
        <f>IF(Data_Set_2[[#This Row],[valor_bruto]]&gt;$W$13,"OUTLIER+","")</f>
        <v/>
      </c>
      <c r="Q362" s="4" t="str">
        <f>IF(Data_Set_2[[#This Row],[valor_bruto]]&lt;$W$14,"OUTLIER-","")</f>
        <v/>
      </c>
      <c r="R362" s="4"/>
      <c r="S362" s="4"/>
      <c r="AB362" t="str">
        <v>RES-100360</v>
      </c>
      <c r="AC362">
        <v>46049</v>
      </c>
      <c r="AD362">
        <v>0.41666666666666669</v>
      </c>
      <c r="AE362" t="str">
        <v>Laureles</v>
      </c>
      <c r="AF362" t="str">
        <v>Mesa</v>
      </c>
      <c r="AG362" t="str">
        <v>Comida rapida</v>
      </c>
      <c r="AH362">
        <v>5</v>
      </c>
      <c r="AI362">
        <v>60650.8</v>
      </c>
      <c r="AJ362">
        <v>4273.38</v>
      </c>
      <c r="AK362">
        <v>24</v>
      </c>
      <c r="AL362">
        <v>40</v>
      </c>
      <c r="AM362" t="str">
        <v>Tarjeta</v>
      </c>
      <c r="AN362" t="str">
        <v>Entregada</v>
      </c>
      <c r="AO362">
        <v>5</v>
      </c>
    </row>
    <row r="363" spans="1:41" x14ac:dyDescent="0.3">
      <c r="A363" t="s">
        <v>396</v>
      </c>
      <c r="B363" s="8">
        <v>46050</v>
      </c>
      <c r="C363" s="2">
        <v>0.46319444444444446</v>
      </c>
      <c r="D363" t="s">
        <v>21</v>
      </c>
      <c r="E363" t="s">
        <v>22</v>
      </c>
      <c r="F363" t="s">
        <v>23</v>
      </c>
      <c r="G363">
        <v>5</v>
      </c>
      <c r="H363" s="6">
        <v>39801.760000000002</v>
      </c>
      <c r="I363" s="6">
        <v>1726.09</v>
      </c>
      <c r="J363">
        <v>20</v>
      </c>
      <c r="K363">
        <v>45</v>
      </c>
      <c r="L363" t="s">
        <v>24</v>
      </c>
      <c r="M363" t="s">
        <v>25</v>
      </c>
      <c r="N363">
        <v>3</v>
      </c>
      <c r="O363" s="4"/>
      <c r="P363" s="4" t="str">
        <f>IF(Data_Set_2[[#This Row],[valor_bruto]]&gt;$W$13,"OUTLIER+","")</f>
        <v/>
      </c>
      <c r="Q363" s="4" t="str">
        <f>IF(Data_Set_2[[#This Row],[valor_bruto]]&lt;$W$14,"OUTLIER-","")</f>
        <v/>
      </c>
      <c r="R363" s="4"/>
      <c r="S363" s="4"/>
      <c r="AB363" t="str">
        <v>RES-100361</v>
      </c>
      <c r="AC363">
        <v>46050</v>
      </c>
      <c r="AD363">
        <v>0.46319444444444446</v>
      </c>
      <c r="AE363" t="str">
        <v>Poblado</v>
      </c>
      <c r="AF363" t="str">
        <v>Domicilio</v>
      </c>
      <c r="AG363" t="str">
        <v>Pasta</v>
      </c>
      <c r="AH363">
        <v>5</v>
      </c>
      <c r="AI363">
        <v>39801.760000000002</v>
      </c>
      <c r="AJ363">
        <v>1726.09</v>
      </c>
      <c r="AK363">
        <v>20</v>
      </c>
      <c r="AL363">
        <v>45</v>
      </c>
      <c r="AM363" t="str">
        <v>Efectivo</v>
      </c>
      <c r="AN363" t="str">
        <v>Cancelada</v>
      </c>
      <c r="AO363">
        <v>3</v>
      </c>
    </row>
    <row r="364" spans="1:41" x14ac:dyDescent="0.3">
      <c r="A364" t="s">
        <v>397</v>
      </c>
      <c r="B364" s="8">
        <v>46051</v>
      </c>
      <c r="C364" s="2">
        <v>0.50972222222222219</v>
      </c>
      <c r="D364" t="s">
        <v>27</v>
      </c>
      <c r="E364" t="s">
        <v>28</v>
      </c>
      <c r="F364" t="s">
        <v>29</v>
      </c>
      <c r="G364">
        <v>5</v>
      </c>
      <c r="H364" s="6">
        <v>46599.1</v>
      </c>
      <c r="I364" s="6">
        <v>8204.27</v>
      </c>
      <c r="J364">
        <v>21</v>
      </c>
      <c r="K364">
        <v>31</v>
      </c>
      <c r="L364" t="s">
        <v>30</v>
      </c>
      <c r="M364" t="s">
        <v>31</v>
      </c>
      <c r="N364">
        <v>3</v>
      </c>
      <c r="O364" s="4"/>
      <c r="P364" s="4" t="str">
        <f>IF(Data_Set_2[[#This Row],[valor_bruto]]&gt;$W$13,"OUTLIER+","")</f>
        <v/>
      </c>
      <c r="Q364" s="4" t="str">
        <f>IF(Data_Set_2[[#This Row],[valor_bruto]]&lt;$W$14,"OUTLIER-","")</f>
        <v/>
      </c>
      <c r="R364" s="4"/>
      <c r="S364" s="4"/>
      <c r="AB364" t="str">
        <v>RES-100362</v>
      </c>
      <c r="AC364">
        <v>46051</v>
      </c>
      <c r="AD364">
        <v>0.50972222222222219</v>
      </c>
      <c r="AE364" t="str">
        <v>Centro</v>
      </c>
      <c r="AF364" t="str">
        <v>Recoge</v>
      </c>
      <c r="AG364" t="str">
        <v>Parrilla</v>
      </c>
      <c r="AH364">
        <v>5</v>
      </c>
      <c r="AI364">
        <v>46599.1</v>
      </c>
      <c r="AJ364">
        <v>8204.27</v>
      </c>
      <c r="AK364">
        <v>21</v>
      </c>
      <c r="AL364">
        <v>31</v>
      </c>
      <c r="AM364" t="str">
        <v>App</v>
      </c>
      <c r="AN364" t="str">
        <v>Reembolsada</v>
      </c>
      <c r="AO364">
        <v>3</v>
      </c>
    </row>
    <row r="365" spans="1:41" x14ac:dyDescent="0.3">
      <c r="A365" t="s">
        <v>398</v>
      </c>
      <c r="B365" s="8">
        <v>46052</v>
      </c>
      <c r="C365" s="2">
        <v>0.55625000000000002</v>
      </c>
      <c r="D365" t="s">
        <v>33</v>
      </c>
      <c r="E365" t="s">
        <v>16</v>
      </c>
      <c r="F365" t="s">
        <v>34</v>
      </c>
      <c r="G365">
        <v>4</v>
      </c>
      <c r="H365" s="6">
        <v>33312.629999999997</v>
      </c>
      <c r="I365" s="6">
        <v>5236.87</v>
      </c>
      <c r="J365">
        <v>15</v>
      </c>
      <c r="K365">
        <v>49</v>
      </c>
      <c r="L365" t="s">
        <v>18</v>
      </c>
      <c r="M365" t="s">
        <v>19</v>
      </c>
      <c r="N365">
        <v>3</v>
      </c>
      <c r="O365" s="4"/>
      <c r="P365" s="4" t="str">
        <f>IF(Data_Set_2[[#This Row],[valor_bruto]]&gt;$W$13,"OUTLIER+","")</f>
        <v/>
      </c>
      <c r="Q365" s="4" t="str">
        <f>IF(Data_Set_2[[#This Row],[valor_bruto]]&lt;$W$14,"OUTLIER-","")</f>
        <v/>
      </c>
      <c r="R365" s="4"/>
      <c r="S365" s="4"/>
      <c r="AB365" t="str">
        <v>RES-100363</v>
      </c>
      <c r="AC365">
        <v>46052</v>
      </c>
      <c r="AD365">
        <v>0.55625000000000002</v>
      </c>
      <c r="AE365" t="str">
        <v>Envigado</v>
      </c>
      <c r="AF365" t="str">
        <v>Mesa</v>
      </c>
      <c r="AG365" t="str">
        <v>Vegano</v>
      </c>
      <c r="AH365">
        <v>4</v>
      </c>
      <c r="AI365">
        <v>33312.629999999997</v>
      </c>
      <c r="AJ365">
        <v>5236.87</v>
      </c>
      <c r="AK365">
        <v>15</v>
      </c>
      <c r="AL365">
        <v>49</v>
      </c>
      <c r="AM365" t="str">
        <v>Tarjeta</v>
      </c>
      <c r="AN365" t="str">
        <v>Entregada</v>
      </c>
      <c r="AO365">
        <v>3</v>
      </c>
    </row>
    <row r="366" spans="1:41" x14ac:dyDescent="0.3">
      <c r="A366" t="s">
        <v>399</v>
      </c>
      <c r="B366" s="8">
        <v>46053</v>
      </c>
      <c r="C366" s="2">
        <v>0.60277777777777775</v>
      </c>
      <c r="D366" t="s">
        <v>15</v>
      </c>
      <c r="E366" t="s">
        <v>22</v>
      </c>
      <c r="F366" t="s">
        <v>36</v>
      </c>
      <c r="G366">
        <v>4</v>
      </c>
      <c r="H366" s="6">
        <v>47179.87</v>
      </c>
      <c r="I366" s="6">
        <v>5353.33</v>
      </c>
      <c r="J366">
        <v>15</v>
      </c>
      <c r="K366">
        <v>33</v>
      </c>
      <c r="L366" t="s">
        <v>24</v>
      </c>
      <c r="M366" t="s">
        <v>25</v>
      </c>
      <c r="N366">
        <v>3</v>
      </c>
      <c r="O366" s="4"/>
      <c r="P366" s="4" t="str">
        <f>IF(Data_Set_2[[#This Row],[valor_bruto]]&gt;$W$13,"OUTLIER+","")</f>
        <v/>
      </c>
      <c r="Q366" s="4" t="str">
        <f>IF(Data_Set_2[[#This Row],[valor_bruto]]&lt;$W$14,"OUTLIER-","")</f>
        <v/>
      </c>
      <c r="R366" s="4"/>
      <c r="S366" s="4"/>
      <c r="AB366" t="str">
        <v>RES-100364</v>
      </c>
      <c r="AC366">
        <v>46053</v>
      </c>
      <c r="AD366">
        <v>0.60277777777777775</v>
      </c>
      <c r="AE366" t="str">
        <v>Laureles</v>
      </c>
      <c r="AF366" t="str">
        <v>Domicilio</v>
      </c>
      <c r="AG366" t="str">
        <v>Bebidas</v>
      </c>
      <c r="AH366">
        <v>4</v>
      </c>
      <c r="AI366">
        <v>47179.87</v>
      </c>
      <c r="AJ366">
        <v>5353.33</v>
      </c>
      <c r="AK366">
        <v>15</v>
      </c>
      <c r="AL366">
        <v>33</v>
      </c>
      <c r="AM366" t="str">
        <v>Efectivo</v>
      </c>
      <c r="AN366" t="str">
        <v>Cancelada</v>
      </c>
      <c r="AO366">
        <v>3</v>
      </c>
    </row>
    <row r="367" spans="1:41" x14ac:dyDescent="0.3">
      <c r="A367" t="s">
        <v>400</v>
      </c>
      <c r="B367" s="8">
        <v>45659</v>
      </c>
      <c r="C367" s="2">
        <v>0.64930555555555558</v>
      </c>
      <c r="D367" t="s">
        <v>21</v>
      </c>
      <c r="E367" t="s">
        <v>28</v>
      </c>
      <c r="F367" t="s">
        <v>17</v>
      </c>
      <c r="G367">
        <v>2</v>
      </c>
      <c r="H367" s="6">
        <v>67317.48</v>
      </c>
      <c r="I367" s="6">
        <v>4251.9005882352949</v>
      </c>
      <c r="J367">
        <v>19</v>
      </c>
      <c r="K367">
        <v>46</v>
      </c>
      <c r="L367" t="s">
        <v>30</v>
      </c>
      <c r="M367" t="s">
        <v>31</v>
      </c>
      <c r="N367">
        <v>4</v>
      </c>
      <c r="O367" s="4"/>
      <c r="P367" s="4" t="str">
        <f>IF(Data_Set_2[[#This Row],[valor_bruto]]&gt;$W$13,"OUTLIER+","")</f>
        <v/>
      </c>
      <c r="Q367" s="4" t="str">
        <f>IF(Data_Set_2[[#This Row],[valor_bruto]]&lt;$W$14,"OUTLIER-","")</f>
        <v/>
      </c>
      <c r="R367" s="4"/>
      <c r="S367" s="4"/>
      <c r="AB367" t="str">
        <v>RES-100365</v>
      </c>
      <c r="AC367">
        <v>45659</v>
      </c>
      <c r="AD367">
        <v>0.64930555555555558</v>
      </c>
      <c r="AE367" t="str">
        <v>Poblado</v>
      </c>
      <c r="AF367" t="str">
        <v>Recoge</v>
      </c>
      <c r="AG367" t="str">
        <v>Comida rapida</v>
      </c>
      <c r="AH367">
        <v>2</v>
      </c>
      <c r="AI367">
        <v>67317.48</v>
      </c>
      <c r="AJ367">
        <v>4251.9005882352949</v>
      </c>
      <c r="AK367">
        <v>19</v>
      </c>
      <c r="AL367">
        <v>46</v>
      </c>
      <c r="AM367" t="str">
        <v>App</v>
      </c>
      <c r="AN367" t="str">
        <v>Reembolsada</v>
      </c>
      <c r="AO367">
        <v>4</v>
      </c>
    </row>
    <row r="368" spans="1:41" x14ac:dyDescent="0.3">
      <c r="A368" t="s">
        <v>401</v>
      </c>
      <c r="B368" s="8">
        <v>45690</v>
      </c>
      <c r="C368" s="2">
        <v>0.6958333333333333</v>
      </c>
      <c r="D368" t="s">
        <v>27</v>
      </c>
      <c r="E368" t="s">
        <v>16</v>
      </c>
      <c r="F368" t="s">
        <v>23</v>
      </c>
      <c r="G368">
        <v>5</v>
      </c>
      <c r="H368" s="6">
        <v>38746.769999999997</v>
      </c>
      <c r="I368" s="6">
        <v>6162.89</v>
      </c>
      <c r="J368">
        <v>23</v>
      </c>
      <c r="K368">
        <v>27</v>
      </c>
      <c r="L368" t="s">
        <v>18</v>
      </c>
      <c r="M368" t="s">
        <v>19</v>
      </c>
      <c r="N368">
        <v>4</v>
      </c>
      <c r="O368" s="4"/>
      <c r="P368" s="4" t="str">
        <f>IF(Data_Set_2[[#This Row],[valor_bruto]]&gt;$W$13,"OUTLIER+","")</f>
        <v/>
      </c>
      <c r="Q368" s="4" t="str">
        <f>IF(Data_Set_2[[#This Row],[valor_bruto]]&lt;$W$14,"OUTLIER-","")</f>
        <v/>
      </c>
      <c r="R368" s="4"/>
      <c r="S368" s="4"/>
      <c r="AB368" t="str">
        <v>RES-100366</v>
      </c>
      <c r="AC368">
        <v>45690</v>
      </c>
      <c r="AD368">
        <v>0.6958333333333333</v>
      </c>
      <c r="AE368" t="str">
        <v>Centro</v>
      </c>
      <c r="AF368" t="str">
        <v>Mesa</v>
      </c>
      <c r="AG368" t="str">
        <v>Pasta</v>
      </c>
      <c r="AH368">
        <v>5</v>
      </c>
      <c r="AI368">
        <v>38746.769999999997</v>
      </c>
      <c r="AJ368">
        <v>6162.89</v>
      </c>
      <c r="AK368">
        <v>23</v>
      </c>
      <c r="AL368">
        <v>27</v>
      </c>
      <c r="AM368" t="str">
        <v>Tarjeta</v>
      </c>
      <c r="AN368" t="str">
        <v>Entregada</v>
      </c>
      <c r="AO368">
        <v>4</v>
      </c>
    </row>
    <row r="369" spans="1:41" x14ac:dyDescent="0.3">
      <c r="A369" t="s">
        <v>402</v>
      </c>
      <c r="B369" s="8">
        <v>45691</v>
      </c>
      <c r="C369" s="2">
        <v>0.74236111111111114</v>
      </c>
      <c r="D369" t="s">
        <v>33</v>
      </c>
      <c r="E369" t="s">
        <v>22</v>
      </c>
      <c r="F369" t="s">
        <v>29</v>
      </c>
      <c r="G369">
        <v>3</v>
      </c>
      <c r="H369" s="6">
        <v>42935.5</v>
      </c>
      <c r="I369" s="6">
        <v>6655.89</v>
      </c>
      <c r="J369">
        <v>18</v>
      </c>
      <c r="K369">
        <v>33</v>
      </c>
      <c r="L369" t="s">
        <v>24</v>
      </c>
      <c r="M369" t="s">
        <v>25</v>
      </c>
      <c r="N369">
        <v>3</v>
      </c>
      <c r="O369" s="4"/>
      <c r="P369" s="4" t="str">
        <f>IF(Data_Set_2[[#This Row],[valor_bruto]]&gt;$W$13,"OUTLIER+","")</f>
        <v/>
      </c>
      <c r="Q369" s="4" t="str">
        <f>IF(Data_Set_2[[#This Row],[valor_bruto]]&lt;$W$14,"OUTLIER-","")</f>
        <v/>
      </c>
      <c r="R369" s="4"/>
      <c r="S369" s="4"/>
      <c r="AB369" t="str">
        <v>RES-100367</v>
      </c>
      <c r="AC369">
        <v>45691</v>
      </c>
      <c r="AD369">
        <v>0.74236111111111114</v>
      </c>
      <c r="AE369" t="str">
        <v>Envigado</v>
      </c>
      <c r="AF369" t="str">
        <v>Domicilio</v>
      </c>
      <c r="AG369" t="str">
        <v>Parrilla</v>
      </c>
      <c r="AH369">
        <v>3</v>
      </c>
      <c r="AI369">
        <v>42935.5</v>
      </c>
      <c r="AJ369">
        <v>6655.89</v>
      </c>
      <c r="AK369">
        <v>18</v>
      </c>
      <c r="AL369">
        <v>33</v>
      </c>
      <c r="AM369" t="str">
        <v>Efectivo</v>
      </c>
      <c r="AN369" t="str">
        <v>Cancelada</v>
      </c>
      <c r="AO369">
        <v>3</v>
      </c>
    </row>
    <row r="370" spans="1:41" x14ac:dyDescent="0.3">
      <c r="A370" t="s">
        <v>403</v>
      </c>
      <c r="B370" s="8">
        <v>45749</v>
      </c>
      <c r="C370" s="2">
        <v>0.78888888888888886</v>
      </c>
      <c r="D370" t="s">
        <v>15</v>
      </c>
      <c r="E370" t="s">
        <v>28</v>
      </c>
      <c r="F370" t="s">
        <v>34</v>
      </c>
      <c r="G370">
        <v>5</v>
      </c>
      <c r="H370" s="6">
        <v>45794.01</v>
      </c>
      <c r="I370" s="6">
        <v>6293.47</v>
      </c>
      <c r="J370">
        <v>26</v>
      </c>
      <c r="K370">
        <v>37</v>
      </c>
      <c r="L370" t="s">
        <v>30</v>
      </c>
      <c r="M370" t="s">
        <v>31</v>
      </c>
      <c r="N370">
        <v>5</v>
      </c>
      <c r="O370" s="4"/>
      <c r="P370" s="4" t="str">
        <f>IF(Data_Set_2[[#This Row],[valor_bruto]]&gt;$W$13,"OUTLIER+","")</f>
        <v/>
      </c>
      <c r="Q370" s="4" t="str">
        <f>IF(Data_Set_2[[#This Row],[valor_bruto]]&lt;$W$14,"OUTLIER-","")</f>
        <v/>
      </c>
      <c r="R370" s="4"/>
      <c r="S370" s="4"/>
      <c r="AB370" t="str">
        <v>RES-100368</v>
      </c>
      <c r="AC370">
        <v>45749</v>
      </c>
      <c r="AD370">
        <v>0.78888888888888886</v>
      </c>
      <c r="AE370" t="str">
        <v>Laureles</v>
      </c>
      <c r="AF370" t="str">
        <v>Recoge</v>
      </c>
      <c r="AG370" t="str">
        <v>Vegano</v>
      </c>
      <c r="AH370">
        <v>5</v>
      </c>
      <c r="AI370">
        <v>45794.01</v>
      </c>
      <c r="AJ370">
        <v>6293.47</v>
      </c>
      <c r="AK370">
        <v>26</v>
      </c>
      <c r="AL370">
        <v>37</v>
      </c>
      <c r="AM370" t="str">
        <v>App</v>
      </c>
      <c r="AN370" t="str">
        <v>Reembolsada</v>
      </c>
      <c r="AO370">
        <v>5</v>
      </c>
    </row>
    <row r="371" spans="1:41" x14ac:dyDescent="0.3">
      <c r="A371" t="s">
        <v>404</v>
      </c>
      <c r="B371" s="8">
        <v>45693</v>
      </c>
      <c r="C371" s="2">
        <v>0.79374999999999996</v>
      </c>
      <c r="D371" t="s">
        <v>21</v>
      </c>
      <c r="E371" t="s">
        <v>16</v>
      </c>
      <c r="F371" t="s">
        <v>36</v>
      </c>
      <c r="G371">
        <v>6</v>
      </c>
      <c r="H371" s="6">
        <v>54006.86</v>
      </c>
      <c r="I371" s="6">
        <v>2218.59</v>
      </c>
      <c r="J371">
        <v>16</v>
      </c>
      <c r="K371">
        <v>27</v>
      </c>
      <c r="L371" t="s">
        <v>18</v>
      </c>
      <c r="M371" t="s">
        <v>19</v>
      </c>
      <c r="N371">
        <v>3</v>
      </c>
      <c r="O371" s="4"/>
      <c r="P371" s="4" t="str">
        <f>IF(Data_Set_2[[#This Row],[valor_bruto]]&gt;$W$13,"OUTLIER+","")</f>
        <v/>
      </c>
      <c r="Q371" s="4" t="str">
        <f>IF(Data_Set_2[[#This Row],[valor_bruto]]&lt;$W$14,"OUTLIER-","")</f>
        <v/>
      </c>
      <c r="R371" s="4"/>
      <c r="S371" s="4"/>
      <c r="AB371" t="str">
        <v>RES-100369</v>
      </c>
      <c r="AC371">
        <v>45693</v>
      </c>
      <c r="AD371">
        <v>0.79374999999999996</v>
      </c>
      <c r="AE371" t="str">
        <v>Poblado</v>
      </c>
      <c r="AF371" t="str">
        <v>Mesa</v>
      </c>
      <c r="AG371" t="str">
        <v>Bebidas</v>
      </c>
      <c r="AH371">
        <v>6</v>
      </c>
      <c r="AI371">
        <v>54006.86</v>
      </c>
      <c r="AJ371">
        <v>2218.59</v>
      </c>
      <c r="AK371">
        <v>16</v>
      </c>
      <c r="AL371">
        <v>27</v>
      </c>
      <c r="AM371" t="str">
        <v>Tarjeta</v>
      </c>
      <c r="AN371" t="str">
        <v>Entregada</v>
      </c>
      <c r="AO371">
        <v>3</v>
      </c>
    </row>
    <row r="372" spans="1:41" x14ac:dyDescent="0.3">
      <c r="A372" t="s">
        <v>405</v>
      </c>
      <c r="B372" s="8">
        <v>45694</v>
      </c>
      <c r="C372" s="2">
        <v>0.84027777777777779</v>
      </c>
      <c r="D372" t="s">
        <v>27</v>
      </c>
      <c r="E372" t="s">
        <v>22</v>
      </c>
      <c r="F372" t="s">
        <v>17</v>
      </c>
      <c r="G372">
        <v>3</v>
      </c>
      <c r="H372" s="6">
        <v>66000.92</v>
      </c>
      <c r="I372" s="6">
        <v>5622.77</v>
      </c>
      <c r="J372">
        <v>17</v>
      </c>
      <c r="K372">
        <v>34</v>
      </c>
      <c r="L372" t="s">
        <v>24</v>
      </c>
      <c r="M372" t="s">
        <v>25</v>
      </c>
      <c r="N372">
        <v>5</v>
      </c>
      <c r="O372" s="4"/>
      <c r="P372" s="4" t="str">
        <f>IF(Data_Set_2[[#This Row],[valor_bruto]]&gt;$W$13,"OUTLIER+","")</f>
        <v/>
      </c>
      <c r="Q372" s="4" t="str">
        <f>IF(Data_Set_2[[#This Row],[valor_bruto]]&lt;$W$14,"OUTLIER-","")</f>
        <v/>
      </c>
      <c r="R372" s="4"/>
      <c r="S372" s="4"/>
      <c r="AB372" t="str">
        <v>RES-100370</v>
      </c>
      <c r="AC372">
        <v>45694</v>
      </c>
      <c r="AD372">
        <v>0.84027777777777779</v>
      </c>
      <c r="AE372" t="str">
        <v>Centro</v>
      </c>
      <c r="AF372" t="str">
        <v>Domicilio</v>
      </c>
      <c r="AG372" t="str">
        <v>Comida rapida</v>
      </c>
      <c r="AH372">
        <v>3</v>
      </c>
      <c r="AI372">
        <v>66000.92</v>
      </c>
      <c r="AJ372">
        <v>5622.77</v>
      </c>
      <c r="AK372">
        <v>17</v>
      </c>
      <c r="AL372">
        <v>34</v>
      </c>
      <c r="AM372" t="str">
        <v>Efectivo</v>
      </c>
      <c r="AN372" t="str">
        <v>Cancelada</v>
      </c>
      <c r="AO372">
        <v>5</v>
      </c>
    </row>
    <row r="373" spans="1:41" x14ac:dyDescent="0.3">
      <c r="A373" t="s">
        <v>406</v>
      </c>
      <c r="B373" s="8">
        <v>45840</v>
      </c>
      <c r="C373" s="2">
        <v>0.88680555555555551</v>
      </c>
      <c r="D373" t="s">
        <v>33</v>
      </c>
      <c r="E373" t="s">
        <v>28</v>
      </c>
      <c r="F373" t="s">
        <v>23</v>
      </c>
      <c r="G373">
        <v>2</v>
      </c>
      <c r="H373" s="6">
        <v>32640.09</v>
      </c>
      <c r="I373" s="6">
        <v>5456.78</v>
      </c>
      <c r="J373">
        <v>16</v>
      </c>
      <c r="K373">
        <v>53</v>
      </c>
      <c r="L373" t="s">
        <v>30</v>
      </c>
      <c r="M373" t="s">
        <v>31</v>
      </c>
      <c r="N373">
        <v>4</v>
      </c>
      <c r="O373" s="4"/>
      <c r="P373" s="4" t="str">
        <f>IF(Data_Set_2[[#This Row],[valor_bruto]]&gt;$W$13,"OUTLIER+","")</f>
        <v/>
      </c>
      <c r="Q373" s="4" t="str">
        <f>IF(Data_Set_2[[#This Row],[valor_bruto]]&lt;$W$14,"OUTLIER-","")</f>
        <v/>
      </c>
      <c r="R373" s="4"/>
      <c r="S373" s="4"/>
      <c r="AB373" t="str">
        <v>RES-100371</v>
      </c>
      <c r="AC373">
        <v>45840</v>
      </c>
      <c r="AD373">
        <v>0.88680555555555551</v>
      </c>
      <c r="AE373" t="str">
        <v>Envigado</v>
      </c>
      <c r="AF373" t="str">
        <v>Recoge</v>
      </c>
      <c r="AG373" t="str">
        <v>Pasta</v>
      </c>
      <c r="AH373">
        <v>2</v>
      </c>
      <c r="AI373">
        <v>32640.09</v>
      </c>
      <c r="AJ373">
        <v>5456.78</v>
      </c>
      <c r="AK373">
        <v>16</v>
      </c>
      <c r="AL373">
        <v>53</v>
      </c>
      <c r="AM373" t="str">
        <v>App</v>
      </c>
      <c r="AN373" t="str">
        <v>Reembolsada</v>
      </c>
      <c r="AO373">
        <v>4</v>
      </c>
    </row>
    <row r="374" spans="1:41" x14ac:dyDescent="0.3">
      <c r="A374" t="s">
        <v>407</v>
      </c>
      <c r="B374" s="8">
        <v>45696</v>
      </c>
      <c r="C374" s="2">
        <v>0.43333333333333335</v>
      </c>
      <c r="D374" t="s">
        <v>15</v>
      </c>
      <c r="E374" t="s">
        <v>16</v>
      </c>
      <c r="F374" t="s">
        <v>29</v>
      </c>
      <c r="G374">
        <v>5</v>
      </c>
      <c r="H374" s="6">
        <v>52148.42</v>
      </c>
      <c r="I374" s="6">
        <v>2218.3000000000002</v>
      </c>
      <c r="J374">
        <v>13</v>
      </c>
      <c r="K374">
        <v>41</v>
      </c>
      <c r="L374" t="s">
        <v>18</v>
      </c>
      <c r="M374" t="s">
        <v>19</v>
      </c>
      <c r="N374">
        <v>5</v>
      </c>
      <c r="O374" s="4"/>
      <c r="P374" s="4" t="str">
        <f>IF(Data_Set_2[[#This Row],[valor_bruto]]&gt;$W$13,"OUTLIER+","")</f>
        <v/>
      </c>
      <c r="Q374" s="4" t="str">
        <f>IF(Data_Set_2[[#This Row],[valor_bruto]]&lt;$W$14,"OUTLIER-","")</f>
        <v/>
      </c>
      <c r="R374" s="4"/>
      <c r="S374" s="4"/>
      <c r="AB374" t="str">
        <v>RES-100372</v>
      </c>
      <c r="AC374">
        <v>45696</v>
      </c>
      <c r="AD374">
        <v>0.43333333333333335</v>
      </c>
      <c r="AE374" t="str">
        <v>Laureles</v>
      </c>
      <c r="AF374" t="str">
        <v>Mesa</v>
      </c>
      <c r="AG374" t="str">
        <v>Parrilla</v>
      </c>
      <c r="AH374">
        <v>5</v>
      </c>
      <c r="AI374">
        <v>52148.42</v>
      </c>
      <c r="AJ374">
        <v>2218.3000000000002</v>
      </c>
      <c r="AK374">
        <v>13</v>
      </c>
      <c r="AL374">
        <v>41</v>
      </c>
      <c r="AM374" t="str">
        <v>Tarjeta</v>
      </c>
      <c r="AN374" t="str">
        <v>Entregada</v>
      </c>
      <c r="AO374">
        <v>5</v>
      </c>
    </row>
    <row r="375" spans="1:41" x14ac:dyDescent="0.3">
      <c r="A375" t="s">
        <v>408</v>
      </c>
      <c r="B375" s="8">
        <v>45697</v>
      </c>
      <c r="C375" s="2">
        <v>0.47986111111111113</v>
      </c>
      <c r="D375" t="s">
        <v>21</v>
      </c>
      <c r="E375" t="s">
        <v>22</v>
      </c>
      <c r="F375" t="s">
        <v>34</v>
      </c>
      <c r="G375">
        <v>4</v>
      </c>
      <c r="H375" s="6">
        <v>55185.59</v>
      </c>
      <c r="I375" s="6">
        <v>4718.16</v>
      </c>
      <c r="J375">
        <v>20</v>
      </c>
      <c r="K375">
        <v>29</v>
      </c>
      <c r="L375" t="s">
        <v>24</v>
      </c>
      <c r="M375" t="s">
        <v>25</v>
      </c>
      <c r="N375">
        <v>4</v>
      </c>
      <c r="O375" s="4"/>
      <c r="P375" s="4" t="str">
        <f>IF(Data_Set_2[[#This Row],[valor_bruto]]&gt;$W$13,"OUTLIER+","")</f>
        <v/>
      </c>
      <c r="Q375" s="4" t="str">
        <f>IF(Data_Set_2[[#This Row],[valor_bruto]]&lt;$W$14,"OUTLIER-","")</f>
        <v/>
      </c>
      <c r="R375" s="4"/>
      <c r="S375" s="4"/>
      <c r="AB375" t="str">
        <v>RES-100373</v>
      </c>
      <c r="AC375">
        <v>45697</v>
      </c>
      <c r="AD375">
        <v>0.47986111111111113</v>
      </c>
      <c r="AE375" t="str">
        <v>Poblado</v>
      </c>
      <c r="AF375" t="str">
        <v>Domicilio</v>
      </c>
      <c r="AG375" t="str">
        <v>Vegano</v>
      </c>
      <c r="AH375">
        <v>4</v>
      </c>
      <c r="AI375">
        <v>55185.59</v>
      </c>
      <c r="AJ375">
        <v>4718.16</v>
      </c>
      <c r="AK375">
        <v>20</v>
      </c>
      <c r="AL375">
        <v>29</v>
      </c>
      <c r="AM375" t="str">
        <v>Efectivo</v>
      </c>
      <c r="AN375" t="str">
        <v>Cancelada</v>
      </c>
      <c r="AO375">
        <v>4</v>
      </c>
    </row>
    <row r="376" spans="1:41" x14ac:dyDescent="0.3">
      <c r="A376" t="s">
        <v>409</v>
      </c>
      <c r="B376" s="8">
        <v>45932</v>
      </c>
      <c r="C376" s="2">
        <v>0.52638888888888891</v>
      </c>
      <c r="D376" t="s">
        <v>27</v>
      </c>
      <c r="E376" t="s">
        <v>28</v>
      </c>
      <c r="F376" t="s">
        <v>36</v>
      </c>
      <c r="G376">
        <v>3</v>
      </c>
      <c r="H376" s="6">
        <v>35536.99</v>
      </c>
      <c r="I376" s="6">
        <v>8108.85</v>
      </c>
      <c r="J376">
        <v>19</v>
      </c>
      <c r="K376">
        <v>26</v>
      </c>
      <c r="L376" t="s">
        <v>30</v>
      </c>
      <c r="M376" t="s">
        <v>31</v>
      </c>
      <c r="N376">
        <v>4</v>
      </c>
      <c r="O376" s="4"/>
      <c r="P376" s="4" t="str">
        <f>IF(Data_Set_2[[#This Row],[valor_bruto]]&gt;$W$13,"OUTLIER+","")</f>
        <v/>
      </c>
      <c r="Q376" s="4" t="str">
        <f>IF(Data_Set_2[[#This Row],[valor_bruto]]&lt;$W$14,"OUTLIER-","")</f>
        <v/>
      </c>
      <c r="R376" s="4"/>
      <c r="S376" s="4"/>
      <c r="AB376" t="str">
        <v>RES-100374</v>
      </c>
      <c r="AC376">
        <v>45932</v>
      </c>
      <c r="AD376">
        <v>0.52638888888888891</v>
      </c>
      <c r="AE376" t="str">
        <v>Centro</v>
      </c>
      <c r="AF376" t="str">
        <v>Recoge</v>
      </c>
      <c r="AG376" t="str">
        <v>Bebidas</v>
      </c>
      <c r="AH376">
        <v>3</v>
      </c>
      <c r="AI376">
        <v>35536.99</v>
      </c>
      <c r="AJ376">
        <v>8108.85</v>
      </c>
      <c r="AK376">
        <v>19</v>
      </c>
      <c r="AL376">
        <v>26</v>
      </c>
      <c r="AM376" t="str">
        <v>App</v>
      </c>
      <c r="AN376" t="str">
        <v>Reembolsada</v>
      </c>
      <c r="AO376">
        <v>4</v>
      </c>
    </row>
    <row r="377" spans="1:41" x14ac:dyDescent="0.3">
      <c r="A377" t="s">
        <v>410</v>
      </c>
      <c r="B377" s="8">
        <v>45699</v>
      </c>
      <c r="C377" s="2">
        <v>0.57291666666666663</v>
      </c>
      <c r="D377" t="s">
        <v>33</v>
      </c>
      <c r="E377" t="s">
        <v>16</v>
      </c>
      <c r="F377" t="s">
        <v>17</v>
      </c>
      <c r="G377">
        <v>4</v>
      </c>
      <c r="H377" s="6">
        <v>58746.29</v>
      </c>
      <c r="I377" s="6">
        <v>6535.38</v>
      </c>
      <c r="J377">
        <v>15</v>
      </c>
      <c r="K377">
        <v>37</v>
      </c>
      <c r="L377" t="s">
        <v>18</v>
      </c>
      <c r="M377" t="s">
        <v>19</v>
      </c>
      <c r="N377">
        <v>5</v>
      </c>
      <c r="O377" s="4"/>
      <c r="P377" s="4" t="str">
        <f>IF(Data_Set_2[[#This Row],[valor_bruto]]&gt;$W$13,"OUTLIER+","")</f>
        <v/>
      </c>
      <c r="Q377" s="4" t="str">
        <f>IF(Data_Set_2[[#This Row],[valor_bruto]]&lt;$W$14,"OUTLIER-","")</f>
        <v/>
      </c>
      <c r="R377" s="4"/>
      <c r="S377" s="4"/>
      <c r="AB377" t="str">
        <v>RES-100375</v>
      </c>
      <c r="AC377">
        <v>45699</v>
      </c>
      <c r="AD377">
        <v>0.57291666666666663</v>
      </c>
      <c r="AE377" t="str">
        <v>Envigado</v>
      </c>
      <c r="AF377" t="str">
        <v>Mesa</v>
      </c>
      <c r="AG377" t="str">
        <v>Comida rapida</v>
      </c>
      <c r="AH377">
        <v>4</v>
      </c>
      <c r="AI377">
        <v>58746.29</v>
      </c>
      <c r="AJ377">
        <v>6535.38</v>
      </c>
      <c r="AK377">
        <v>15</v>
      </c>
      <c r="AL377">
        <v>37</v>
      </c>
      <c r="AM377" t="str">
        <v>Tarjeta</v>
      </c>
      <c r="AN377" t="str">
        <v>Entregada</v>
      </c>
      <c r="AO377">
        <v>5</v>
      </c>
    </row>
    <row r="378" spans="1:41" x14ac:dyDescent="0.3">
      <c r="A378" t="s">
        <v>411</v>
      </c>
      <c r="B378" s="8">
        <v>45700</v>
      </c>
      <c r="C378" s="2">
        <v>0.61944444444444446</v>
      </c>
      <c r="D378" t="s">
        <v>15</v>
      </c>
      <c r="E378" t="s">
        <v>22</v>
      </c>
      <c r="F378" t="s">
        <v>23</v>
      </c>
      <c r="G378">
        <v>2</v>
      </c>
      <c r="H378" s="6">
        <v>58595.96</v>
      </c>
      <c r="I378" s="6">
        <v>2877.82</v>
      </c>
      <c r="J378">
        <v>16</v>
      </c>
      <c r="K378">
        <v>43</v>
      </c>
      <c r="L378" t="s">
        <v>24</v>
      </c>
      <c r="M378" t="s">
        <v>25</v>
      </c>
      <c r="N378">
        <v>5</v>
      </c>
      <c r="O378" s="4"/>
      <c r="P378" s="4" t="str">
        <f>IF(Data_Set_2[[#This Row],[valor_bruto]]&gt;$W$13,"OUTLIER+","")</f>
        <v/>
      </c>
      <c r="Q378" s="4" t="str">
        <f>IF(Data_Set_2[[#This Row],[valor_bruto]]&lt;$W$14,"OUTLIER-","")</f>
        <v/>
      </c>
      <c r="R378" s="4"/>
      <c r="S378" s="4"/>
      <c r="AB378" t="str">
        <v>RES-100376</v>
      </c>
      <c r="AC378">
        <v>45700</v>
      </c>
      <c r="AD378">
        <v>0.61944444444444446</v>
      </c>
      <c r="AE378" t="str">
        <v>Laureles</v>
      </c>
      <c r="AF378" t="str">
        <v>Domicilio</v>
      </c>
      <c r="AG378" t="str">
        <v>Pasta</v>
      </c>
      <c r="AH378">
        <v>2</v>
      </c>
      <c r="AI378">
        <v>58595.96</v>
      </c>
      <c r="AJ378">
        <v>2877.82</v>
      </c>
      <c r="AK378">
        <v>16</v>
      </c>
      <c r="AL378">
        <v>43</v>
      </c>
      <c r="AM378" t="str">
        <v>Efectivo</v>
      </c>
      <c r="AN378" t="str">
        <v>Cancelada</v>
      </c>
      <c r="AO378">
        <v>5</v>
      </c>
    </row>
    <row r="379" spans="1:41" x14ac:dyDescent="0.3">
      <c r="A379" t="s">
        <v>412</v>
      </c>
      <c r="B379" s="8">
        <v>45701</v>
      </c>
      <c r="C379" s="2">
        <v>0.66597222222222219</v>
      </c>
      <c r="D379" t="s">
        <v>21</v>
      </c>
      <c r="E379" t="s">
        <v>28</v>
      </c>
      <c r="F379" t="s">
        <v>29</v>
      </c>
      <c r="G379">
        <v>2</v>
      </c>
      <c r="H379" s="6">
        <v>67888.81</v>
      </c>
      <c r="I379" s="6">
        <v>3094.54</v>
      </c>
      <c r="J379">
        <v>22</v>
      </c>
      <c r="K379">
        <v>51</v>
      </c>
      <c r="L379" t="s">
        <v>30</v>
      </c>
      <c r="M379" t="s">
        <v>31</v>
      </c>
      <c r="N379">
        <v>5</v>
      </c>
      <c r="O379" s="4"/>
      <c r="P379" s="4" t="str">
        <f>IF(Data_Set_2[[#This Row],[valor_bruto]]&gt;$W$13,"OUTLIER+","")</f>
        <v/>
      </c>
      <c r="Q379" s="4" t="str">
        <f>IF(Data_Set_2[[#This Row],[valor_bruto]]&lt;$W$14,"OUTLIER-","")</f>
        <v/>
      </c>
      <c r="R379" s="4"/>
      <c r="S379" s="4"/>
      <c r="AB379" t="str">
        <v>RES-100377</v>
      </c>
      <c r="AC379">
        <v>45701</v>
      </c>
      <c r="AD379">
        <v>0.66597222222222219</v>
      </c>
      <c r="AE379" t="str">
        <v>Poblado</v>
      </c>
      <c r="AF379" t="str">
        <v>Recoge</v>
      </c>
      <c r="AG379" t="str">
        <v>Parrilla</v>
      </c>
      <c r="AH379">
        <v>2</v>
      </c>
      <c r="AI379">
        <v>67888.81</v>
      </c>
      <c r="AJ379">
        <v>3094.54</v>
      </c>
      <c r="AK379">
        <v>22</v>
      </c>
      <c r="AL379">
        <v>51</v>
      </c>
      <c r="AM379" t="str">
        <v>App</v>
      </c>
      <c r="AN379" t="str">
        <v>Reembolsada</v>
      </c>
      <c r="AO379">
        <v>5</v>
      </c>
    </row>
    <row r="380" spans="1:41" x14ac:dyDescent="0.3">
      <c r="A380" t="s">
        <v>413</v>
      </c>
      <c r="B380" s="8">
        <v>45702</v>
      </c>
      <c r="C380" s="2">
        <v>0.67083333333333328</v>
      </c>
      <c r="D380" t="s">
        <v>27</v>
      </c>
      <c r="E380" t="s">
        <v>16</v>
      </c>
      <c r="F380" t="s">
        <v>34</v>
      </c>
      <c r="G380">
        <v>2</v>
      </c>
      <c r="H380" s="6">
        <v>27206.17</v>
      </c>
      <c r="I380" s="6">
        <v>2329.08</v>
      </c>
      <c r="J380">
        <v>20</v>
      </c>
      <c r="K380">
        <v>24</v>
      </c>
      <c r="L380" t="s">
        <v>18</v>
      </c>
      <c r="M380" t="s">
        <v>19</v>
      </c>
      <c r="N380">
        <v>4</v>
      </c>
      <c r="O380" s="4"/>
      <c r="P380" s="4" t="str">
        <f>IF(Data_Set_2[[#This Row],[valor_bruto]]&gt;$W$13,"OUTLIER+","")</f>
        <v/>
      </c>
      <c r="Q380" s="4" t="str">
        <f>IF(Data_Set_2[[#This Row],[valor_bruto]]&lt;$W$14,"OUTLIER-","")</f>
        <v/>
      </c>
      <c r="R380" s="4"/>
      <c r="S380" s="4"/>
      <c r="AB380" t="str">
        <v>RES-100378</v>
      </c>
      <c r="AC380">
        <v>45702</v>
      </c>
      <c r="AD380">
        <v>0.67083333333333328</v>
      </c>
      <c r="AE380" t="str">
        <v>Centro</v>
      </c>
      <c r="AF380" t="str">
        <v>Mesa</v>
      </c>
      <c r="AG380" t="str">
        <v>Vegano</v>
      </c>
      <c r="AH380">
        <v>2</v>
      </c>
      <c r="AI380">
        <v>27206.17</v>
      </c>
      <c r="AJ380">
        <v>2329.08</v>
      </c>
      <c r="AK380">
        <v>20</v>
      </c>
      <c r="AL380">
        <v>24</v>
      </c>
      <c r="AM380" t="str">
        <v>Tarjeta</v>
      </c>
      <c r="AN380" t="str">
        <v>Entregada</v>
      </c>
      <c r="AO380">
        <v>4</v>
      </c>
    </row>
    <row r="381" spans="1:41" x14ac:dyDescent="0.3">
      <c r="A381" t="s">
        <v>414</v>
      </c>
      <c r="B381" s="8">
        <v>45703</v>
      </c>
      <c r="C381" s="2">
        <v>0.71736111111111112</v>
      </c>
      <c r="D381" t="s">
        <v>33</v>
      </c>
      <c r="E381" t="s">
        <v>22</v>
      </c>
      <c r="F381" t="s">
        <v>36</v>
      </c>
      <c r="G381">
        <v>3</v>
      </c>
      <c r="H381" s="6">
        <v>29142.39</v>
      </c>
      <c r="I381" s="6">
        <v>1264.71</v>
      </c>
      <c r="J381">
        <v>24</v>
      </c>
      <c r="K381">
        <v>42</v>
      </c>
      <c r="L381" t="s">
        <v>24</v>
      </c>
      <c r="M381" t="s">
        <v>25</v>
      </c>
      <c r="N381">
        <v>3</v>
      </c>
      <c r="O381" s="4"/>
      <c r="P381" s="4" t="str">
        <f>IF(Data_Set_2[[#This Row],[valor_bruto]]&gt;$W$13,"OUTLIER+","")</f>
        <v/>
      </c>
      <c r="Q381" s="4" t="str">
        <f>IF(Data_Set_2[[#This Row],[valor_bruto]]&lt;$W$14,"OUTLIER-","")</f>
        <v/>
      </c>
      <c r="R381" s="4"/>
      <c r="S381" s="4"/>
      <c r="AB381" t="str">
        <v>RES-100379</v>
      </c>
      <c r="AC381">
        <v>45703</v>
      </c>
      <c r="AD381">
        <v>0.71736111111111112</v>
      </c>
      <c r="AE381" t="str">
        <v>Envigado</v>
      </c>
      <c r="AF381" t="str">
        <v>Domicilio</v>
      </c>
      <c r="AG381" t="str">
        <v>Bebidas</v>
      </c>
      <c r="AH381">
        <v>3</v>
      </c>
      <c r="AI381">
        <v>29142.39</v>
      </c>
      <c r="AJ381">
        <v>1264.71</v>
      </c>
      <c r="AK381">
        <v>24</v>
      </c>
      <c r="AL381">
        <v>42</v>
      </c>
      <c r="AM381" t="str">
        <v>Efectivo</v>
      </c>
      <c r="AN381" t="str">
        <v>Cancelada</v>
      </c>
      <c r="AO381">
        <v>3</v>
      </c>
    </row>
    <row r="382" spans="1:41" x14ac:dyDescent="0.3">
      <c r="A382" t="s">
        <v>415</v>
      </c>
      <c r="B382" s="8">
        <v>45704</v>
      </c>
      <c r="C382" s="2">
        <v>0.76388888888888884</v>
      </c>
      <c r="D382" t="s">
        <v>15</v>
      </c>
      <c r="E382" t="s">
        <v>28</v>
      </c>
      <c r="F382" t="s">
        <v>17</v>
      </c>
      <c r="G382">
        <v>6</v>
      </c>
      <c r="H382" s="6">
        <v>57518.19</v>
      </c>
      <c r="I382" s="6">
        <v>6852.24</v>
      </c>
      <c r="J382">
        <v>18</v>
      </c>
      <c r="K382">
        <v>42</v>
      </c>
      <c r="L382" t="s">
        <v>30</v>
      </c>
      <c r="M382" t="s">
        <v>31</v>
      </c>
      <c r="N382">
        <v>3</v>
      </c>
      <c r="O382" s="4"/>
      <c r="P382" s="4" t="str">
        <f>IF(Data_Set_2[[#This Row],[valor_bruto]]&gt;$W$13,"OUTLIER+","")</f>
        <v/>
      </c>
      <c r="Q382" s="4" t="str">
        <f>IF(Data_Set_2[[#This Row],[valor_bruto]]&lt;$W$14,"OUTLIER-","")</f>
        <v/>
      </c>
      <c r="R382" s="4"/>
      <c r="S382" s="4"/>
      <c r="AB382" t="str">
        <v>RES-100380</v>
      </c>
      <c r="AC382">
        <v>45704</v>
      </c>
      <c r="AD382">
        <v>0.76388888888888884</v>
      </c>
      <c r="AE382" t="str">
        <v>Laureles</v>
      </c>
      <c r="AF382" t="str">
        <v>Recoge</v>
      </c>
      <c r="AG382" t="str">
        <v>Comida rapida</v>
      </c>
      <c r="AH382">
        <v>6</v>
      </c>
      <c r="AI382">
        <v>57518.19</v>
      </c>
      <c r="AJ382">
        <v>6852.24</v>
      </c>
      <c r="AK382">
        <v>18</v>
      </c>
      <c r="AL382">
        <v>42</v>
      </c>
      <c r="AM382" t="str">
        <v>App</v>
      </c>
      <c r="AN382" t="str">
        <v>Reembolsada</v>
      </c>
      <c r="AO382">
        <v>3</v>
      </c>
    </row>
    <row r="383" spans="1:41" x14ac:dyDescent="0.3">
      <c r="A383" t="s">
        <v>416</v>
      </c>
      <c r="B383" s="8">
        <v>45705</v>
      </c>
      <c r="C383" s="2">
        <v>0.81041666666666667</v>
      </c>
      <c r="D383" t="s">
        <v>21</v>
      </c>
      <c r="E383" t="s">
        <v>16</v>
      </c>
      <c r="F383" t="s">
        <v>23</v>
      </c>
      <c r="G383">
        <v>2</v>
      </c>
      <c r="H383" s="6">
        <v>58240.56</v>
      </c>
      <c r="I383" s="6">
        <v>3045.01</v>
      </c>
      <c r="J383">
        <v>29</v>
      </c>
      <c r="K383">
        <v>40</v>
      </c>
      <c r="L383" t="s">
        <v>18</v>
      </c>
      <c r="M383" t="s">
        <v>19</v>
      </c>
      <c r="N383">
        <v>3</v>
      </c>
      <c r="O383" s="4"/>
      <c r="P383" s="4" t="str">
        <f>IF(Data_Set_2[[#This Row],[valor_bruto]]&gt;$W$13,"OUTLIER+","")</f>
        <v/>
      </c>
      <c r="Q383" s="4" t="str">
        <f>IF(Data_Set_2[[#This Row],[valor_bruto]]&lt;$W$14,"OUTLIER-","")</f>
        <v/>
      </c>
      <c r="R383" s="4"/>
      <c r="S383" s="4"/>
      <c r="AB383" t="str">
        <v>RES-100381</v>
      </c>
      <c r="AC383">
        <v>45705</v>
      </c>
      <c r="AD383">
        <v>0.81041666666666667</v>
      </c>
      <c r="AE383" t="str">
        <v>Poblado</v>
      </c>
      <c r="AF383" t="str">
        <v>Mesa</v>
      </c>
      <c r="AG383" t="str">
        <v>Pasta</v>
      </c>
      <c r="AH383">
        <v>2</v>
      </c>
      <c r="AI383">
        <v>58240.56</v>
      </c>
      <c r="AJ383">
        <v>3045.01</v>
      </c>
      <c r="AK383">
        <v>29</v>
      </c>
      <c r="AL383">
        <v>40</v>
      </c>
      <c r="AM383" t="str">
        <v>Tarjeta</v>
      </c>
      <c r="AN383" t="str">
        <v>Entregada</v>
      </c>
      <c r="AO383">
        <v>3</v>
      </c>
    </row>
    <row r="384" spans="1:41" x14ac:dyDescent="0.3">
      <c r="A384" t="s">
        <v>417</v>
      </c>
      <c r="B384" s="8">
        <v>45706</v>
      </c>
      <c r="C384" s="2">
        <v>0.8569444444444444</v>
      </c>
      <c r="D384" t="s">
        <v>27</v>
      </c>
      <c r="E384" t="s">
        <v>22</v>
      </c>
      <c r="F384" t="s">
        <v>29</v>
      </c>
      <c r="G384">
        <v>2</v>
      </c>
      <c r="H384" s="6">
        <v>59651.42</v>
      </c>
      <c r="I384" s="6">
        <v>2986.85</v>
      </c>
      <c r="J384">
        <v>31</v>
      </c>
      <c r="K384">
        <v>27</v>
      </c>
      <c r="L384" t="s">
        <v>24</v>
      </c>
      <c r="M384" t="s">
        <v>25</v>
      </c>
      <c r="N384">
        <v>4</v>
      </c>
      <c r="O384" s="4"/>
      <c r="P384" s="4" t="str">
        <f>IF(Data_Set_2[[#This Row],[valor_bruto]]&gt;$W$13,"OUTLIER+","")</f>
        <v/>
      </c>
      <c r="Q384" s="4" t="str">
        <f>IF(Data_Set_2[[#This Row],[valor_bruto]]&lt;$W$14,"OUTLIER-","")</f>
        <v/>
      </c>
      <c r="R384" s="4"/>
      <c r="S384" s="4"/>
      <c r="AB384" t="str">
        <v>RES-100382</v>
      </c>
      <c r="AC384">
        <v>45706</v>
      </c>
      <c r="AD384">
        <v>0.8569444444444444</v>
      </c>
      <c r="AE384" t="str">
        <v>Centro</v>
      </c>
      <c r="AF384" t="str">
        <v>Domicilio</v>
      </c>
      <c r="AG384" t="str">
        <v>Parrilla</v>
      </c>
      <c r="AH384">
        <v>2</v>
      </c>
      <c r="AI384">
        <v>59651.42</v>
      </c>
      <c r="AJ384">
        <v>2986.85</v>
      </c>
      <c r="AK384">
        <v>31</v>
      </c>
      <c r="AL384">
        <v>27</v>
      </c>
      <c r="AM384" t="str">
        <v>Efectivo</v>
      </c>
      <c r="AN384" t="str">
        <v>Cancelada</v>
      </c>
      <c r="AO384">
        <v>4</v>
      </c>
    </row>
    <row r="385" spans="1:41" x14ac:dyDescent="0.3">
      <c r="A385" t="s">
        <v>418</v>
      </c>
      <c r="B385" s="8">
        <v>45707</v>
      </c>
      <c r="C385" s="2">
        <v>0.90347222222222223</v>
      </c>
      <c r="D385" t="s">
        <v>33</v>
      </c>
      <c r="E385" t="s">
        <v>28</v>
      </c>
      <c r="F385" t="s">
        <v>34</v>
      </c>
      <c r="G385">
        <v>3</v>
      </c>
      <c r="H385" s="6">
        <v>63576.14</v>
      </c>
      <c r="I385" s="6">
        <v>4949.1899999999996</v>
      </c>
      <c r="J385">
        <v>15</v>
      </c>
      <c r="K385">
        <v>46</v>
      </c>
      <c r="L385" t="s">
        <v>30</v>
      </c>
      <c r="M385" t="s">
        <v>31</v>
      </c>
      <c r="N385">
        <v>3</v>
      </c>
      <c r="O385" s="4"/>
      <c r="P385" s="4" t="str">
        <f>IF(Data_Set_2[[#This Row],[valor_bruto]]&gt;$W$13,"OUTLIER+","")</f>
        <v/>
      </c>
      <c r="Q385" s="4" t="str">
        <f>IF(Data_Set_2[[#This Row],[valor_bruto]]&lt;$W$14,"OUTLIER-","")</f>
        <v/>
      </c>
      <c r="R385" s="4"/>
      <c r="S385" s="4"/>
      <c r="AB385" t="str">
        <v>RES-100383</v>
      </c>
      <c r="AC385">
        <v>45707</v>
      </c>
      <c r="AD385">
        <v>0.90347222222222223</v>
      </c>
      <c r="AE385" t="str">
        <v>Envigado</v>
      </c>
      <c r="AF385" t="str">
        <v>Recoge</v>
      </c>
      <c r="AG385" t="str">
        <v>Vegano</v>
      </c>
      <c r="AH385">
        <v>3</v>
      </c>
      <c r="AI385">
        <v>63576.14</v>
      </c>
      <c r="AJ385">
        <v>4949.1899999999996</v>
      </c>
      <c r="AK385">
        <v>15</v>
      </c>
      <c r="AL385">
        <v>46</v>
      </c>
      <c r="AM385" t="str">
        <v>App</v>
      </c>
      <c r="AN385" t="str">
        <v>Reembolsada</v>
      </c>
      <c r="AO385">
        <v>3</v>
      </c>
    </row>
    <row r="386" spans="1:41" x14ac:dyDescent="0.3">
      <c r="A386" t="s">
        <v>419</v>
      </c>
      <c r="B386" s="8">
        <v>45708</v>
      </c>
      <c r="C386" s="2">
        <v>0.45</v>
      </c>
      <c r="D386" t="s">
        <v>15</v>
      </c>
      <c r="E386" t="s">
        <v>16</v>
      </c>
      <c r="F386" t="s">
        <v>36</v>
      </c>
      <c r="G386">
        <v>5</v>
      </c>
      <c r="H386" s="6">
        <v>46933.51</v>
      </c>
      <c r="I386" s="6">
        <v>4125</v>
      </c>
      <c r="J386">
        <v>14</v>
      </c>
      <c r="K386">
        <v>23</v>
      </c>
      <c r="L386" t="s">
        <v>18</v>
      </c>
      <c r="M386" t="s">
        <v>19</v>
      </c>
      <c r="N386">
        <v>5</v>
      </c>
      <c r="O386" s="4"/>
      <c r="P386" s="4" t="str">
        <f>IF(Data_Set_2[[#This Row],[valor_bruto]]&gt;$W$13,"OUTLIER+","")</f>
        <v/>
      </c>
      <c r="Q386" s="4" t="str">
        <f>IF(Data_Set_2[[#This Row],[valor_bruto]]&lt;$W$14,"OUTLIER-","")</f>
        <v/>
      </c>
      <c r="R386" s="4"/>
      <c r="S386" s="4"/>
      <c r="AB386" t="str">
        <v>RES-100384</v>
      </c>
      <c r="AC386">
        <v>45708</v>
      </c>
      <c r="AD386">
        <v>0.45</v>
      </c>
      <c r="AE386" t="str">
        <v>Laureles</v>
      </c>
      <c r="AF386" t="str">
        <v>Mesa</v>
      </c>
      <c r="AG386" t="str">
        <v>Bebidas</v>
      </c>
      <c r="AH386">
        <v>5</v>
      </c>
      <c r="AI386">
        <v>46933.51</v>
      </c>
      <c r="AJ386">
        <v>4125</v>
      </c>
      <c r="AK386">
        <v>14</v>
      </c>
      <c r="AL386">
        <v>23</v>
      </c>
      <c r="AM386" t="str">
        <v>Tarjeta</v>
      </c>
      <c r="AN386" t="str">
        <v>Entregada</v>
      </c>
      <c r="AO386">
        <v>5</v>
      </c>
    </row>
    <row r="387" spans="1:41" x14ac:dyDescent="0.3">
      <c r="A387" t="s">
        <v>420</v>
      </c>
      <c r="B387" s="8">
        <v>45709</v>
      </c>
      <c r="C387" s="2">
        <v>0.49652777777777779</v>
      </c>
      <c r="D387" t="s">
        <v>21</v>
      </c>
      <c r="E387" t="s">
        <v>22</v>
      </c>
      <c r="F387" t="s">
        <v>17</v>
      </c>
      <c r="G387">
        <v>6</v>
      </c>
      <c r="H387" s="6">
        <v>35842.449999999997</v>
      </c>
      <c r="I387" s="6">
        <v>7431.55</v>
      </c>
      <c r="J387">
        <v>14</v>
      </c>
      <c r="K387">
        <v>39</v>
      </c>
      <c r="L387" t="s">
        <v>24</v>
      </c>
      <c r="M387" t="s">
        <v>25</v>
      </c>
      <c r="N387">
        <v>3</v>
      </c>
      <c r="O387" s="4"/>
      <c r="P387" s="4" t="str">
        <f>IF(Data_Set_2[[#This Row],[valor_bruto]]&gt;$W$13,"OUTLIER+","")</f>
        <v/>
      </c>
      <c r="Q387" s="4" t="str">
        <f>IF(Data_Set_2[[#This Row],[valor_bruto]]&lt;$W$14,"OUTLIER-","")</f>
        <v/>
      </c>
      <c r="R387" s="4"/>
      <c r="S387" s="4"/>
      <c r="AB387" t="str">
        <v>RES-100385</v>
      </c>
      <c r="AC387">
        <v>45709</v>
      </c>
      <c r="AD387">
        <v>0.49652777777777779</v>
      </c>
      <c r="AE387" t="str">
        <v>Poblado</v>
      </c>
      <c r="AF387" t="str">
        <v>Domicilio</v>
      </c>
      <c r="AG387" t="str">
        <v>Comida rapida</v>
      </c>
      <c r="AH387">
        <v>6</v>
      </c>
      <c r="AI387">
        <v>35842.449999999997</v>
      </c>
      <c r="AJ387">
        <v>7431.55</v>
      </c>
      <c r="AK387">
        <v>14</v>
      </c>
      <c r="AL387">
        <v>39</v>
      </c>
      <c r="AM387" t="str">
        <v>Efectivo</v>
      </c>
      <c r="AN387" t="str">
        <v>Cancelada</v>
      </c>
      <c r="AO387">
        <v>3</v>
      </c>
    </row>
    <row r="388" spans="1:41" x14ac:dyDescent="0.3">
      <c r="A388" t="s">
        <v>421</v>
      </c>
      <c r="B388" s="8">
        <v>45710</v>
      </c>
      <c r="C388" s="2">
        <v>0.50138888888888888</v>
      </c>
      <c r="D388" t="s">
        <v>27</v>
      </c>
      <c r="E388" t="s">
        <v>28</v>
      </c>
      <c r="F388" t="s">
        <v>23</v>
      </c>
      <c r="G388">
        <v>4</v>
      </c>
      <c r="H388" s="6">
        <v>69775.13</v>
      </c>
      <c r="I388" s="6">
        <v>4727.76</v>
      </c>
      <c r="J388">
        <v>30</v>
      </c>
      <c r="K388">
        <v>28</v>
      </c>
      <c r="L388" t="s">
        <v>30</v>
      </c>
      <c r="M388" t="s">
        <v>31</v>
      </c>
      <c r="N388">
        <v>5</v>
      </c>
      <c r="O388" s="4"/>
      <c r="P388" s="4" t="str">
        <f>IF(Data_Set_2[[#This Row],[valor_bruto]]&gt;$W$13,"OUTLIER+","")</f>
        <v/>
      </c>
      <c r="Q388" s="4" t="str">
        <f>IF(Data_Set_2[[#This Row],[valor_bruto]]&lt;$W$14,"OUTLIER-","")</f>
        <v/>
      </c>
      <c r="R388" s="4"/>
      <c r="S388" s="4"/>
      <c r="AB388" t="str">
        <v>RES-100386</v>
      </c>
      <c r="AC388">
        <v>45710</v>
      </c>
      <c r="AD388">
        <v>0.50138888888888888</v>
      </c>
      <c r="AE388" t="str">
        <v>Centro</v>
      </c>
      <c r="AF388" t="str">
        <v>Recoge</v>
      </c>
      <c r="AG388" t="str">
        <v>Pasta</v>
      </c>
      <c r="AH388">
        <v>4</v>
      </c>
      <c r="AI388">
        <v>69775.13</v>
      </c>
      <c r="AJ388">
        <v>4727.76</v>
      </c>
      <c r="AK388">
        <v>30</v>
      </c>
      <c r="AL388">
        <v>28</v>
      </c>
      <c r="AM388" t="str">
        <v>App</v>
      </c>
      <c r="AN388" t="str">
        <v>Reembolsada</v>
      </c>
      <c r="AO388">
        <v>5</v>
      </c>
    </row>
    <row r="389" spans="1:41" x14ac:dyDescent="0.3">
      <c r="A389" t="s">
        <v>422</v>
      </c>
      <c r="B389" s="8">
        <v>45711</v>
      </c>
      <c r="C389" s="2">
        <v>0.54791666666666672</v>
      </c>
      <c r="D389" t="s">
        <v>33</v>
      </c>
      <c r="E389" t="s">
        <v>16</v>
      </c>
      <c r="F389" t="s">
        <v>29</v>
      </c>
      <c r="G389">
        <v>4</v>
      </c>
      <c r="H389" s="6">
        <v>50377.45</v>
      </c>
      <c r="I389" s="6">
        <v>4451.59</v>
      </c>
      <c r="J389">
        <v>29</v>
      </c>
      <c r="K389">
        <v>26</v>
      </c>
      <c r="L389" t="s">
        <v>18</v>
      </c>
      <c r="M389" t="s">
        <v>19</v>
      </c>
      <c r="N389">
        <v>4</v>
      </c>
      <c r="O389" s="4"/>
      <c r="P389" s="4" t="str">
        <f>IF(Data_Set_2[[#This Row],[valor_bruto]]&gt;$W$13,"OUTLIER+","")</f>
        <v/>
      </c>
      <c r="Q389" s="4" t="str">
        <f>IF(Data_Set_2[[#This Row],[valor_bruto]]&lt;$W$14,"OUTLIER-","")</f>
        <v/>
      </c>
      <c r="R389" s="4"/>
      <c r="S389" s="4"/>
      <c r="AB389" t="str">
        <v>RES-100387</v>
      </c>
      <c r="AC389">
        <v>45711</v>
      </c>
      <c r="AD389">
        <v>0.54791666666666672</v>
      </c>
      <c r="AE389" t="str">
        <v>Envigado</v>
      </c>
      <c r="AF389" t="str">
        <v>Mesa</v>
      </c>
      <c r="AG389" t="str">
        <v>Parrilla</v>
      </c>
      <c r="AH389">
        <v>4</v>
      </c>
      <c r="AI389">
        <v>50377.45</v>
      </c>
      <c r="AJ389">
        <v>4451.59</v>
      </c>
      <c r="AK389">
        <v>29</v>
      </c>
      <c r="AL389">
        <v>26</v>
      </c>
      <c r="AM389" t="str">
        <v>Tarjeta</v>
      </c>
      <c r="AN389" t="str">
        <v>Entregada</v>
      </c>
      <c r="AO389">
        <v>4</v>
      </c>
    </row>
    <row r="390" spans="1:41" x14ac:dyDescent="0.3">
      <c r="A390" t="s">
        <v>423</v>
      </c>
      <c r="B390" s="8">
        <v>45712</v>
      </c>
      <c r="C390" s="2">
        <v>0.59444444444444444</v>
      </c>
      <c r="D390" t="s">
        <v>15</v>
      </c>
      <c r="E390" t="s">
        <v>22</v>
      </c>
      <c r="F390" t="s">
        <v>34</v>
      </c>
      <c r="G390">
        <v>4</v>
      </c>
      <c r="H390" s="6">
        <v>61106.41</v>
      </c>
      <c r="I390" s="6">
        <v>2126.83</v>
      </c>
      <c r="J390">
        <v>14</v>
      </c>
      <c r="K390">
        <v>43</v>
      </c>
      <c r="L390" t="s">
        <v>24</v>
      </c>
      <c r="M390" t="s">
        <v>25</v>
      </c>
      <c r="N390">
        <v>5</v>
      </c>
      <c r="O390" s="4"/>
      <c r="P390" s="4" t="str">
        <f>IF(Data_Set_2[[#This Row],[valor_bruto]]&gt;$W$13,"OUTLIER+","")</f>
        <v/>
      </c>
      <c r="Q390" s="4" t="str">
        <f>IF(Data_Set_2[[#This Row],[valor_bruto]]&lt;$W$14,"OUTLIER-","")</f>
        <v/>
      </c>
      <c r="R390" s="4"/>
      <c r="S390" s="4"/>
      <c r="AB390" t="str">
        <v>RES-100388</v>
      </c>
      <c r="AC390">
        <v>45712</v>
      </c>
      <c r="AD390">
        <v>0.59444444444444444</v>
      </c>
      <c r="AE390" t="str">
        <v>Laureles</v>
      </c>
      <c r="AF390" t="str">
        <v>Domicilio</v>
      </c>
      <c r="AG390" t="str">
        <v>Vegano</v>
      </c>
      <c r="AH390">
        <v>4</v>
      </c>
      <c r="AI390">
        <v>61106.41</v>
      </c>
      <c r="AJ390">
        <v>2126.83</v>
      </c>
      <c r="AK390">
        <v>14</v>
      </c>
      <c r="AL390">
        <v>43</v>
      </c>
      <c r="AM390" t="str">
        <v>Efectivo</v>
      </c>
      <c r="AN390" t="str">
        <v>Cancelada</v>
      </c>
      <c r="AO390">
        <v>5</v>
      </c>
    </row>
    <row r="391" spans="1:41" x14ac:dyDescent="0.3">
      <c r="A391" t="s">
        <v>424</v>
      </c>
      <c r="B391" s="8">
        <v>45713</v>
      </c>
      <c r="C391" s="2">
        <v>0.64097222222222228</v>
      </c>
      <c r="D391" t="s">
        <v>21</v>
      </c>
      <c r="E391" t="s">
        <v>28</v>
      </c>
      <c r="F391" t="s">
        <v>36</v>
      </c>
      <c r="G391">
        <v>2</v>
      </c>
      <c r="H391" s="6">
        <v>48794.01</v>
      </c>
      <c r="I391" s="6">
        <v>6766.14</v>
      </c>
      <c r="J391">
        <v>29</v>
      </c>
      <c r="K391">
        <v>41</v>
      </c>
      <c r="L391" t="s">
        <v>30</v>
      </c>
      <c r="M391" t="s">
        <v>31</v>
      </c>
      <c r="N391">
        <v>5</v>
      </c>
      <c r="O391" s="4"/>
      <c r="P391" s="4" t="str">
        <f>IF(Data_Set_2[[#This Row],[valor_bruto]]&gt;$W$13,"OUTLIER+","")</f>
        <v/>
      </c>
      <c r="Q391" s="4" t="str">
        <f>IF(Data_Set_2[[#This Row],[valor_bruto]]&lt;$W$14,"OUTLIER-","")</f>
        <v/>
      </c>
      <c r="R391" s="4"/>
      <c r="S391" s="4"/>
      <c r="AB391" t="str">
        <v>RES-100389</v>
      </c>
      <c r="AC391">
        <v>45713</v>
      </c>
      <c r="AD391">
        <v>0.64097222222222228</v>
      </c>
      <c r="AE391" t="str">
        <v>Poblado</v>
      </c>
      <c r="AF391" t="str">
        <v>Recoge</v>
      </c>
      <c r="AG391" t="str">
        <v>Bebidas</v>
      </c>
      <c r="AH391">
        <v>2</v>
      </c>
      <c r="AI391">
        <v>48794.01</v>
      </c>
      <c r="AJ391">
        <v>6766.14</v>
      </c>
      <c r="AK391">
        <v>29</v>
      </c>
      <c r="AL391">
        <v>41</v>
      </c>
      <c r="AM391" t="str">
        <v>App</v>
      </c>
      <c r="AN391" t="str">
        <v>Reembolsada</v>
      </c>
      <c r="AO391">
        <v>5</v>
      </c>
    </row>
    <row r="392" spans="1:41" x14ac:dyDescent="0.3">
      <c r="A392" t="s">
        <v>425</v>
      </c>
      <c r="B392" s="8">
        <v>45714</v>
      </c>
      <c r="C392" s="2">
        <v>0.6875</v>
      </c>
      <c r="D392" t="s">
        <v>27</v>
      </c>
      <c r="E392" t="s">
        <v>16</v>
      </c>
      <c r="F392" t="s">
        <v>17</v>
      </c>
      <c r="G392">
        <v>2</v>
      </c>
      <c r="H392" s="6">
        <v>29615.52</v>
      </c>
      <c r="I392" s="6">
        <v>1720.86</v>
      </c>
      <c r="J392">
        <v>30</v>
      </c>
      <c r="K392">
        <v>35</v>
      </c>
      <c r="L392" t="s">
        <v>18</v>
      </c>
      <c r="M392" t="s">
        <v>19</v>
      </c>
      <c r="N392">
        <v>3</v>
      </c>
      <c r="O392" s="4"/>
      <c r="P392" s="4" t="str">
        <f>IF(Data_Set_2[[#This Row],[valor_bruto]]&gt;$W$13,"OUTLIER+","")</f>
        <v/>
      </c>
      <c r="Q392" s="4" t="str">
        <f>IF(Data_Set_2[[#This Row],[valor_bruto]]&lt;$W$14,"OUTLIER-","")</f>
        <v/>
      </c>
      <c r="R392" s="4"/>
      <c r="S392" s="4"/>
      <c r="AB392" t="str">
        <v>RES-100390</v>
      </c>
      <c r="AC392">
        <v>45714</v>
      </c>
      <c r="AD392">
        <v>0.6875</v>
      </c>
      <c r="AE392" t="str">
        <v>Centro</v>
      </c>
      <c r="AF392" t="str">
        <v>Mesa</v>
      </c>
      <c r="AG392" t="str">
        <v>Comida rapida</v>
      </c>
      <c r="AH392">
        <v>2</v>
      </c>
      <c r="AI392">
        <v>29615.52</v>
      </c>
      <c r="AJ392">
        <v>1720.86</v>
      </c>
      <c r="AK392">
        <v>30</v>
      </c>
      <c r="AL392">
        <v>35</v>
      </c>
      <c r="AM392" t="str">
        <v>Tarjeta</v>
      </c>
      <c r="AN392" t="str">
        <v>Entregada</v>
      </c>
      <c r="AO392">
        <v>3</v>
      </c>
    </row>
    <row r="393" spans="1:41" x14ac:dyDescent="0.3">
      <c r="A393" t="s">
        <v>426</v>
      </c>
      <c r="B393" s="8">
        <v>45715</v>
      </c>
      <c r="C393" s="2">
        <v>0.73402777777777772</v>
      </c>
      <c r="D393" t="s">
        <v>33</v>
      </c>
      <c r="E393" t="s">
        <v>22</v>
      </c>
      <c r="F393" t="s">
        <v>23</v>
      </c>
      <c r="G393">
        <v>2</v>
      </c>
      <c r="H393" s="6">
        <v>67650.52</v>
      </c>
      <c r="I393" s="6">
        <v>7443.36</v>
      </c>
      <c r="J393">
        <v>31</v>
      </c>
      <c r="K393">
        <v>34</v>
      </c>
      <c r="L393" t="s">
        <v>24</v>
      </c>
      <c r="M393" t="s">
        <v>25</v>
      </c>
      <c r="N393">
        <v>3</v>
      </c>
      <c r="O393" s="4"/>
      <c r="P393" s="4" t="str">
        <f>IF(Data_Set_2[[#This Row],[valor_bruto]]&gt;$W$13,"OUTLIER+","")</f>
        <v/>
      </c>
      <c r="Q393" s="4" t="str">
        <f>IF(Data_Set_2[[#This Row],[valor_bruto]]&lt;$W$14,"OUTLIER-","")</f>
        <v/>
      </c>
      <c r="R393" s="4"/>
      <c r="S393" s="4"/>
      <c r="AB393" t="str">
        <v>RES-100391</v>
      </c>
      <c r="AC393">
        <v>45715</v>
      </c>
      <c r="AD393">
        <v>0.73402777777777772</v>
      </c>
      <c r="AE393" t="str">
        <v>Envigado</v>
      </c>
      <c r="AF393" t="str">
        <v>Domicilio</v>
      </c>
      <c r="AG393" t="str">
        <v>Pasta</v>
      </c>
      <c r="AH393">
        <v>2</v>
      </c>
      <c r="AI393">
        <v>67650.52</v>
      </c>
      <c r="AJ393">
        <v>7443.36</v>
      </c>
      <c r="AK393">
        <v>31</v>
      </c>
      <c r="AL393">
        <v>34</v>
      </c>
      <c r="AM393" t="str">
        <v>Efectivo</v>
      </c>
      <c r="AN393" t="str">
        <v>Cancelada</v>
      </c>
      <c r="AO393">
        <v>3</v>
      </c>
    </row>
    <row r="394" spans="1:41" x14ac:dyDescent="0.3">
      <c r="A394" t="s">
        <v>427</v>
      </c>
      <c r="B394" s="8">
        <v>45716</v>
      </c>
      <c r="C394" s="2">
        <v>0.78055555555555556</v>
      </c>
      <c r="D394" t="s">
        <v>15</v>
      </c>
      <c r="E394" t="s">
        <v>28</v>
      </c>
      <c r="F394" t="s">
        <v>29</v>
      </c>
      <c r="G394">
        <v>4</v>
      </c>
      <c r="H394" s="6">
        <v>61742.98</v>
      </c>
      <c r="I394" s="6">
        <v>2975.62</v>
      </c>
      <c r="J394">
        <v>29</v>
      </c>
      <c r="K394">
        <v>25</v>
      </c>
      <c r="L394" t="s">
        <v>30</v>
      </c>
      <c r="M394" t="s">
        <v>31</v>
      </c>
      <c r="N394">
        <v>5</v>
      </c>
      <c r="O394" s="4"/>
      <c r="P394" s="4" t="str">
        <f>IF(Data_Set_2[[#This Row],[valor_bruto]]&gt;$W$13,"OUTLIER+","")</f>
        <v/>
      </c>
      <c r="Q394" s="4" t="str">
        <f>IF(Data_Set_2[[#This Row],[valor_bruto]]&lt;$W$14,"OUTLIER-","")</f>
        <v/>
      </c>
      <c r="R394" s="4"/>
      <c r="S394" s="4"/>
      <c r="AB394" t="str">
        <v>RES-100392</v>
      </c>
      <c r="AC394">
        <v>45716</v>
      </c>
      <c r="AD394">
        <v>0.78055555555555556</v>
      </c>
      <c r="AE394" t="str">
        <v>Laureles</v>
      </c>
      <c r="AF394" t="str">
        <v>Recoge</v>
      </c>
      <c r="AG394" t="str">
        <v>Parrilla</v>
      </c>
      <c r="AH394">
        <v>4</v>
      </c>
      <c r="AI394">
        <v>61742.98</v>
      </c>
      <c r="AJ394">
        <v>2975.62</v>
      </c>
      <c r="AK394">
        <v>29</v>
      </c>
      <c r="AL394">
        <v>25</v>
      </c>
      <c r="AM394" t="str">
        <v>App</v>
      </c>
      <c r="AN394" t="str">
        <v>Reembolsada</v>
      </c>
      <c r="AO394">
        <v>5</v>
      </c>
    </row>
    <row r="395" spans="1:41" x14ac:dyDescent="0.3">
      <c r="A395" t="s">
        <v>428</v>
      </c>
      <c r="B395" s="8">
        <v>45717</v>
      </c>
      <c r="C395" s="2">
        <v>0.82708333333333328</v>
      </c>
      <c r="D395" t="s">
        <v>21</v>
      </c>
      <c r="E395" t="s">
        <v>16</v>
      </c>
      <c r="F395" t="s">
        <v>34</v>
      </c>
      <c r="G395">
        <v>6</v>
      </c>
      <c r="H395" s="6">
        <v>52464.67</v>
      </c>
      <c r="I395" s="6">
        <v>5705.1</v>
      </c>
      <c r="J395">
        <v>15</v>
      </c>
      <c r="K395">
        <v>38</v>
      </c>
      <c r="L395" t="s">
        <v>18</v>
      </c>
      <c r="M395" t="s">
        <v>19</v>
      </c>
      <c r="N395">
        <v>5</v>
      </c>
      <c r="O395" s="4"/>
      <c r="P395" s="4" t="str">
        <f>IF(Data_Set_2[[#This Row],[valor_bruto]]&gt;$W$13,"OUTLIER+","")</f>
        <v/>
      </c>
      <c r="Q395" s="4" t="str">
        <f>IF(Data_Set_2[[#This Row],[valor_bruto]]&lt;$W$14,"OUTLIER-","")</f>
        <v/>
      </c>
      <c r="R395" s="4"/>
      <c r="S395" s="4"/>
      <c r="AB395" t="str">
        <v>RES-100393</v>
      </c>
      <c r="AC395">
        <v>45717</v>
      </c>
      <c r="AD395">
        <v>0.82708333333333328</v>
      </c>
      <c r="AE395" t="str">
        <v>Poblado</v>
      </c>
      <c r="AF395" t="str">
        <v>Mesa</v>
      </c>
      <c r="AG395" t="str">
        <v>Vegano</v>
      </c>
      <c r="AH395">
        <v>6</v>
      </c>
      <c r="AI395">
        <v>52464.67</v>
      </c>
      <c r="AJ395">
        <v>5705.1</v>
      </c>
      <c r="AK395">
        <v>15</v>
      </c>
      <c r="AL395">
        <v>38</v>
      </c>
      <c r="AM395" t="str">
        <v>Tarjeta</v>
      </c>
      <c r="AN395" t="str">
        <v>Entregada</v>
      </c>
      <c r="AO395">
        <v>5</v>
      </c>
    </row>
    <row r="396" spans="1:41" x14ac:dyDescent="0.3">
      <c r="A396" t="s">
        <v>429</v>
      </c>
      <c r="B396" s="8">
        <v>45718</v>
      </c>
      <c r="C396" s="2">
        <v>0.87361111111111112</v>
      </c>
      <c r="D396" t="s">
        <v>27</v>
      </c>
      <c r="E396" t="s">
        <v>22</v>
      </c>
      <c r="F396" t="s">
        <v>36</v>
      </c>
      <c r="G396">
        <v>6</v>
      </c>
      <c r="H396" s="6">
        <v>62496.63</v>
      </c>
      <c r="I396" s="6">
        <v>7080.8</v>
      </c>
      <c r="J396">
        <v>15</v>
      </c>
      <c r="K396">
        <v>45</v>
      </c>
      <c r="L396" t="s">
        <v>24</v>
      </c>
      <c r="M396" t="s">
        <v>25</v>
      </c>
      <c r="N396">
        <v>4</v>
      </c>
      <c r="O396" s="4"/>
      <c r="P396" s="4" t="str">
        <f>IF(Data_Set_2[[#This Row],[valor_bruto]]&gt;$W$13,"OUTLIER+","")</f>
        <v/>
      </c>
      <c r="Q396" s="4" t="str">
        <f>IF(Data_Set_2[[#This Row],[valor_bruto]]&lt;$W$14,"OUTLIER-","")</f>
        <v/>
      </c>
      <c r="R396" s="4"/>
      <c r="S396" s="4"/>
      <c r="AB396" t="str">
        <v>RES-100394</v>
      </c>
      <c r="AC396">
        <v>45718</v>
      </c>
      <c r="AD396">
        <v>0.87361111111111112</v>
      </c>
      <c r="AE396" t="str">
        <v>Centro</v>
      </c>
      <c r="AF396" t="str">
        <v>Domicilio</v>
      </c>
      <c r="AG396" t="str">
        <v>Bebidas</v>
      </c>
      <c r="AH396">
        <v>6</v>
      </c>
      <c r="AI396">
        <v>62496.63</v>
      </c>
      <c r="AJ396">
        <v>7080.8</v>
      </c>
      <c r="AK396">
        <v>15</v>
      </c>
      <c r="AL396">
        <v>45</v>
      </c>
      <c r="AM396" t="str">
        <v>Efectivo</v>
      </c>
      <c r="AN396" t="str">
        <v>Cancelada</v>
      </c>
      <c r="AO396">
        <v>4</v>
      </c>
    </row>
    <row r="397" spans="1:41" x14ac:dyDescent="0.3">
      <c r="A397" t="s">
        <v>430</v>
      </c>
      <c r="B397" s="8">
        <v>45719</v>
      </c>
      <c r="C397" s="2">
        <v>0.87847222222222221</v>
      </c>
      <c r="D397" t="s">
        <v>33</v>
      </c>
      <c r="E397" t="s">
        <v>28</v>
      </c>
      <c r="F397" t="s">
        <v>17</v>
      </c>
      <c r="G397">
        <v>6</v>
      </c>
      <c r="H397" s="6">
        <v>64428.58</v>
      </c>
      <c r="I397" s="6">
        <v>6021.94</v>
      </c>
      <c r="J397">
        <v>15</v>
      </c>
      <c r="K397">
        <v>49</v>
      </c>
      <c r="L397" t="s">
        <v>30</v>
      </c>
      <c r="M397" t="s">
        <v>31</v>
      </c>
      <c r="N397">
        <v>4</v>
      </c>
      <c r="O397" s="4"/>
      <c r="P397" s="4" t="str">
        <f>IF(Data_Set_2[[#This Row],[valor_bruto]]&gt;$W$13,"OUTLIER+","")</f>
        <v/>
      </c>
      <c r="Q397" s="4" t="str">
        <f>IF(Data_Set_2[[#This Row],[valor_bruto]]&lt;$W$14,"OUTLIER-","")</f>
        <v/>
      </c>
      <c r="R397" s="4"/>
      <c r="S397" s="4"/>
      <c r="AB397" t="str">
        <v>RES-100395</v>
      </c>
      <c r="AC397">
        <v>45719</v>
      </c>
      <c r="AD397">
        <v>0.87847222222222221</v>
      </c>
      <c r="AE397" t="str">
        <v>Envigado</v>
      </c>
      <c r="AF397" t="str">
        <v>Recoge</v>
      </c>
      <c r="AG397" t="str">
        <v>Comida rapida</v>
      </c>
      <c r="AH397">
        <v>6</v>
      </c>
      <c r="AI397">
        <v>64428.58</v>
      </c>
      <c r="AJ397">
        <v>6021.94</v>
      </c>
      <c r="AK397">
        <v>15</v>
      </c>
      <c r="AL397">
        <v>49</v>
      </c>
      <c r="AM397" t="str">
        <v>App</v>
      </c>
      <c r="AN397" t="str">
        <v>Reembolsada</v>
      </c>
      <c r="AO397">
        <v>4</v>
      </c>
    </row>
    <row r="398" spans="1:41" x14ac:dyDescent="0.3">
      <c r="A398" t="s">
        <v>431</v>
      </c>
      <c r="B398" s="8">
        <v>45720</v>
      </c>
      <c r="C398" s="2">
        <v>0.42499999999999999</v>
      </c>
      <c r="D398" t="s">
        <v>15</v>
      </c>
      <c r="E398" t="s">
        <v>16</v>
      </c>
      <c r="F398" t="s">
        <v>23</v>
      </c>
      <c r="G398">
        <v>5</v>
      </c>
      <c r="H398" s="6">
        <v>62958.559999999998</v>
      </c>
      <c r="I398" s="6">
        <v>1523.62</v>
      </c>
      <c r="J398">
        <v>28</v>
      </c>
      <c r="K398">
        <v>26</v>
      </c>
      <c r="L398" t="s">
        <v>18</v>
      </c>
      <c r="M398" t="s">
        <v>19</v>
      </c>
      <c r="N398">
        <v>4</v>
      </c>
      <c r="O398" s="4"/>
      <c r="P398" s="4" t="str">
        <f>IF(Data_Set_2[[#This Row],[valor_bruto]]&gt;$W$13,"OUTLIER+","")</f>
        <v/>
      </c>
      <c r="Q398" s="4" t="str">
        <f>IF(Data_Set_2[[#This Row],[valor_bruto]]&lt;$W$14,"OUTLIER-","")</f>
        <v/>
      </c>
      <c r="R398" s="4"/>
      <c r="S398" s="4"/>
      <c r="AB398" t="str">
        <v>RES-100396</v>
      </c>
      <c r="AC398">
        <v>45720</v>
      </c>
      <c r="AD398">
        <v>0.42499999999999999</v>
      </c>
      <c r="AE398" t="str">
        <v>Laureles</v>
      </c>
      <c r="AF398" t="str">
        <v>Mesa</v>
      </c>
      <c r="AG398" t="str">
        <v>Pasta</v>
      </c>
      <c r="AH398">
        <v>5</v>
      </c>
      <c r="AI398">
        <v>62958.559999999998</v>
      </c>
      <c r="AJ398">
        <v>1523.62</v>
      </c>
      <c r="AK398">
        <v>28</v>
      </c>
      <c r="AL398">
        <v>26</v>
      </c>
      <c r="AM398" t="str">
        <v>Tarjeta</v>
      </c>
      <c r="AN398" t="str">
        <v>Entregada</v>
      </c>
      <c r="AO398">
        <v>4</v>
      </c>
    </row>
    <row r="399" spans="1:41" x14ac:dyDescent="0.3">
      <c r="A399" t="s">
        <v>432</v>
      </c>
      <c r="B399" s="8">
        <v>45721</v>
      </c>
      <c r="C399" s="2">
        <v>0.47152777777777777</v>
      </c>
      <c r="D399" t="s">
        <v>21</v>
      </c>
      <c r="E399" t="s">
        <v>22</v>
      </c>
      <c r="F399" t="s">
        <v>29</v>
      </c>
      <c r="G399">
        <v>3</v>
      </c>
      <c r="H399" s="6">
        <v>48858.080000000002</v>
      </c>
      <c r="I399" s="6">
        <v>6550.01</v>
      </c>
      <c r="J399">
        <v>21</v>
      </c>
      <c r="K399">
        <v>38</v>
      </c>
      <c r="L399" t="s">
        <v>24</v>
      </c>
      <c r="M399" t="s">
        <v>25</v>
      </c>
      <c r="N399">
        <v>4</v>
      </c>
      <c r="O399" s="4"/>
      <c r="P399" s="4" t="str">
        <f>IF(Data_Set_2[[#This Row],[valor_bruto]]&gt;$W$13,"OUTLIER+","")</f>
        <v/>
      </c>
      <c r="Q399" s="4" t="str">
        <f>IF(Data_Set_2[[#This Row],[valor_bruto]]&lt;$W$14,"OUTLIER-","")</f>
        <v/>
      </c>
      <c r="R399" s="4"/>
      <c r="S399" s="4"/>
      <c r="AB399" t="str">
        <v>RES-100397</v>
      </c>
      <c r="AC399">
        <v>45721</v>
      </c>
      <c r="AD399">
        <v>0.47152777777777777</v>
      </c>
      <c r="AE399" t="str">
        <v>Poblado</v>
      </c>
      <c r="AF399" t="str">
        <v>Domicilio</v>
      </c>
      <c r="AG399" t="str">
        <v>Parrilla</v>
      </c>
      <c r="AH399">
        <v>3</v>
      </c>
      <c r="AI399">
        <v>48858.080000000002</v>
      </c>
      <c r="AJ399">
        <v>6550.01</v>
      </c>
      <c r="AK399">
        <v>21</v>
      </c>
      <c r="AL399">
        <v>38</v>
      </c>
      <c r="AM399" t="str">
        <v>Efectivo</v>
      </c>
      <c r="AN399" t="str">
        <v>Cancelada</v>
      </c>
      <c r="AO399">
        <v>4</v>
      </c>
    </row>
    <row r="400" spans="1:41" x14ac:dyDescent="0.3">
      <c r="A400" t="s">
        <v>433</v>
      </c>
      <c r="B400" s="8">
        <v>45811</v>
      </c>
      <c r="C400" s="2">
        <v>0.5180555555555556</v>
      </c>
      <c r="D400" t="s">
        <v>27</v>
      </c>
      <c r="E400" t="s">
        <v>28</v>
      </c>
      <c r="F400" t="s">
        <v>34</v>
      </c>
      <c r="G400">
        <v>5</v>
      </c>
      <c r="H400" s="6">
        <v>51598.97</v>
      </c>
      <c r="I400" s="6">
        <v>5346.22</v>
      </c>
      <c r="J400">
        <v>13</v>
      </c>
      <c r="K400">
        <v>36</v>
      </c>
      <c r="L400" t="s">
        <v>30</v>
      </c>
      <c r="M400" t="s">
        <v>31</v>
      </c>
      <c r="N400">
        <v>4</v>
      </c>
      <c r="O400" s="4"/>
      <c r="P400" s="4" t="str">
        <f>IF(Data_Set_2[[#This Row],[valor_bruto]]&gt;$W$13,"OUTLIER+","")</f>
        <v/>
      </c>
      <c r="Q400" s="4" t="str">
        <f>IF(Data_Set_2[[#This Row],[valor_bruto]]&lt;$W$14,"OUTLIER-","")</f>
        <v/>
      </c>
      <c r="R400" s="4"/>
      <c r="S400" s="4"/>
      <c r="AB400" t="str">
        <v>RES-100398</v>
      </c>
      <c r="AC400">
        <v>45811</v>
      </c>
      <c r="AD400">
        <v>0.5180555555555556</v>
      </c>
      <c r="AE400" t="str">
        <v>Centro</v>
      </c>
      <c r="AF400" t="str">
        <v>Recoge</v>
      </c>
      <c r="AG400" t="str">
        <v>Vegano</v>
      </c>
      <c r="AH400">
        <v>5</v>
      </c>
      <c r="AI400">
        <v>51598.97</v>
      </c>
      <c r="AJ400">
        <v>5346.22</v>
      </c>
      <c r="AK400">
        <v>13</v>
      </c>
      <c r="AL400">
        <v>36</v>
      </c>
      <c r="AM400" t="str">
        <v>App</v>
      </c>
      <c r="AN400" t="str">
        <v>Reembolsada</v>
      </c>
      <c r="AO400">
        <v>4</v>
      </c>
    </row>
    <row r="401" spans="1:41" x14ac:dyDescent="0.3">
      <c r="A401" t="s">
        <v>434</v>
      </c>
      <c r="B401" s="8">
        <v>45723</v>
      </c>
      <c r="C401" s="2">
        <v>0.56458333333333333</v>
      </c>
      <c r="D401" t="s">
        <v>33</v>
      </c>
      <c r="E401" t="s">
        <v>16</v>
      </c>
      <c r="F401" t="s">
        <v>36</v>
      </c>
      <c r="G401">
        <v>5</v>
      </c>
      <c r="H401" s="6">
        <v>50479.42</v>
      </c>
      <c r="I401" s="6">
        <v>7063.61</v>
      </c>
      <c r="J401">
        <v>26</v>
      </c>
      <c r="K401">
        <v>51</v>
      </c>
      <c r="L401" t="s">
        <v>18</v>
      </c>
      <c r="M401" t="s">
        <v>19</v>
      </c>
      <c r="N401">
        <v>5</v>
      </c>
      <c r="O401" s="4"/>
      <c r="P401" s="4" t="str">
        <f>IF(Data_Set_2[[#This Row],[valor_bruto]]&gt;$W$13,"OUTLIER+","")</f>
        <v/>
      </c>
      <c r="Q401" s="4" t="str">
        <f>IF(Data_Set_2[[#This Row],[valor_bruto]]&lt;$W$14,"OUTLIER-","")</f>
        <v/>
      </c>
      <c r="R401" s="4"/>
      <c r="S401" s="4"/>
      <c r="AB401" t="str">
        <v>RES-100399</v>
      </c>
      <c r="AC401">
        <v>45723</v>
      </c>
      <c r="AD401">
        <v>0.56458333333333333</v>
      </c>
      <c r="AE401" t="str">
        <v>Envigado</v>
      </c>
      <c r="AF401" t="str">
        <v>Mesa</v>
      </c>
      <c r="AG401" t="str">
        <v>Bebidas</v>
      </c>
      <c r="AH401">
        <v>5</v>
      </c>
      <c r="AI401">
        <v>50479.42</v>
      </c>
      <c r="AJ401">
        <v>7063.61</v>
      </c>
      <c r="AK401">
        <v>26</v>
      </c>
      <c r="AL401">
        <v>51</v>
      </c>
      <c r="AM401" t="str">
        <v>Tarjeta</v>
      </c>
      <c r="AN401" t="str">
        <v>Entregada</v>
      </c>
      <c r="AO401">
        <v>5</v>
      </c>
    </row>
    <row r="402" spans="1:41" x14ac:dyDescent="0.3">
      <c r="A402" t="s">
        <v>435</v>
      </c>
      <c r="B402" s="8">
        <v>45724</v>
      </c>
      <c r="C402" s="2">
        <v>0.61111111111111116</v>
      </c>
      <c r="D402" t="s">
        <v>15</v>
      </c>
      <c r="E402" t="s">
        <v>22</v>
      </c>
      <c r="F402" t="s">
        <v>17</v>
      </c>
      <c r="G402">
        <v>3</v>
      </c>
      <c r="H402" s="6">
        <v>48859.53</v>
      </c>
      <c r="I402" s="6">
        <v>4199.82</v>
      </c>
      <c r="J402">
        <v>27</v>
      </c>
      <c r="K402">
        <v>36</v>
      </c>
      <c r="L402" t="s">
        <v>24</v>
      </c>
      <c r="M402" t="s">
        <v>25</v>
      </c>
      <c r="N402">
        <v>3</v>
      </c>
      <c r="O402" s="4"/>
      <c r="P402" s="4" t="str">
        <f>IF(Data_Set_2[[#This Row],[valor_bruto]]&gt;$W$13,"OUTLIER+","")</f>
        <v/>
      </c>
      <c r="Q402" s="4" t="str">
        <f>IF(Data_Set_2[[#This Row],[valor_bruto]]&lt;$W$14,"OUTLIER-","")</f>
        <v/>
      </c>
      <c r="R402" s="4"/>
      <c r="S402" s="4"/>
      <c r="AB402" t="str">
        <v>RES-100400</v>
      </c>
      <c r="AC402">
        <v>45724</v>
      </c>
      <c r="AD402">
        <v>0.61111111111111116</v>
      </c>
      <c r="AE402" t="str">
        <v>Laureles</v>
      </c>
      <c r="AF402" t="str">
        <v>Domicilio</v>
      </c>
      <c r="AG402" t="str">
        <v>Comida rapida</v>
      </c>
      <c r="AH402">
        <v>3</v>
      </c>
      <c r="AI402">
        <v>48859.53</v>
      </c>
      <c r="AJ402">
        <v>4199.82</v>
      </c>
      <c r="AK402">
        <v>27</v>
      </c>
      <c r="AL402">
        <v>36</v>
      </c>
      <c r="AM402" t="str">
        <v>Efectivo</v>
      </c>
      <c r="AN402" t="str">
        <v>Cancelada</v>
      </c>
      <c r="AO402">
        <v>3</v>
      </c>
    </row>
    <row r="403" spans="1:41" x14ac:dyDescent="0.3">
      <c r="A403" t="s">
        <v>436</v>
      </c>
      <c r="B403" s="8">
        <v>45903</v>
      </c>
      <c r="C403" s="2">
        <v>0.65763888888888888</v>
      </c>
      <c r="D403" t="s">
        <v>21</v>
      </c>
      <c r="E403" t="s">
        <v>28</v>
      </c>
      <c r="F403" t="s">
        <v>23</v>
      </c>
      <c r="G403">
        <v>6</v>
      </c>
      <c r="H403" s="6">
        <v>42604.94</v>
      </c>
      <c r="I403" s="6">
        <v>2298.35</v>
      </c>
      <c r="J403">
        <v>22</v>
      </c>
      <c r="K403">
        <v>44</v>
      </c>
      <c r="L403" t="s">
        <v>30</v>
      </c>
      <c r="M403" t="s">
        <v>31</v>
      </c>
      <c r="N403">
        <v>4</v>
      </c>
      <c r="O403" s="4"/>
      <c r="P403" s="4" t="str">
        <f>IF(Data_Set_2[[#This Row],[valor_bruto]]&gt;$W$13,"OUTLIER+","")</f>
        <v/>
      </c>
      <c r="Q403" s="4" t="str">
        <f>IF(Data_Set_2[[#This Row],[valor_bruto]]&lt;$W$14,"OUTLIER-","")</f>
        <v/>
      </c>
      <c r="R403" s="4"/>
      <c r="S403" s="4"/>
      <c r="AB403" t="str">
        <v>RES-100401</v>
      </c>
      <c r="AC403">
        <v>45903</v>
      </c>
      <c r="AD403">
        <v>0.65763888888888888</v>
      </c>
      <c r="AE403" t="str">
        <v>Poblado</v>
      </c>
      <c r="AF403" t="str">
        <v>Recoge</v>
      </c>
      <c r="AG403" t="str">
        <v>Pasta</v>
      </c>
      <c r="AH403">
        <v>6</v>
      </c>
      <c r="AI403">
        <v>42604.94</v>
      </c>
      <c r="AJ403">
        <v>2298.35</v>
      </c>
      <c r="AK403">
        <v>22</v>
      </c>
      <c r="AL403">
        <v>44</v>
      </c>
      <c r="AM403" t="str">
        <v>App</v>
      </c>
      <c r="AN403" t="str">
        <v>Reembolsada</v>
      </c>
      <c r="AO403">
        <v>4</v>
      </c>
    </row>
    <row r="404" spans="1:41" x14ac:dyDescent="0.3">
      <c r="A404" t="s">
        <v>437</v>
      </c>
      <c r="B404" s="8">
        <v>45726</v>
      </c>
      <c r="C404" s="2">
        <v>0.70416666666666672</v>
      </c>
      <c r="D404" t="s">
        <v>27</v>
      </c>
      <c r="E404" t="s">
        <v>16</v>
      </c>
      <c r="F404" t="s">
        <v>29</v>
      </c>
      <c r="G404">
        <v>6</v>
      </c>
      <c r="H404" s="6">
        <v>66541.440000000002</v>
      </c>
      <c r="I404" s="6">
        <v>7686.93</v>
      </c>
      <c r="J404">
        <v>20</v>
      </c>
      <c r="K404">
        <v>48</v>
      </c>
      <c r="L404" t="s">
        <v>18</v>
      </c>
      <c r="M404" t="s">
        <v>19</v>
      </c>
      <c r="N404">
        <v>4</v>
      </c>
      <c r="O404" s="4"/>
      <c r="P404" s="4" t="str">
        <f>IF(Data_Set_2[[#This Row],[valor_bruto]]&gt;$W$13,"OUTLIER+","")</f>
        <v/>
      </c>
      <c r="Q404" s="4" t="str">
        <f>IF(Data_Set_2[[#This Row],[valor_bruto]]&lt;$W$14,"OUTLIER-","")</f>
        <v/>
      </c>
      <c r="R404" s="4"/>
      <c r="S404" s="4"/>
      <c r="AB404" t="str">
        <v>RES-100402</v>
      </c>
      <c r="AC404">
        <v>45726</v>
      </c>
      <c r="AD404">
        <v>0.70416666666666672</v>
      </c>
      <c r="AE404" t="str">
        <v>Centro</v>
      </c>
      <c r="AF404" t="str">
        <v>Mesa</v>
      </c>
      <c r="AG404" t="str">
        <v>Parrilla</v>
      </c>
      <c r="AH404">
        <v>6</v>
      </c>
      <c r="AI404">
        <v>66541.440000000002</v>
      </c>
      <c r="AJ404">
        <v>7686.93</v>
      </c>
      <c r="AK404">
        <v>20</v>
      </c>
      <c r="AL404">
        <v>48</v>
      </c>
      <c r="AM404" t="str">
        <v>Tarjeta</v>
      </c>
      <c r="AN404" t="str">
        <v>Entregada</v>
      </c>
      <c r="AO404">
        <v>4</v>
      </c>
    </row>
    <row r="405" spans="1:41" x14ac:dyDescent="0.3">
      <c r="A405" t="s">
        <v>438</v>
      </c>
      <c r="B405" s="8">
        <v>45727</v>
      </c>
      <c r="C405" s="2">
        <v>0.70902777777777781</v>
      </c>
      <c r="D405" t="s">
        <v>33</v>
      </c>
      <c r="E405" t="s">
        <v>22</v>
      </c>
      <c r="F405" t="s">
        <v>34</v>
      </c>
      <c r="G405">
        <v>6</v>
      </c>
      <c r="H405" s="6">
        <v>69734.720000000001</v>
      </c>
      <c r="I405" s="6">
        <v>5740.05</v>
      </c>
      <c r="J405">
        <v>19</v>
      </c>
      <c r="K405">
        <v>45</v>
      </c>
      <c r="L405" t="s">
        <v>24</v>
      </c>
      <c r="M405" t="s">
        <v>25</v>
      </c>
      <c r="N405">
        <v>5</v>
      </c>
      <c r="O405" s="4"/>
      <c r="P405" s="4" t="str">
        <f>IF(Data_Set_2[[#This Row],[valor_bruto]]&gt;$W$13,"OUTLIER+","")</f>
        <v/>
      </c>
      <c r="Q405" s="4" t="str">
        <f>IF(Data_Set_2[[#This Row],[valor_bruto]]&lt;$W$14,"OUTLIER-","")</f>
        <v/>
      </c>
      <c r="R405" s="4"/>
      <c r="S405" s="4"/>
      <c r="AB405" t="str">
        <v>RES-100403</v>
      </c>
      <c r="AC405">
        <v>45727</v>
      </c>
      <c r="AD405">
        <v>0.70902777777777781</v>
      </c>
      <c r="AE405" t="str">
        <v>Envigado</v>
      </c>
      <c r="AF405" t="str">
        <v>Domicilio</v>
      </c>
      <c r="AG405" t="str">
        <v>Vegano</v>
      </c>
      <c r="AH405">
        <v>6</v>
      </c>
      <c r="AI405">
        <v>69734.720000000001</v>
      </c>
      <c r="AJ405">
        <v>5740.05</v>
      </c>
      <c r="AK405">
        <v>19</v>
      </c>
      <c r="AL405">
        <v>45</v>
      </c>
      <c r="AM405" t="str">
        <v>Efectivo</v>
      </c>
      <c r="AN405" t="str">
        <v>Cancelada</v>
      </c>
      <c r="AO405">
        <v>5</v>
      </c>
    </row>
    <row r="406" spans="1:41" x14ac:dyDescent="0.3">
      <c r="A406" t="s">
        <v>439</v>
      </c>
      <c r="B406" s="8">
        <v>45994</v>
      </c>
      <c r="C406" s="2">
        <v>0.75555555555555554</v>
      </c>
      <c r="D406" t="s">
        <v>15</v>
      </c>
      <c r="E406" t="s">
        <v>28</v>
      </c>
      <c r="F406" t="s">
        <v>36</v>
      </c>
      <c r="G406">
        <v>5</v>
      </c>
      <c r="H406" s="6">
        <v>49610.239999999998</v>
      </c>
      <c r="I406" s="6">
        <v>4799.74</v>
      </c>
      <c r="J406">
        <v>24</v>
      </c>
      <c r="K406">
        <v>48</v>
      </c>
      <c r="L406" t="s">
        <v>30</v>
      </c>
      <c r="M406" t="s">
        <v>31</v>
      </c>
      <c r="N406">
        <v>3</v>
      </c>
      <c r="O406" s="4"/>
      <c r="P406" s="4" t="str">
        <f>IF(Data_Set_2[[#This Row],[valor_bruto]]&gt;$W$13,"OUTLIER+","")</f>
        <v/>
      </c>
      <c r="Q406" s="4" t="str">
        <f>IF(Data_Set_2[[#This Row],[valor_bruto]]&lt;$W$14,"OUTLIER-","")</f>
        <v/>
      </c>
      <c r="R406" s="4"/>
      <c r="S406" s="4"/>
      <c r="AB406" t="str">
        <v>RES-100404</v>
      </c>
      <c r="AC406">
        <v>45994</v>
      </c>
      <c r="AD406">
        <v>0.75555555555555554</v>
      </c>
      <c r="AE406" t="str">
        <v>Laureles</v>
      </c>
      <c r="AF406" t="str">
        <v>Recoge</v>
      </c>
      <c r="AG406" t="str">
        <v>Bebidas</v>
      </c>
      <c r="AH406">
        <v>5</v>
      </c>
      <c r="AI406">
        <v>49610.239999999998</v>
      </c>
      <c r="AJ406">
        <v>4799.74</v>
      </c>
      <c r="AK406">
        <v>24</v>
      </c>
      <c r="AL406">
        <v>48</v>
      </c>
      <c r="AM406" t="str">
        <v>App</v>
      </c>
      <c r="AN406" t="str">
        <v>Reembolsada</v>
      </c>
      <c r="AO406">
        <v>3</v>
      </c>
    </row>
    <row r="407" spans="1:41" x14ac:dyDescent="0.3">
      <c r="A407" t="s">
        <v>440</v>
      </c>
      <c r="B407" s="8">
        <v>45729</v>
      </c>
      <c r="C407" s="2">
        <v>0.80208333333333337</v>
      </c>
      <c r="D407" t="s">
        <v>21</v>
      </c>
      <c r="E407" t="s">
        <v>16</v>
      </c>
      <c r="F407" t="s">
        <v>17</v>
      </c>
      <c r="G407">
        <v>6</v>
      </c>
      <c r="H407" s="6">
        <v>46185.05</v>
      </c>
      <c r="I407" s="6">
        <v>8039.84</v>
      </c>
      <c r="J407">
        <v>20</v>
      </c>
      <c r="K407">
        <v>34</v>
      </c>
      <c r="L407" t="s">
        <v>18</v>
      </c>
      <c r="M407" t="s">
        <v>19</v>
      </c>
      <c r="N407">
        <v>5</v>
      </c>
      <c r="O407" s="4"/>
      <c r="P407" s="4" t="str">
        <f>IF(Data_Set_2[[#This Row],[valor_bruto]]&gt;$W$13,"OUTLIER+","")</f>
        <v/>
      </c>
      <c r="Q407" s="4" t="str">
        <f>IF(Data_Set_2[[#This Row],[valor_bruto]]&lt;$W$14,"OUTLIER-","")</f>
        <v/>
      </c>
      <c r="R407" s="4"/>
      <c r="S407" s="4"/>
      <c r="AB407" t="str">
        <v>RES-100405</v>
      </c>
      <c r="AC407">
        <v>45729</v>
      </c>
      <c r="AD407">
        <v>0.80208333333333337</v>
      </c>
      <c r="AE407" t="str">
        <v>Poblado</v>
      </c>
      <c r="AF407" t="str">
        <v>Mesa</v>
      </c>
      <c r="AG407" t="str">
        <v>Comida rapida</v>
      </c>
      <c r="AH407">
        <v>6</v>
      </c>
      <c r="AI407">
        <v>46185.05</v>
      </c>
      <c r="AJ407">
        <v>8039.84</v>
      </c>
      <c r="AK407">
        <v>20</v>
      </c>
      <c r="AL407">
        <v>34</v>
      </c>
      <c r="AM407" t="str">
        <v>Tarjeta</v>
      </c>
      <c r="AN407" t="str">
        <v>Entregada</v>
      </c>
      <c r="AO407">
        <v>5</v>
      </c>
    </row>
    <row r="408" spans="1:41" x14ac:dyDescent="0.3">
      <c r="A408" t="s">
        <v>441</v>
      </c>
      <c r="B408" s="8">
        <v>45730</v>
      </c>
      <c r="C408" s="2">
        <v>0.84861111111111109</v>
      </c>
      <c r="D408" t="s">
        <v>27</v>
      </c>
      <c r="E408" t="s">
        <v>22</v>
      </c>
      <c r="F408" t="s">
        <v>23</v>
      </c>
      <c r="G408">
        <v>3</v>
      </c>
      <c r="H408" s="6">
        <v>45188.22</v>
      </c>
      <c r="I408" s="6">
        <v>8491.74</v>
      </c>
      <c r="J408">
        <v>13</v>
      </c>
      <c r="K408">
        <v>48</v>
      </c>
      <c r="L408" t="s">
        <v>24</v>
      </c>
      <c r="M408" t="s">
        <v>25</v>
      </c>
      <c r="N408">
        <v>4</v>
      </c>
      <c r="O408" s="4"/>
      <c r="P408" s="4" t="str">
        <f>IF(Data_Set_2[[#This Row],[valor_bruto]]&gt;$W$13,"OUTLIER+","")</f>
        <v/>
      </c>
      <c r="Q408" s="4" t="str">
        <f>IF(Data_Set_2[[#This Row],[valor_bruto]]&lt;$W$14,"OUTLIER-","")</f>
        <v/>
      </c>
      <c r="R408" s="4"/>
      <c r="S408" s="4"/>
      <c r="AB408" t="str">
        <v>RES-100406</v>
      </c>
      <c r="AC408">
        <v>45730</v>
      </c>
      <c r="AD408">
        <v>0.84861111111111109</v>
      </c>
      <c r="AE408" t="str">
        <v>Centro</v>
      </c>
      <c r="AF408" t="str">
        <v>Domicilio</v>
      </c>
      <c r="AG408" t="str">
        <v>Pasta</v>
      </c>
      <c r="AH408">
        <v>3</v>
      </c>
      <c r="AI408">
        <v>45188.22</v>
      </c>
      <c r="AJ408">
        <v>8491.74</v>
      </c>
      <c r="AK408">
        <v>13</v>
      </c>
      <c r="AL408">
        <v>48</v>
      </c>
      <c r="AM408" t="str">
        <v>Efectivo</v>
      </c>
      <c r="AN408" t="str">
        <v>Cancelada</v>
      </c>
      <c r="AO408">
        <v>4</v>
      </c>
    </row>
    <row r="409" spans="1:41" x14ac:dyDescent="0.3">
      <c r="A409" t="s">
        <v>442</v>
      </c>
      <c r="B409" s="8">
        <v>45731</v>
      </c>
      <c r="C409" s="2">
        <v>0.89513888888888893</v>
      </c>
      <c r="D409" t="s">
        <v>33</v>
      </c>
      <c r="E409" t="s">
        <v>28</v>
      </c>
      <c r="F409" t="s">
        <v>29</v>
      </c>
      <c r="G409">
        <v>5</v>
      </c>
      <c r="H409" s="6">
        <v>48023.17</v>
      </c>
      <c r="I409" s="6">
        <v>5355.07</v>
      </c>
      <c r="J409">
        <v>14</v>
      </c>
      <c r="K409">
        <v>28</v>
      </c>
      <c r="L409" t="s">
        <v>30</v>
      </c>
      <c r="M409" t="s">
        <v>31</v>
      </c>
      <c r="N409">
        <v>4</v>
      </c>
      <c r="O409" s="4"/>
      <c r="P409" s="4" t="str">
        <f>IF(Data_Set_2[[#This Row],[valor_bruto]]&gt;$W$13,"OUTLIER+","")</f>
        <v/>
      </c>
      <c r="Q409" s="4" t="str">
        <f>IF(Data_Set_2[[#This Row],[valor_bruto]]&lt;$W$14,"OUTLIER-","")</f>
        <v/>
      </c>
      <c r="R409" s="4"/>
      <c r="S409" s="4"/>
      <c r="AB409" t="str">
        <v>RES-100407</v>
      </c>
      <c r="AC409">
        <v>45731</v>
      </c>
      <c r="AD409">
        <v>0.89513888888888893</v>
      </c>
      <c r="AE409" t="str">
        <v>Envigado</v>
      </c>
      <c r="AF409" t="str">
        <v>Recoge</v>
      </c>
      <c r="AG409" t="str">
        <v>Parrilla</v>
      </c>
      <c r="AH409">
        <v>5</v>
      </c>
      <c r="AI409">
        <v>48023.17</v>
      </c>
      <c r="AJ409">
        <v>5355.07</v>
      </c>
      <c r="AK409">
        <v>14</v>
      </c>
      <c r="AL409">
        <v>28</v>
      </c>
      <c r="AM409" t="str">
        <v>App</v>
      </c>
      <c r="AN409" t="str">
        <v>Reembolsada</v>
      </c>
      <c r="AO409">
        <v>4</v>
      </c>
    </row>
    <row r="410" spans="1:41" x14ac:dyDescent="0.3">
      <c r="A410" t="s">
        <v>443</v>
      </c>
      <c r="B410" s="8">
        <v>45732</v>
      </c>
      <c r="C410" s="2">
        <v>0.44166666666666665</v>
      </c>
      <c r="D410" t="s">
        <v>15</v>
      </c>
      <c r="E410" t="s">
        <v>16</v>
      </c>
      <c r="F410" t="s">
        <v>34</v>
      </c>
      <c r="G410">
        <v>6</v>
      </c>
      <c r="H410" s="6">
        <v>5356.85</v>
      </c>
      <c r="I410" s="6">
        <v>5248.05</v>
      </c>
      <c r="J410">
        <v>24</v>
      </c>
      <c r="K410">
        <v>43</v>
      </c>
      <c r="L410" t="s">
        <v>18</v>
      </c>
      <c r="M410" t="s">
        <v>19</v>
      </c>
      <c r="N410">
        <v>5</v>
      </c>
      <c r="O410" s="4"/>
      <c r="P410" s="4" t="str">
        <f>IF(Data_Set_2[[#This Row],[valor_bruto]]&gt;$W$13,"OUTLIER+","")</f>
        <v/>
      </c>
      <c r="Q410" s="4" t="str">
        <f>IF(Data_Set_2[[#This Row],[valor_bruto]]&lt;$W$14,"OUTLIER-","")</f>
        <v>OUTLIER-</v>
      </c>
      <c r="R410" s="4"/>
      <c r="S410" s="4"/>
      <c r="AB410" t="str">
        <v>RES-100408</v>
      </c>
      <c r="AC410">
        <v>45732</v>
      </c>
      <c r="AD410">
        <v>0.44166666666666665</v>
      </c>
      <c r="AE410" t="str">
        <v>Laureles</v>
      </c>
      <c r="AF410" t="str">
        <v>Mesa</v>
      </c>
      <c r="AG410" t="str">
        <v>Vegano</v>
      </c>
      <c r="AH410">
        <v>6</v>
      </c>
      <c r="AI410">
        <v>5356.85</v>
      </c>
      <c r="AJ410">
        <v>5248.05</v>
      </c>
      <c r="AK410">
        <v>24</v>
      </c>
      <c r="AL410">
        <v>43</v>
      </c>
      <c r="AM410" t="str">
        <v>Tarjeta</v>
      </c>
      <c r="AN410" t="str">
        <v>Entregada</v>
      </c>
      <c r="AO410">
        <v>5</v>
      </c>
    </row>
    <row r="411" spans="1:41" x14ac:dyDescent="0.3">
      <c r="A411" t="s">
        <v>444</v>
      </c>
      <c r="B411" s="8">
        <v>45733</v>
      </c>
      <c r="C411" s="2">
        <v>0.48819444444444443</v>
      </c>
      <c r="D411" t="s">
        <v>21</v>
      </c>
      <c r="E411" t="s">
        <v>22</v>
      </c>
      <c r="F411" t="s">
        <v>36</v>
      </c>
      <c r="G411">
        <v>6</v>
      </c>
      <c r="H411" s="6">
        <v>39408.39</v>
      </c>
      <c r="I411" s="6">
        <v>2486.9699999999998</v>
      </c>
      <c r="J411">
        <v>14</v>
      </c>
      <c r="K411">
        <v>50</v>
      </c>
      <c r="L411" t="s">
        <v>24</v>
      </c>
      <c r="M411" t="s">
        <v>25</v>
      </c>
      <c r="N411">
        <v>3</v>
      </c>
      <c r="O411" s="4"/>
      <c r="P411" s="4" t="str">
        <f>IF(Data_Set_2[[#This Row],[valor_bruto]]&gt;$W$13,"OUTLIER+","")</f>
        <v/>
      </c>
      <c r="Q411" s="4" t="str">
        <f>IF(Data_Set_2[[#This Row],[valor_bruto]]&lt;$W$14,"OUTLIER-","")</f>
        <v/>
      </c>
      <c r="R411" s="4"/>
      <c r="S411" s="4"/>
      <c r="AB411" t="str">
        <v>RES-100409</v>
      </c>
      <c r="AC411">
        <v>45733</v>
      </c>
      <c r="AD411">
        <v>0.48819444444444443</v>
      </c>
      <c r="AE411" t="str">
        <v>Poblado</v>
      </c>
      <c r="AF411" t="str">
        <v>Domicilio</v>
      </c>
      <c r="AG411" t="str">
        <v>Bebidas</v>
      </c>
      <c r="AH411">
        <v>6</v>
      </c>
      <c r="AI411">
        <v>39408.39</v>
      </c>
      <c r="AJ411">
        <v>2486.9699999999998</v>
      </c>
      <c r="AK411">
        <v>14</v>
      </c>
      <c r="AL411">
        <v>50</v>
      </c>
      <c r="AM411" t="str">
        <v>Efectivo</v>
      </c>
      <c r="AN411" t="str">
        <v>Cancelada</v>
      </c>
      <c r="AO411">
        <v>3</v>
      </c>
    </row>
    <row r="412" spans="1:41" x14ac:dyDescent="0.3">
      <c r="A412" t="s">
        <v>445</v>
      </c>
      <c r="B412" s="8">
        <v>45734</v>
      </c>
      <c r="C412" s="2">
        <v>0.53472222222222221</v>
      </c>
      <c r="D412" t="s">
        <v>27</v>
      </c>
      <c r="E412" t="s">
        <v>28</v>
      </c>
      <c r="F412" t="s">
        <v>17</v>
      </c>
      <c r="G412">
        <v>5</v>
      </c>
      <c r="H412" s="6">
        <v>36674</v>
      </c>
      <c r="I412" s="6">
        <v>1751.75</v>
      </c>
      <c r="J412">
        <v>20</v>
      </c>
      <c r="K412">
        <v>261</v>
      </c>
      <c r="L412" t="s">
        <v>30</v>
      </c>
      <c r="M412" t="s">
        <v>31</v>
      </c>
      <c r="N412">
        <v>4</v>
      </c>
      <c r="O412" s="4"/>
      <c r="P412" s="4" t="str">
        <f>IF(Data_Set_2[[#This Row],[valor_bruto]]&gt;$W$13,"OUTLIER+","")</f>
        <v/>
      </c>
      <c r="Q412" s="4" t="str">
        <f>IF(Data_Set_2[[#This Row],[valor_bruto]]&lt;$W$14,"OUTLIER-","")</f>
        <v/>
      </c>
      <c r="R412" s="4"/>
      <c r="S412" s="4"/>
      <c r="AB412" t="str">
        <v>RES-100410</v>
      </c>
      <c r="AC412">
        <v>45734</v>
      </c>
      <c r="AD412">
        <v>0.53472222222222221</v>
      </c>
      <c r="AE412" t="str">
        <v>Centro</v>
      </c>
      <c r="AF412" t="str">
        <v>Recoge</v>
      </c>
      <c r="AG412" t="str">
        <v>Comida rapida</v>
      </c>
      <c r="AH412">
        <v>5</v>
      </c>
      <c r="AI412">
        <v>36674</v>
      </c>
      <c r="AJ412">
        <v>1751.75</v>
      </c>
      <c r="AK412">
        <v>20</v>
      </c>
      <c r="AL412">
        <v>261</v>
      </c>
      <c r="AM412" t="str">
        <v>App</v>
      </c>
      <c r="AN412" t="str">
        <v>Reembolsada</v>
      </c>
      <c r="AO412">
        <v>4</v>
      </c>
    </row>
    <row r="413" spans="1:41" x14ac:dyDescent="0.3">
      <c r="A413" t="s">
        <v>446</v>
      </c>
      <c r="B413" s="8">
        <v>45735</v>
      </c>
      <c r="C413" s="2">
        <v>0.58125000000000004</v>
      </c>
      <c r="D413" t="s">
        <v>33</v>
      </c>
      <c r="E413" t="s">
        <v>16</v>
      </c>
      <c r="F413" t="s">
        <v>23</v>
      </c>
      <c r="G413">
        <v>5</v>
      </c>
      <c r="H413" s="6">
        <v>37730.53</v>
      </c>
      <c r="I413" s="6">
        <v>6399.32</v>
      </c>
      <c r="J413">
        <v>21</v>
      </c>
      <c r="K413">
        <v>53</v>
      </c>
      <c r="L413" t="s">
        <v>18</v>
      </c>
      <c r="M413" t="s">
        <v>19</v>
      </c>
      <c r="N413">
        <v>4</v>
      </c>
      <c r="O413" s="4"/>
      <c r="P413" s="4" t="str">
        <f>IF(Data_Set_2[[#This Row],[valor_bruto]]&gt;$W$13,"OUTLIER+","")</f>
        <v/>
      </c>
      <c r="Q413" s="4" t="str">
        <f>IF(Data_Set_2[[#This Row],[valor_bruto]]&lt;$W$14,"OUTLIER-","")</f>
        <v/>
      </c>
      <c r="R413" s="4"/>
      <c r="S413" s="4"/>
      <c r="AB413" t="str">
        <v>RES-100411</v>
      </c>
      <c r="AC413">
        <v>45735</v>
      </c>
      <c r="AD413">
        <v>0.58125000000000004</v>
      </c>
      <c r="AE413" t="str">
        <v>Envigado</v>
      </c>
      <c r="AF413" t="str">
        <v>Mesa</v>
      </c>
      <c r="AG413" t="str">
        <v>Pasta</v>
      </c>
      <c r="AH413">
        <v>5</v>
      </c>
      <c r="AI413">
        <v>37730.53</v>
      </c>
      <c r="AJ413">
        <v>6399.32</v>
      </c>
      <c r="AK413">
        <v>21</v>
      </c>
      <c r="AL413">
        <v>53</v>
      </c>
      <c r="AM413" t="str">
        <v>Tarjeta</v>
      </c>
      <c r="AN413" t="str">
        <v>Entregada</v>
      </c>
      <c r="AO413">
        <v>4</v>
      </c>
    </row>
    <row r="414" spans="1:41" x14ac:dyDescent="0.3">
      <c r="A414" t="s">
        <v>447</v>
      </c>
      <c r="B414" s="8">
        <v>45736</v>
      </c>
      <c r="C414" s="2">
        <v>0.58611111111111114</v>
      </c>
      <c r="D414" t="s">
        <v>15</v>
      </c>
      <c r="E414" t="s">
        <v>22</v>
      </c>
      <c r="F414" t="s">
        <v>29</v>
      </c>
      <c r="G414">
        <v>3</v>
      </c>
      <c r="H414" s="6">
        <v>55562.66</v>
      </c>
      <c r="I414" s="6">
        <v>6456.46</v>
      </c>
      <c r="J414">
        <v>17</v>
      </c>
      <c r="K414">
        <v>48</v>
      </c>
      <c r="L414" t="s">
        <v>24</v>
      </c>
      <c r="M414" t="s">
        <v>25</v>
      </c>
      <c r="N414">
        <v>4</v>
      </c>
      <c r="O414" s="4"/>
      <c r="P414" s="4" t="str">
        <f>IF(Data_Set_2[[#This Row],[valor_bruto]]&gt;$W$13,"OUTLIER+","")</f>
        <v/>
      </c>
      <c r="Q414" s="4" t="str">
        <f>IF(Data_Set_2[[#This Row],[valor_bruto]]&lt;$W$14,"OUTLIER-","")</f>
        <v/>
      </c>
      <c r="R414" s="4"/>
      <c r="S414" s="4"/>
      <c r="AB414" t="str">
        <v>RES-100412</v>
      </c>
      <c r="AC414">
        <v>45736</v>
      </c>
      <c r="AD414">
        <v>0.58611111111111114</v>
      </c>
      <c r="AE414" t="str">
        <v>Laureles</v>
      </c>
      <c r="AF414" t="str">
        <v>Domicilio</v>
      </c>
      <c r="AG414" t="str">
        <v>Parrilla</v>
      </c>
      <c r="AH414">
        <v>3</v>
      </c>
      <c r="AI414">
        <v>55562.66</v>
      </c>
      <c r="AJ414">
        <v>6456.46</v>
      </c>
      <c r="AK414">
        <v>17</v>
      </c>
      <c r="AL414">
        <v>48</v>
      </c>
      <c r="AM414" t="str">
        <v>Efectivo</v>
      </c>
      <c r="AN414" t="str">
        <v>Cancelada</v>
      </c>
      <c r="AO414">
        <v>4</v>
      </c>
    </row>
    <row r="415" spans="1:41" x14ac:dyDescent="0.3">
      <c r="A415" t="s">
        <v>448</v>
      </c>
      <c r="B415" s="8">
        <v>45737</v>
      </c>
      <c r="C415" s="2">
        <v>0.63263888888888886</v>
      </c>
      <c r="D415" t="s">
        <v>21</v>
      </c>
      <c r="E415" t="s">
        <v>28</v>
      </c>
      <c r="F415" t="s">
        <v>34</v>
      </c>
      <c r="G415">
        <v>2</v>
      </c>
      <c r="H415" s="6">
        <v>32181.61</v>
      </c>
      <c r="I415" s="6">
        <v>6904.44</v>
      </c>
      <c r="J415">
        <v>21</v>
      </c>
      <c r="K415">
        <v>45</v>
      </c>
      <c r="L415" t="s">
        <v>30</v>
      </c>
      <c r="M415" t="s">
        <v>31</v>
      </c>
      <c r="N415">
        <v>3</v>
      </c>
      <c r="O415" s="4"/>
      <c r="P415" s="4" t="str">
        <f>IF(Data_Set_2[[#This Row],[valor_bruto]]&gt;$W$13,"OUTLIER+","")</f>
        <v/>
      </c>
      <c r="Q415" s="4" t="str">
        <f>IF(Data_Set_2[[#This Row],[valor_bruto]]&lt;$W$14,"OUTLIER-","")</f>
        <v/>
      </c>
      <c r="R415" s="4"/>
      <c r="S415" s="4"/>
      <c r="AB415" t="str">
        <v>RES-100413</v>
      </c>
      <c r="AC415">
        <v>45737</v>
      </c>
      <c r="AD415">
        <v>0.63263888888888886</v>
      </c>
      <c r="AE415" t="str">
        <v>Poblado</v>
      </c>
      <c r="AF415" t="str">
        <v>Recoge</v>
      </c>
      <c r="AG415" t="str">
        <v>Vegano</v>
      </c>
      <c r="AH415">
        <v>2</v>
      </c>
      <c r="AI415">
        <v>32181.61</v>
      </c>
      <c r="AJ415">
        <v>6904.44</v>
      </c>
      <c r="AK415">
        <v>21</v>
      </c>
      <c r="AL415">
        <v>45</v>
      </c>
      <c r="AM415" t="str">
        <v>App</v>
      </c>
      <c r="AN415" t="str">
        <v>Reembolsada</v>
      </c>
      <c r="AO415">
        <v>3</v>
      </c>
    </row>
    <row r="416" spans="1:41" x14ac:dyDescent="0.3">
      <c r="A416" t="s">
        <v>449</v>
      </c>
      <c r="B416" s="8">
        <v>45738</v>
      </c>
      <c r="C416" s="2">
        <v>0.6791666666666667</v>
      </c>
      <c r="D416" t="s">
        <v>27</v>
      </c>
      <c r="E416" t="s">
        <v>16</v>
      </c>
      <c r="F416" t="s">
        <v>36</v>
      </c>
      <c r="G416">
        <v>6</v>
      </c>
      <c r="H416" s="6">
        <v>30179.26</v>
      </c>
      <c r="I416" s="6">
        <v>6822.94</v>
      </c>
      <c r="J416">
        <v>23</v>
      </c>
      <c r="K416">
        <v>46</v>
      </c>
      <c r="L416" t="s">
        <v>18</v>
      </c>
      <c r="M416" t="s">
        <v>19</v>
      </c>
      <c r="N416">
        <v>3</v>
      </c>
      <c r="O416" s="4"/>
      <c r="P416" s="4" t="str">
        <f>IF(Data_Set_2[[#This Row],[valor_bruto]]&gt;$W$13,"OUTLIER+","")</f>
        <v/>
      </c>
      <c r="Q416" s="4" t="str">
        <f>IF(Data_Set_2[[#This Row],[valor_bruto]]&lt;$W$14,"OUTLIER-","")</f>
        <v/>
      </c>
      <c r="R416" s="4"/>
      <c r="S416" s="4"/>
      <c r="AB416" t="str">
        <v>RES-100414</v>
      </c>
      <c r="AC416">
        <v>45738</v>
      </c>
      <c r="AD416">
        <v>0.6791666666666667</v>
      </c>
      <c r="AE416" t="str">
        <v>Centro</v>
      </c>
      <c r="AF416" t="str">
        <v>Mesa</v>
      </c>
      <c r="AG416" t="str">
        <v>Bebidas</v>
      </c>
      <c r="AH416">
        <v>6</v>
      </c>
      <c r="AI416">
        <v>30179.26</v>
      </c>
      <c r="AJ416">
        <v>6822.94</v>
      </c>
      <c r="AK416">
        <v>23</v>
      </c>
      <c r="AL416">
        <v>46</v>
      </c>
      <c r="AM416" t="str">
        <v>Tarjeta</v>
      </c>
      <c r="AN416" t="str">
        <v>Entregada</v>
      </c>
      <c r="AO416">
        <v>3</v>
      </c>
    </row>
    <row r="417" spans="1:41" x14ac:dyDescent="0.3">
      <c r="A417" t="s">
        <v>450</v>
      </c>
      <c r="B417" s="8">
        <v>45739</v>
      </c>
      <c r="C417" s="2">
        <v>0.72569444444444442</v>
      </c>
      <c r="D417" t="s">
        <v>33</v>
      </c>
      <c r="E417" t="s">
        <v>22</v>
      </c>
      <c r="F417" t="s">
        <v>17</v>
      </c>
      <c r="G417">
        <v>4</v>
      </c>
      <c r="H417" s="6">
        <v>31288.66</v>
      </c>
      <c r="I417" s="6">
        <v>4071.24</v>
      </c>
      <c r="J417">
        <v>28</v>
      </c>
      <c r="K417">
        <v>29</v>
      </c>
      <c r="L417" t="s">
        <v>24</v>
      </c>
      <c r="M417" t="s">
        <v>25</v>
      </c>
      <c r="N417">
        <v>4</v>
      </c>
      <c r="O417" s="4"/>
      <c r="P417" s="4" t="str">
        <f>IF(Data_Set_2[[#This Row],[valor_bruto]]&gt;$W$13,"OUTLIER+","")</f>
        <v/>
      </c>
      <c r="Q417" s="4" t="str">
        <f>IF(Data_Set_2[[#This Row],[valor_bruto]]&lt;$W$14,"OUTLIER-","")</f>
        <v/>
      </c>
      <c r="R417" s="4"/>
      <c r="S417" s="4"/>
      <c r="AB417" t="str">
        <v>RES-100415</v>
      </c>
      <c r="AC417">
        <v>45739</v>
      </c>
      <c r="AD417">
        <v>0.72569444444444442</v>
      </c>
      <c r="AE417" t="str">
        <v>Envigado</v>
      </c>
      <c r="AF417" t="str">
        <v>Domicilio</v>
      </c>
      <c r="AG417" t="str">
        <v>Comida rapida</v>
      </c>
      <c r="AH417">
        <v>4</v>
      </c>
      <c r="AI417">
        <v>31288.66</v>
      </c>
      <c r="AJ417">
        <v>4071.24</v>
      </c>
      <c r="AK417">
        <v>28</v>
      </c>
      <c r="AL417">
        <v>29</v>
      </c>
      <c r="AM417" t="str">
        <v>Efectivo</v>
      </c>
      <c r="AN417" t="str">
        <v>Cancelada</v>
      </c>
      <c r="AO417">
        <v>4</v>
      </c>
    </row>
    <row r="418" spans="1:41" x14ac:dyDescent="0.3">
      <c r="A418" t="s">
        <v>451</v>
      </c>
      <c r="B418" s="8">
        <v>45740</v>
      </c>
      <c r="C418" s="2">
        <v>0.77222222222222225</v>
      </c>
      <c r="D418" t="s">
        <v>15</v>
      </c>
      <c r="E418" t="s">
        <v>28</v>
      </c>
      <c r="F418" t="s">
        <v>23</v>
      </c>
      <c r="G418">
        <v>5</v>
      </c>
      <c r="H418" s="6">
        <v>60337.82</v>
      </c>
      <c r="I418" s="6">
        <v>4473.5200000000004</v>
      </c>
      <c r="J418">
        <v>27</v>
      </c>
      <c r="K418">
        <v>41</v>
      </c>
      <c r="L418" t="s">
        <v>30</v>
      </c>
      <c r="M418" t="s">
        <v>31</v>
      </c>
      <c r="N418">
        <v>3</v>
      </c>
      <c r="O418" s="4"/>
      <c r="P418" s="4" t="str">
        <f>IF(Data_Set_2[[#This Row],[valor_bruto]]&gt;$W$13,"OUTLIER+","")</f>
        <v/>
      </c>
      <c r="Q418" s="4" t="str">
        <f>IF(Data_Set_2[[#This Row],[valor_bruto]]&lt;$W$14,"OUTLIER-","")</f>
        <v/>
      </c>
      <c r="R418" s="4"/>
      <c r="S418" s="4"/>
      <c r="AB418" t="str">
        <v>RES-100416</v>
      </c>
      <c r="AC418">
        <v>45740</v>
      </c>
      <c r="AD418">
        <v>0.77222222222222225</v>
      </c>
      <c r="AE418" t="str">
        <v>Laureles</v>
      </c>
      <c r="AF418" t="str">
        <v>Recoge</v>
      </c>
      <c r="AG418" t="str">
        <v>Pasta</v>
      </c>
      <c r="AH418">
        <v>5</v>
      </c>
      <c r="AI418">
        <v>60337.82</v>
      </c>
      <c r="AJ418">
        <v>4473.5200000000004</v>
      </c>
      <c r="AK418">
        <v>27</v>
      </c>
      <c r="AL418">
        <v>41</v>
      </c>
      <c r="AM418" t="str">
        <v>App</v>
      </c>
      <c r="AN418" t="str">
        <v>Reembolsada</v>
      </c>
      <c r="AO418">
        <v>3</v>
      </c>
    </row>
    <row r="419" spans="1:41" x14ac:dyDescent="0.3">
      <c r="A419" t="s">
        <v>452</v>
      </c>
      <c r="B419" s="8">
        <v>45741</v>
      </c>
      <c r="C419" s="2">
        <v>0.81874999999999998</v>
      </c>
      <c r="D419" t="s">
        <v>21</v>
      </c>
      <c r="E419" t="s">
        <v>16</v>
      </c>
      <c r="F419" t="s">
        <v>29</v>
      </c>
      <c r="G419">
        <v>6</v>
      </c>
      <c r="H419" s="6">
        <v>51547.78</v>
      </c>
      <c r="I419" s="6">
        <v>3981.9822222222228</v>
      </c>
      <c r="J419">
        <v>22</v>
      </c>
      <c r="K419">
        <v>49</v>
      </c>
      <c r="L419" t="s">
        <v>18</v>
      </c>
      <c r="M419" t="s">
        <v>19</v>
      </c>
      <c r="N419">
        <v>5</v>
      </c>
      <c r="O419" s="4"/>
      <c r="P419" s="4" t="str">
        <f>IF(Data_Set_2[[#This Row],[valor_bruto]]&gt;$W$13,"OUTLIER+","")</f>
        <v/>
      </c>
      <c r="Q419" s="4" t="str">
        <f>IF(Data_Set_2[[#This Row],[valor_bruto]]&lt;$W$14,"OUTLIER-","")</f>
        <v/>
      </c>
      <c r="R419" s="4"/>
      <c r="S419" s="4"/>
      <c r="AB419" t="str">
        <v>RES-100417</v>
      </c>
      <c r="AC419">
        <v>45741</v>
      </c>
      <c r="AD419">
        <v>0.81874999999999998</v>
      </c>
      <c r="AE419" t="str">
        <v>Poblado</v>
      </c>
      <c r="AF419" t="str">
        <v>Mesa</v>
      </c>
      <c r="AG419" t="str">
        <v>Parrilla</v>
      </c>
      <c r="AH419">
        <v>6</v>
      </c>
      <c r="AI419">
        <v>51547.78</v>
      </c>
      <c r="AJ419">
        <v>3981.9822222222228</v>
      </c>
      <c r="AK419">
        <v>22</v>
      </c>
      <c r="AL419">
        <v>49</v>
      </c>
      <c r="AM419" t="str">
        <v>Tarjeta</v>
      </c>
      <c r="AN419" t="str">
        <v>Entregada</v>
      </c>
      <c r="AO419">
        <v>5</v>
      </c>
    </row>
    <row r="420" spans="1:41" x14ac:dyDescent="0.3">
      <c r="A420" t="s">
        <v>453</v>
      </c>
      <c r="B420" s="8">
        <v>45742</v>
      </c>
      <c r="C420" s="2">
        <v>0.86527777777777781</v>
      </c>
      <c r="D420" t="s">
        <v>27</v>
      </c>
      <c r="E420" t="s">
        <v>22</v>
      </c>
      <c r="F420" t="s">
        <v>34</v>
      </c>
      <c r="G420">
        <v>4</v>
      </c>
      <c r="H420" s="6">
        <v>55005.85</v>
      </c>
      <c r="I420" s="6">
        <v>2519.8200000000002</v>
      </c>
      <c r="J420">
        <v>29</v>
      </c>
      <c r="K420">
        <v>41</v>
      </c>
      <c r="L420" t="s">
        <v>24</v>
      </c>
      <c r="M420" t="s">
        <v>25</v>
      </c>
      <c r="N420">
        <v>5</v>
      </c>
      <c r="O420" s="4"/>
      <c r="P420" s="4" t="str">
        <f>IF(Data_Set_2[[#This Row],[valor_bruto]]&gt;$W$13,"OUTLIER+","")</f>
        <v/>
      </c>
      <c r="Q420" s="4" t="str">
        <f>IF(Data_Set_2[[#This Row],[valor_bruto]]&lt;$W$14,"OUTLIER-","")</f>
        <v/>
      </c>
      <c r="R420" s="4"/>
      <c r="S420" s="4"/>
      <c r="AB420" t="str">
        <v>RES-100418</v>
      </c>
      <c r="AC420">
        <v>45742</v>
      </c>
      <c r="AD420">
        <v>0.86527777777777781</v>
      </c>
      <c r="AE420" t="str">
        <v>Centro</v>
      </c>
      <c r="AF420" t="str">
        <v>Domicilio</v>
      </c>
      <c r="AG420" t="str">
        <v>Vegano</v>
      </c>
      <c r="AH420">
        <v>4</v>
      </c>
      <c r="AI420">
        <v>55005.85</v>
      </c>
      <c r="AJ420">
        <v>2519.8200000000002</v>
      </c>
      <c r="AK420">
        <v>29</v>
      </c>
      <c r="AL420">
        <v>41</v>
      </c>
      <c r="AM420" t="str">
        <v>Efectivo</v>
      </c>
      <c r="AN420" t="str">
        <v>Cancelada</v>
      </c>
      <c r="AO420">
        <v>5</v>
      </c>
    </row>
    <row r="421" spans="1:41" x14ac:dyDescent="0.3">
      <c r="A421" t="s">
        <v>454</v>
      </c>
      <c r="B421" s="8">
        <v>45743</v>
      </c>
      <c r="C421" s="2">
        <v>0.91180555555555554</v>
      </c>
      <c r="D421" t="s">
        <v>33</v>
      </c>
      <c r="E421" t="s">
        <v>28</v>
      </c>
      <c r="F421" t="s">
        <v>36</v>
      </c>
      <c r="G421">
        <v>2</v>
      </c>
      <c r="H421" s="6">
        <v>27977.97</v>
      </c>
      <c r="I421" s="6">
        <v>7193.4</v>
      </c>
      <c r="J421">
        <v>20</v>
      </c>
      <c r="K421">
        <v>48</v>
      </c>
      <c r="L421" t="s">
        <v>30</v>
      </c>
      <c r="M421" t="s">
        <v>31</v>
      </c>
      <c r="N421">
        <v>4</v>
      </c>
      <c r="O421" s="4"/>
      <c r="P421" s="4" t="str">
        <f>IF(Data_Set_2[[#This Row],[valor_bruto]]&gt;$W$13,"OUTLIER+","")</f>
        <v/>
      </c>
      <c r="Q421" s="4" t="str">
        <f>IF(Data_Set_2[[#This Row],[valor_bruto]]&lt;$W$14,"OUTLIER-","")</f>
        <v/>
      </c>
      <c r="R421" s="4"/>
      <c r="S421" s="4"/>
      <c r="AB421" t="str">
        <v>RES-100419</v>
      </c>
      <c r="AC421">
        <v>45743</v>
      </c>
      <c r="AD421">
        <v>0.91180555555555554</v>
      </c>
      <c r="AE421" t="str">
        <v>Envigado</v>
      </c>
      <c r="AF421" t="str">
        <v>Recoge</v>
      </c>
      <c r="AG421" t="str">
        <v>Bebidas</v>
      </c>
      <c r="AH421">
        <v>2</v>
      </c>
      <c r="AI421">
        <v>27977.97</v>
      </c>
      <c r="AJ421">
        <v>7193.4</v>
      </c>
      <c r="AK421">
        <v>20</v>
      </c>
      <c r="AL421">
        <v>48</v>
      </c>
      <c r="AM421" t="str">
        <v>App</v>
      </c>
      <c r="AN421" t="str">
        <v>Reembolsada</v>
      </c>
      <c r="AO421">
        <v>4</v>
      </c>
    </row>
    <row r="422" spans="1:41" x14ac:dyDescent="0.3">
      <c r="A422" t="s">
        <v>455</v>
      </c>
      <c r="B422" s="8">
        <v>45744</v>
      </c>
      <c r="C422" s="2">
        <v>0.41666666666666669</v>
      </c>
      <c r="D422" t="s">
        <v>15</v>
      </c>
      <c r="E422" t="s">
        <v>16</v>
      </c>
      <c r="F422" t="s">
        <v>17</v>
      </c>
      <c r="G422">
        <v>4</v>
      </c>
      <c r="H422" s="6">
        <v>28187.57</v>
      </c>
      <c r="I422" s="6">
        <v>4976.04</v>
      </c>
      <c r="J422">
        <v>29</v>
      </c>
      <c r="K422">
        <v>40</v>
      </c>
      <c r="L422" t="s">
        <v>18</v>
      </c>
      <c r="M422" t="s">
        <v>19</v>
      </c>
      <c r="N422">
        <v>3</v>
      </c>
      <c r="O422" s="4"/>
      <c r="P422" s="4" t="str">
        <f>IF(Data_Set_2[[#This Row],[valor_bruto]]&gt;$W$13,"OUTLIER+","")</f>
        <v/>
      </c>
      <c r="Q422" s="4" t="str">
        <f>IF(Data_Set_2[[#This Row],[valor_bruto]]&lt;$W$14,"OUTLIER-","")</f>
        <v/>
      </c>
      <c r="R422" s="4"/>
      <c r="S422" s="4"/>
      <c r="AB422" t="str">
        <v>RES-100420</v>
      </c>
      <c r="AC422">
        <v>45744</v>
      </c>
      <c r="AD422">
        <v>0.41666666666666669</v>
      </c>
      <c r="AE422" t="str">
        <v>Laureles</v>
      </c>
      <c r="AF422" t="str">
        <v>Mesa</v>
      </c>
      <c r="AG422" t="str">
        <v>Comida rapida</v>
      </c>
      <c r="AH422">
        <v>4</v>
      </c>
      <c r="AI422">
        <v>28187.57</v>
      </c>
      <c r="AJ422">
        <v>4976.04</v>
      </c>
      <c r="AK422">
        <v>29</v>
      </c>
      <c r="AL422">
        <v>40</v>
      </c>
      <c r="AM422" t="str">
        <v>Tarjeta</v>
      </c>
      <c r="AN422" t="str">
        <v>Entregada</v>
      </c>
      <c r="AO422">
        <v>3</v>
      </c>
    </row>
    <row r="423" spans="1:41" x14ac:dyDescent="0.3">
      <c r="A423" t="s">
        <v>456</v>
      </c>
      <c r="B423" s="8">
        <v>45745</v>
      </c>
      <c r="C423" s="2">
        <v>0.46319444444444446</v>
      </c>
      <c r="D423" t="s">
        <v>21</v>
      </c>
      <c r="E423" t="s">
        <v>22</v>
      </c>
      <c r="F423" t="s">
        <v>23</v>
      </c>
      <c r="G423">
        <v>6</v>
      </c>
      <c r="H423" s="6">
        <v>29351.56</v>
      </c>
      <c r="I423" s="6">
        <v>2599.0500000000002</v>
      </c>
      <c r="J423">
        <v>22</v>
      </c>
      <c r="K423">
        <v>47</v>
      </c>
      <c r="L423" t="s">
        <v>24</v>
      </c>
      <c r="M423" t="s">
        <v>25</v>
      </c>
      <c r="N423">
        <v>3</v>
      </c>
      <c r="O423" s="4"/>
      <c r="P423" s="4" t="str">
        <f>IF(Data_Set_2[[#This Row],[valor_bruto]]&gt;$W$13,"OUTLIER+","")</f>
        <v/>
      </c>
      <c r="Q423" s="4" t="str">
        <f>IF(Data_Set_2[[#This Row],[valor_bruto]]&lt;$W$14,"OUTLIER-","")</f>
        <v/>
      </c>
      <c r="R423" s="4"/>
      <c r="S423" s="4"/>
      <c r="AB423" t="str">
        <v>RES-100421</v>
      </c>
      <c r="AC423">
        <v>45745</v>
      </c>
      <c r="AD423">
        <v>0.46319444444444446</v>
      </c>
      <c r="AE423" t="str">
        <v>Poblado</v>
      </c>
      <c r="AF423" t="str">
        <v>Domicilio</v>
      </c>
      <c r="AG423" t="str">
        <v>Pasta</v>
      </c>
      <c r="AH423">
        <v>6</v>
      </c>
      <c r="AI423">
        <v>29351.56</v>
      </c>
      <c r="AJ423">
        <v>2599.0500000000002</v>
      </c>
      <c r="AK423">
        <v>22</v>
      </c>
      <c r="AL423">
        <v>47</v>
      </c>
      <c r="AM423" t="str">
        <v>Efectivo</v>
      </c>
      <c r="AN423" t="str">
        <v>Cancelada</v>
      </c>
      <c r="AO423">
        <v>3</v>
      </c>
    </row>
    <row r="424" spans="1:41" x14ac:dyDescent="0.3">
      <c r="A424" t="s">
        <v>457</v>
      </c>
      <c r="B424" s="8">
        <v>45746</v>
      </c>
      <c r="C424" s="2">
        <v>0.50972222222222219</v>
      </c>
      <c r="D424" t="s">
        <v>27</v>
      </c>
      <c r="E424" t="s">
        <v>28</v>
      </c>
      <c r="F424" t="s">
        <v>29</v>
      </c>
      <c r="G424">
        <v>6</v>
      </c>
      <c r="H424" s="6">
        <v>35884.94</v>
      </c>
      <c r="I424" s="6">
        <v>6408.15</v>
      </c>
      <c r="J424">
        <v>19</v>
      </c>
      <c r="K424">
        <v>24</v>
      </c>
      <c r="L424" t="s">
        <v>30</v>
      </c>
      <c r="M424" t="s">
        <v>31</v>
      </c>
      <c r="N424">
        <v>5</v>
      </c>
      <c r="O424" s="4"/>
      <c r="P424" s="4" t="str">
        <f>IF(Data_Set_2[[#This Row],[valor_bruto]]&gt;$W$13,"OUTLIER+","")</f>
        <v/>
      </c>
      <c r="Q424" s="4" t="str">
        <f>IF(Data_Set_2[[#This Row],[valor_bruto]]&lt;$W$14,"OUTLIER-","")</f>
        <v/>
      </c>
      <c r="R424" s="4"/>
      <c r="S424" s="4"/>
      <c r="AB424" t="str">
        <v>RES-100422</v>
      </c>
      <c r="AC424">
        <v>45746</v>
      </c>
      <c r="AD424">
        <v>0.50972222222222219</v>
      </c>
      <c r="AE424" t="str">
        <v>Centro</v>
      </c>
      <c r="AF424" t="str">
        <v>Recoge</v>
      </c>
      <c r="AG424" t="str">
        <v>Parrilla</v>
      </c>
      <c r="AH424">
        <v>6</v>
      </c>
      <c r="AI424">
        <v>35884.94</v>
      </c>
      <c r="AJ424">
        <v>6408.15</v>
      </c>
      <c r="AK424">
        <v>19</v>
      </c>
      <c r="AL424">
        <v>24</v>
      </c>
      <c r="AM424" t="str">
        <v>App</v>
      </c>
      <c r="AN424" t="str">
        <v>Reembolsada</v>
      </c>
      <c r="AO424">
        <v>5</v>
      </c>
    </row>
    <row r="425" spans="1:41" x14ac:dyDescent="0.3">
      <c r="A425" t="s">
        <v>458</v>
      </c>
      <c r="B425" s="8">
        <v>45747</v>
      </c>
      <c r="C425" s="2">
        <v>0.55625000000000002</v>
      </c>
      <c r="D425" t="s">
        <v>33</v>
      </c>
      <c r="E425" t="s">
        <v>16</v>
      </c>
      <c r="F425" t="s">
        <v>34</v>
      </c>
      <c r="G425">
        <v>4</v>
      </c>
      <c r="H425" s="6">
        <v>39525.35</v>
      </c>
      <c r="I425" s="6">
        <v>3079.37</v>
      </c>
      <c r="J425">
        <v>17</v>
      </c>
      <c r="K425">
        <v>35</v>
      </c>
      <c r="L425" t="s">
        <v>18</v>
      </c>
      <c r="M425" t="s">
        <v>19</v>
      </c>
      <c r="N425">
        <v>3</v>
      </c>
      <c r="O425" s="4"/>
      <c r="P425" s="4" t="str">
        <f>IF(Data_Set_2[[#This Row],[valor_bruto]]&gt;$W$13,"OUTLIER+","")</f>
        <v/>
      </c>
      <c r="Q425" s="4" t="str">
        <f>IF(Data_Set_2[[#This Row],[valor_bruto]]&lt;$W$14,"OUTLIER-","")</f>
        <v/>
      </c>
      <c r="R425" s="4"/>
      <c r="S425" s="4"/>
      <c r="AB425" t="str">
        <v>RES-100423</v>
      </c>
      <c r="AC425">
        <v>45747</v>
      </c>
      <c r="AD425">
        <v>0.55625000000000002</v>
      </c>
      <c r="AE425" t="str">
        <v>Envigado</v>
      </c>
      <c r="AF425" t="str">
        <v>Mesa</v>
      </c>
      <c r="AG425" t="str">
        <v>Vegano</v>
      </c>
      <c r="AH425">
        <v>4</v>
      </c>
      <c r="AI425">
        <v>39525.35</v>
      </c>
      <c r="AJ425">
        <v>3079.37</v>
      </c>
      <c r="AK425">
        <v>17</v>
      </c>
      <c r="AL425">
        <v>35</v>
      </c>
      <c r="AM425" t="str">
        <v>Tarjeta</v>
      </c>
      <c r="AN425" t="str">
        <v>Entregada</v>
      </c>
      <c r="AO425">
        <v>3</v>
      </c>
    </row>
    <row r="426" spans="1:41" x14ac:dyDescent="0.3">
      <c r="A426" t="s">
        <v>459</v>
      </c>
      <c r="B426" s="8">
        <v>45748</v>
      </c>
      <c r="C426" s="2">
        <v>0.60277777777777775</v>
      </c>
      <c r="D426" t="s">
        <v>15</v>
      </c>
      <c r="E426" t="s">
        <v>22</v>
      </c>
      <c r="F426" t="s">
        <v>36</v>
      </c>
      <c r="G426">
        <v>3</v>
      </c>
      <c r="H426" s="6">
        <v>61877.52</v>
      </c>
      <c r="I426" s="6">
        <v>2898.34</v>
      </c>
      <c r="J426">
        <v>27</v>
      </c>
      <c r="K426">
        <v>42</v>
      </c>
      <c r="L426" t="s">
        <v>24</v>
      </c>
      <c r="M426" t="s">
        <v>25</v>
      </c>
      <c r="N426">
        <v>5</v>
      </c>
      <c r="O426" s="4"/>
      <c r="P426" s="4" t="str">
        <f>IF(Data_Set_2[[#This Row],[valor_bruto]]&gt;$W$13,"OUTLIER+","")</f>
        <v/>
      </c>
      <c r="Q426" s="4" t="str">
        <f>IF(Data_Set_2[[#This Row],[valor_bruto]]&lt;$W$14,"OUTLIER-","")</f>
        <v/>
      </c>
      <c r="R426" s="4"/>
      <c r="S426" s="4"/>
      <c r="AB426" t="str">
        <v>RES-100424</v>
      </c>
      <c r="AC426">
        <v>45748</v>
      </c>
      <c r="AD426">
        <v>0.60277777777777775</v>
      </c>
      <c r="AE426" t="str">
        <v>Laureles</v>
      </c>
      <c r="AF426" t="str">
        <v>Domicilio</v>
      </c>
      <c r="AG426" t="str">
        <v>Bebidas</v>
      </c>
      <c r="AH426">
        <v>3</v>
      </c>
      <c r="AI426">
        <v>61877.52</v>
      </c>
      <c r="AJ426">
        <v>2898.34</v>
      </c>
      <c r="AK426">
        <v>27</v>
      </c>
      <c r="AL426">
        <v>42</v>
      </c>
      <c r="AM426" t="str">
        <v>Efectivo</v>
      </c>
      <c r="AN426" t="str">
        <v>Cancelada</v>
      </c>
      <c r="AO426">
        <v>5</v>
      </c>
    </row>
    <row r="427" spans="1:41" x14ac:dyDescent="0.3">
      <c r="A427" t="s">
        <v>460</v>
      </c>
      <c r="B427" s="8">
        <v>45692</v>
      </c>
      <c r="C427" s="2">
        <v>0.64930555555555558</v>
      </c>
      <c r="D427" t="s">
        <v>21</v>
      </c>
      <c r="E427" t="s">
        <v>28</v>
      </c>
      <c r="F427" t="s">
        <v>17</v>
      </c>
      <c r="G427">
        <v>5</v>
      </c>
      <c r="H427" s="6">
        <v>62479.5</v>
      </c>
      <c r="I427" s="6">
        <v>3567.98</v>
      </c>
      <c r="J427">
        <v>29</v>
      </c>
      <c r="K427">
        <v>34</v>
      </c>
      <c r="L427" t="s">
        <v>30</v>
      </c>
      <c r="M427" t="s">
        <v>31</v>
      </c>
      <c r="N427">
        <v>5</v>
      </c>
      <c r="O427" s="4"/>
      <c r="P427" s="4" t="str">
        <f>IF(Data_Set_2[[#This Row],[valor_bruto]]&gt;$W$13,"OUTLIER+","")</f>
        <v/>
      </c>
      <c r="Q427" s="4" t="str">
        <f>IF(Data_Set_2[[#This Row],[valor_bruto]]&lt;$W$14,"OUTLIER-","")</f>
        <v/>
      </c>
      <c r="R427" s="4"/>
      <c r="S427" s="4"/>
      <c r="AB427" t="str">
        <v>RES-100425</v>
      </c>
      <c r="AC427">
        <v>45692</v>
      </c>
      <c r="AD427">
        <v>0.64930555555555558</v>
      </c>
      <c r="AE427" t="str">
        <v>Poblado</v>
      </c>
      <c r="AF427" t="str">
        <v>Recoge</v>
      </c>
      <c r="AG427" t="str">
        <v>Comida rapida</v>
      </c>
      <c r="AH427">
        <v>5</v>
      </c>
      <c r="AI427">
        <v>62479.5</v>
      </c>
      <c r="AJ427">
        <v>3567.98</v>
      </c>
      <c r="AK427">
        <v>29</v>
      </c>
      <c r="AL427">
        <v>34</v>
      </c>
      <c r="AM427" t="str">
        <v>App</v>
      </c>
      <c r="AN427" t="str">
        <v>Reembolsada</v>
      </c>
      <c r="AO427">
        <v>5</v>
      </c>
    </row>
    <row r="428" spans="1:41" x14ac:dyDescent="0.3">
      <c r="A428" t="s">
        <v>461</v>
      </c>
      <c r="B428" s="8">
        <v>45750</v>
      </c>
      <c r="C428" s="2">
        <v>0.6958333333333333</v>
      </c>
      <c r="D428" t="s">
        <v>27</v>
      </c>
      <c r="E428" t="s">
        <v>16</v>
      </c>
      <c r="F428" t="s">
        <v>23</v>
      </c>
      <c r="G428">
        <v>4</v>
      </c>
      <c r="H428" s="6">
        <v>48736.15</v>
      </c>
      <c r="I428" s="6">
        <v>4450.516111111112</v>
      </c>
      <c r="J428">
        <v>30</v>
      </c>
      <c r="K428">
        <v>43</v>
      </c>
      <c r="L428" t="s">
        <v>18</v>
      </c>
      <c r="M428" t="s">
        <v>19</v>
      </c>
      <c r="N428">
        <v>5</v>
      </c>
      <c r="O428" s="4"/>
      <c r="P428" s="4" t="str">
        <f>IF(Data_Set_2[[#This Row],[valor_bruto]]&gt;$W$13,"OUTLIER+","")</f>
        <v/>
      </c>
      <c r="Q428" s="4" t="str">
        <f>IF(Data_Set_2[[#This Row],[valor_bruto]]&lt;$W$14,"OUTLIER-","")</f>
        <v/>
      </c>
      <c r="R428" s="4"/>
      <c r="S428" s="4"/>
      <c r="AB428" t="str">
        <v>RES-100426</v>
      </c>
      <c r="AC428">
        <v>45750</v>
      </c>
      <c r="AD428">
        <v>0.6958333333333333</v>
      </c>
      <c r="AE428" t="str">
        <v>Centro</v>
      </c>
      <c r="AF428" t="str">
        <v>Mesa</v>
      </c>
      <c r="AG428" t="str">
        <v>Pasta</v>
      </c>
      <c r="AH428">
        <v>4</v>
      </c>
      <c r="AI428">
        <v>48736.15</v>
      </c>
      <c r="AJ428">
        <v>4450.516111111112</v>
      </c>
      <c r="AK428">
        <v>30</v>
      </c>
      <c r="AL428">
        <v>43</v>
      </c>
      <c r="AM428" t="str">
        <v>Tarjeta</v>
      </c>
      <c r="AN428" t="str">
        <v>Entregada</v>
      </c>
      <c r="AO428">
        <v>5</v>
      </c>
    </row>
    <row r="429" spans="1:41" x14ac:dyDescent="0.3">
      <c r="A429" t="s">
        <v>462</v>
      </c>
      <c r="B429" s="8">
        <v>45751</v>
      </c>
      <c r="C429" s="2">
        <v>0.74236111111111114</v>
      </c>
      <c r="D429" t="s">
        <v>33</v>
      </c>
      <c r="E429" t="s">
        <v>22</v>
      </c>
      <c r="F429" t="s">
        <v>29</v>
      </c>
      <c r="G429">
        <v>2</v>
      </c>
      <c r="H429" s="6">
        <v>45010.59</v>
      </c>
      <c r="I429" s="6">
        <v>6304.81</v>
      </c>
      <c r="J429">
        <v>15</v>
      </c>
      <c r="K429">
        <v>23</v>
      </c>
      <c r="L429" t="s">
        <v>24</v>
      </c>
      <c r="M429" t="s">
        <v>25</v>
      </c>
      <c r="N429">
        <v>4</v>
      </c>
      <c r="O429" s="4"/>
      <c r="P429" s="4" t="str">
        <f>IF(Data_Set_2[[#This Row],[valor_bruto]]&gt;$W$13,"OUTLIER+","")</f>
        <v/>
      </c>
      <c r="Q429" s="4" t="str">
        <f>IF(Data_Set_2[[#This Row],[valor_bruto]]&lt;$W$14,"OUTLIER-","")</f>
        <v/>
      </c>
      <c r="R429" s="4"/>
      <c r="S429" s="4"/>
      <c r="AB429" t="str">
        <v>RES-100427</v>
      </c>
      <c r="AC429">
        <v>45751</v>
      </c>
      <c r="AD429">
        <v>0.74236111111111114</v>
      </c>
      <c r="AE429" t="str">
        <v>Envigado</v>
      </c>
      <c r="AF429" t="str">
        <v>Domicilio</v>
      </c>
      <c r="AG429" t="str">
        <v>Parrilla</v>
      </c>
      <c r="AH429">
        <v>2</v>
      </c>
      <c r="AI429">
        <v>45010.59</v>
      </c>
      <c r="AJ429">
        <v>6304.81</v>
      </c>
      <c r="AK429">
        <v>15</v>
      </c>
      <c r="AL429">
        <v>23</v>
      </c>
      <c r="AM429" t="str">
        <v>Efectivo</v>
      </c>
      <c r="AN429" t="str">
        <v>Cancelada</v>
      </c>
      <c r="AO429">
        <v>4</v>
      </c>
    </row>
    <row r="430" spans="1:41" x14ac:dyDescent="0.3">
      <c r="A430" t="s">
        <v>463</v>
      </c>
      <c r="B430" s="8">
        <v>45781</v>
      </c>
      <c r="C430" s="2">
        <v>0.78888888888888886</v>
      </c>
      <c r="D430" t="s">
        <v>15</v>
      </c>
      <c r="E430" t="s">
        <v>28</v>
      </c>
      <c r="F430" t="s">
        <v>34</v>
      </c>
      <c r="G430">
        <v>2</v>
      </c>
      <c r="H430" s="6">
        <v>33387</v>
      </c>
      <c r="I430" s="6">
        <v>8403.6299999999992</v>
      </c>
      <c r="J430">
        <v>17</v>
      </c>
      <c r="K430">
        <v>36</v>
      </c>
      <c r="L430" t="s">
        <v>30</v>
      </c>
      <c r="M430" t="s">
        <v>31</v>
      </c>
      <c r="N430">
        <v>3</v>
      </c>
      <c r="O430" s="4"/>
      <c r="P430" s="4" t="str">
        <f>IF(Data_Set_2[[#This Row],[valor_bruto]]&gt;$W$13,"OUTLIER+","")</f>
        <v/>
      </c>
      <c r="Q430" s="4" t="str">
        <f>IF(Data_Set_2[[#This Row],[valor_bruto]]&lt;$W$14,"OUTLIER-","")</f>
        <v/>
      </c>
      <c r="R430" s="4"/>
      <c r="S430" s="4"/>
      <c r="AB430" t="str">
        <v>RES-100428</v>
      </c>
      <c r="AC430">
        <v>45781</v>
      </c>
      <c r="AD430">
        <v>0.78888888888888886</v>
      </c>
      <c r="AE430" t="str">
        <v>Laureles</v>
      </c>
      <c r="AF430" t="str">
        <v>Recoge</v>
      </c>
      <c r="AG430" t="str">
        <v>Vegano</v>
      </c>
      <c r="AH430">
        <v>2</v>
      </c>
      <c r="AI430">
        <v>33387</v>
      </c>
      <c r="AJ430">
        <v>8403.6299999999992</v>
      </c>
      <c r="AK430">
        <v>17</v>
      </c>
      <c r="AL430">
        <v>36</v>
      </c>
      <c r="AM430" t="str">
        <v>App</v>
      </c>
      <c r="AN430" t="str">
        <v>Reembolsada</v>
      </c>
      <c r="AO430">
        <v>3</v>
      </c>
    </row>
    <row r="431" spans="1:41" x14ac:dyDescent="0.3">
      <c r="A431" t="s">
        <v>464</v>
      </c>
      <c r="B431" s="8">
        <v>45753</v>
      </c>
      <c r="C431" s="2">
        <v>0.79374999999999996</v>
      </c>
      <c r="D431" t="s">
        <v>21</v>
      </c>
      <c r="E431" t="s">
        <v>16</v>
      </c>
      <c r="F431" t="s">
        <v>36</v>
      </c>
      <c r="G431">
        <v>5</v>
      </c>
      <c r="H431" s="6">
        <v>61731.62</v>
      </c>
      <c r="I431" s="6">
        <v>5410.15</v>
      </c>
      <c r="J431">
        <v>26</v>
      </c>
      <c r="K431">
        <v>28</v>
      </c>
      <c r="L431" t="s">
        <v>18</v>
      </c>
      <c r="M431" t="s">
        <v>19</v>
      </c>
      <c r="N431">
        <v>5</v>
      </c>
      <c r="O431" s="4"/>
      <c r="P431" s="4" t="str">
        <f>IF(Data_Set_2[[#This Row],[valor_bruto]]&gt;$W$13,"OUTLIER+","")</f>
        <v/>
      </c>
      <c r="Q431" s="4" t="str">
        <f>IF(Data_Set_2[[#This Row],[valor_bruto]]&lt;$W$14,"OUTLIER-","")</f>
        <v/>
      </c>
      <c r="R431" s="4"/>
      <c r="S431" s="4"/>
      <c r="AB431" t="str">
        <v>RES-100429</v>
      </c>
      <c r="AC431">
        <v>45753</v>
      </c>
      <c r="AD431">
        <v>0.79374999999999996</v>
      </c>
      <c r="AE431" t="str">
        <v>Poblado</v>
      </c>
      <c r="AF431" t="str">
        <v>Mesa</v>
      </c>
      <c r="AG431" t="str">
        <v>Bebidas</v>
      </c>
      <c r="AH431">
        <v>5</v>
      </c>
      <c r="AI431">
        <v>61731.62</v>
      </c>
      <c r="AJ431">
        <v>5410.15</v>
      </c>
      <c r="AK431">
        <v>26</v>
      </c>
      <c r="AL431">
        <v>28</v>
      </c>
      <c r="AM431" t="str">
        <v>Tarjeta</v>
      </c>
      <c r="AN431" t="str">
        <v>Entregada</v>
      </c>
      <c r="AO431">
        <v>5</v>
      </c>
    </row>
    <row r="432" spans="1:41" x14ac:dyDescent="0.3">
      <c r="A432" t="s">
        <v>465</v>
      </c>
      <c r="B432" s="8">
        <v>45754</v>
      </c>
      <c r="C432" s="2">
        <v>0.84027777777777779</v>
      </c>
      <c r="D432" t="s">
        <v>27</v>
      </c>
      <c r="E432" t="s">
        <v>22</v>
      </c>
      <c r="F432" t="s">
        <v>17</v>
      </c>
      <c r="G432">
        <v>3</v>
      </c>
      <c r="H432" s="6">
        <v>50123.29</v>
      </c>
      <c r="I432" s="6">
        <v>3625.24</v>
      </c>
      <c r="J432">
        <v>31</v>
      </c>
      <c r="K432">
        <v>31</v>
      </c>
      <c r="L432" t="s">
        <v>24</v>
      </c>
      <c r="M432" t="s">
        <v>25</v>
      </c>
      <c r="N432">
        <v>4</v>
      </c>
      <c r="O432" s="4"/>
      <c r="P432" s="4" t="str">
        <f>IF(Data_Set_2[[#This Row],[valor_bruto]]&gt;$W$13,"OUTLIER+","")</f>
        <v/>
      </c>
      <c r="Q432" s="4" t="str">
        <f>IF(Data_Set_2[[#This Row],[valor_bruto]]&lt;$W$14,"OUTLIER-","")</f>
        <v/>
      </c>
      <c r="R432" s="4"/>
      <c r="S432" s="4"/>
      <c r="AB432" t="str">
        <v>RES-100430</v>
      </c>
      <c r="AC432">
        <v>45754</v>
      </c>
      <c r="AD432">
        <v>0.84027777777777779</v>
      </c>
      <c r="AE432" t="str">
        <v>Centro</v>
      </c>
      <c r="AF432" t="str">
        <v>Domicilio</v>
      </c>
      <c r="AG432" t="str">
        <v>Comida rapida</v>
      </c>
      <c r="AH432">
        <v>3</v>
      </c>
      <c r="AI432">
        <v>50123.29</v>
      </c>
      <c r="AJ432">
        <v>3625.24</v>
      </c>
      <c r="AK432">
        <v>31</v>
      </c>
      <c r="AL432">
        <v>31</v>
      </c>
      <c r="AM432" t="str">
        <v>Efectivo</v>
      </c>
      <c r="AN432" t="str">
        <v>Cancelada</v>
      </c>
      <c r="AO432">
        <v>4</v>
      </c>
    </row>
    <row r="433" spans="1:41" x14ac:dyDescent="0.3">
      <c r="A433" t="s">
        <v>466</v>
      </c>
      <c r="B433" s="8">
        <v>45873</v>
      </c>
      <c r="C433" s="2">
        <v>0.88680555555555551</v>
      </c>
      <c r="D433" t="s">
        <v>33</v>
      </c>
      <c r="E433" t="s">
        <v>28</v>
      </c>
      <c r="F433" t="s">
        <v>23</v>
      </c>
      <c r="G433">
        <v>3</v>
      </c>
      <c r="H433" s="6">
        <v>60950.77</v>
      </c>
      <c r="I433" s="6">
        <v>5651.79</v>
      </c>
      <c r="J433">
        <v>28</v>
      </c>
      <c r="K433">
        <v>49</v>
      </c>
      <c r="L433" t="s">
        <v>30</v>
      </c>
      <c r="M433" t="s">
        <v>31</v>
      </c>
      <c r="N433">
        <v>4</v>
      </c>
      <c r="O433" s="4"/>
      <c r="P433" s="4" t="str">
        <f>IF(Data_Set_2[[#This Row],[valor_bruto]]&gt;$W$13,"OUTLIER+","")</f>
        <v/>
      </c>
      <c r="Q433" s="4" t="str">
        <f>IF(Data_Set_2[[#This Row],[valor_bruto]]&lt;$W$14,"OUTLIER-","")</f>
        <v/>
      </c>
      <c r="R433" s="4"/>
      <c r="S433" s="4"/>
      <c r="AB433" t="str">
        <v>RES-100431</v>
      </c>
      <c r="AC433">
        <v>45873</v>
      </c>
      <c r="AD433">
        <v>0.88680555555555551</v>
      </c>
      <c r="AE433" t="str">
        <v>Envigado</v>
      </c>
      <c r="AF433" t="str">
        <v>Recoge</v>
      </c>
      <c r="AG433" t="str">
        <v>Pasta</v>
      </c>
      <c r="AH433">
        <v>3</v>
      </c>
      <c r="AI433">
        <v>60950.77</v>
      </c>
      <c r="AJ433">
        <v>5651.79</v>
      </c>
      <c r="AK433">
        <v>28</v>
      </c>
      <c r="AL433">
        <v>49</v>
      </c>
      <c r="AM433" t="str">
        <v>App</v>
      </c>
      <c r="AN433" t="str">
        <v>Reembolsada</v>
      </c>
      <c r="AO433">
        <v>4</v>
      </c>
    </row>
    <row r="434" spans="1:41" x14ac:dyDescent="0.3">
      <c r="A434" t="s">
        <v>467</v>
      </c>
      <c r="B434" s="8">
        <v>45756</v>
      </c>
      <c r="C434" s="2">
        <v>0.43333333333333335</v>
      </c>
      <c r="D434" t="s">
        <v>15</v>
      </c>
      <c r="E434" t="s">
        <v>16</v>
      </c>
      <c r="F434" t="s">
        <v>29</v>
      </c>
      <c r="G434">
        <v>5</v>
      </c>
      <c r="H434" s="6">
        <v>66047.490000000005</v>
      </c>
      <c r="I434" s="6">
        <v>6272.85</v>
      </c>
      <c r="J434">
        <v>25</v>
      </c>
      <c r="K434" t="s">
        <v>468</v>
      </c>
      <c r="L434" t="s">
        <v>18</v>
      </c>
      <c r="M434" t="s">
        <v>19</v>
      </c>
      <c r="N434">
        <v>5</v>
      </c>
      <c r="O434" s="4"/>
      <c r="P434" s="4" t="str">
        <f>IF(Data_Set_2[[#This Row],[valor_bruto]]&gt;$W$13,"OUTLIER+","")</f>
        <v/>
      </c>
      <c r="Q434" s="4" t="str">
        <f>IF(Data_Set_2[[#This Row],[valor_bruto]]&lt;$W$14,"OUTLIER-","")</f>
        <v/>
      </c>
      <c r="R434" s="4"/>
      <c r="S434" s="4"/>
      <c r="AB434" t="str">
        <v>RES-100432</v>
      </c>
      <c r="AC434">
        <v>45756</v>
      </c>
      <c r="AD434">
        <v>0.43333333333333335</v>
      </c>
      <c r="AE434" t="str">
        <v>Laureles</v>
      </c>
      <c r="AF434" t="str">
        <v>Mesa</v>
      </c>
      <c r="AG434" t="str">
        <v>Parrilla</v>
      </c>
      <c r="AH434">
        <v>5</v>
      </c>
      <c r="AI434">
        <v>66047.490000000005</v>
      </c>
      <c r="AJ434">
        <v>6272.85</v>
      </c>
      <c r="AK434">
        <v>25</v>
      </c>
      <c r="AL434" t="str">
        <v>284.2</v>
      </c>
      <c r="AM434" t="str">
        <v>Tarjeta</v>
      </c>
      <c r="AN434" t="str">
        <v>Entregada</v>
      </c>
      <c r="AO434">
        <v>5</v>
      </c>
    </row>
    <row r="435" spans="1:41" x14ac:dyDescent="0.3">
      <c r="A435" t="s">
        <v>469</v>
      </c>
      <c r="B435" s="8">
        <v>45757</v>
      </c>
      <c r="C435" s="2">
        <v>0.47986111111111113</v>
      </c>
      <c r="D435" t="s">
        <v>21</v>
      </c>
      <c r="E435" t="s">
        <v>22</v>
      </c>
      <c r="F435" t="s">
        <v>34</v>
      </c>
      <c r="G435">
        <v>5</v>
      </c>
      <c r="H435" s="6">
        <v>36430.36</v>
      </c>
      <c r="I435" s="6">
        <v>6559.96</v>
      </c>
      <c r="J435">
        <v>20</v>
      </c>
      <c r="K435">
        <v>52</v>
      </c>
      <c r="L435" t="s">
        <v>24</v>
      </c>
      <c r="M435" t="s">
        <v>25</v>
      </c>
      <c r="N435">
        <v>3</v>
      </c>
      <c r="O435" s="4"/>
      <c r="P435" s="4" t="str">
        <f>IF(Data_Set_2[[#This Row],[valor_bruto]]&gt;$W$13,"OUTLIER+","")</f>
        <v/>
      </c>
      <c r="Q435" s="4" t="str">
        <f>IF(Data_Set_2[[#This Row],[valor_bruto]]&lt;$W$14,"OUTLIER-","")</f>
        <v/>
      </c>
      <c r="R435" s="4"/>
      <c r="S435" s="4"/>
      <c r="AB435" t="str">
        <v>RES-100433</v>
      </c>
      <c r="AC435">
        <v>45757</v>
      </c>
      <c r="AD435">
        <v>0.47986111111111113</v>
      </c>
      <c r="AE435" t="str">
        <v>Poblado</v>
      </c>
      <c r="AF435" t="str">
        <v>Domicilio</v>
      </c>
      <c r="AG435" t="str">
        <v>Vegano</v>
      </c>
      <c r="AH435">
        <v>5</v>
      </c>
      <c r="AI435">
        <v>36430.36</v>
      </c>
      <c r="AJ435">
        <v>6559.96</v>
      </c>
      <c r="AK435">
        <v>20</v>
      </c>
      <c r="AL435">
        <v>52</v>
      </c>
      <c r="AM435" t="str">
        <v>Efectivo</v>
      </c>
      <c r="AN435" t="str">
        <v>Cancelada</v>
      </c>
      <c r="AO435">
        <v>3</v>
      </c>
    </row>
    <row r="436" spans="1:41" x14ac:dyDescent="0.3">
      <c r="A436" t="s">
        <v>470</v>
      </c>
      <c r="B436" s="8">
        <v>45965</v>
      </c>
      <c r="C436" s="2">
        <v>0.52638888888888891</v>
      </c>
      <c r="D436" t="s">
        <v>27</v>
      </c>
      <c r="E436" t="s">
        <v>28</v>
      </c>
      <c r="F436" t="s">
        <v>36</v>
      </c>
      <c r="G436">
        <v>5</v>
      </c>
      <c r="H436" s="6">
        <v>35742.699999999997</v>
      </c>
      <c r="I436" s="6">
        <v>1145.8800000000001</v>
      </c>
      <c r="J436">
        <v>31</v>
      </c>
      <c r="K436">
        <v>44</v>
      </c>
      <c r="L436" t="s">
        <v>30</v>
      </c>
      <c r="M436" t="s">
        <v>31</v>
      </c>
      <c r="N436">
        <v>4</v>
      </c>
      <c r="O436" s="4"/>
      <c r="P436" s="4" t="str">
        <f>IF(Data_Set_2[[#This Row],[valor_bruto]]&gt;$W$13,"OUTLIER+","")</f>
        <v/>
      </c>
      <c r="Q436" s="4" t="str">
        <f>IF(Data_Set_2[[#This Row],[valor_bruto]]&lt;$W$14,"OUTLIER-","")</f>
        <v/>
      </c>
      <c r="R436" s="4"/>
      <c r="S436" s="4"/>
      <c r="AB436" t="str">
        <v>RES-100434</v>
      </c>
      <c r="AC436">
        <v>45965</v>
      </c>
      <c r="AD436">
        <v>0.52638888888888891</v>
      </c>
      <c r="AE436" t="str">
        <v>Centro</v>
      </c>
      <c r="AF436" t="str">
        <v>Recoge</v>
      </c>
      <c r="AG436" t="str">
        <v>Bebidas</v>
      </c>
      <c r="AH436">
        <v>5</v>
      </c>
      <c r="AI436">
        <v>35742.699999999997</v>
      </c>
      <c r="AJ436">
        <v>1145.8800000000001</v>
      </c>
      <c r="AK436">
        <v>31</v>
      </c>
      <c r="AL436">
        <v>44</v>
      </c>
      <c r="AM436" t="str">
        <v>App</v>
      </c>
      <c r="AN436" t="str">
        <v>Reembolsada</v>
      </c>
      <c r="AO436">
        <v>4</v>
      </c>
    </row>
    <row r="437" spans="1:41" x14ac:dyDescent="0.3">
      <c r="A437" t="s">
        <v>471</v>
      </c>
      <c r="B437" s="8">
        <v>45759</v>
      </c>
      <c r="C437" s="2">
        <v>0.57291666666666663</v>
      </c>
      <c r="D437" t="s">
        <v>33</v>
      </c>
      <c r="E437" t="s">
        <v>16</v>
      </c>
      <c r="F437" t="s">
        <v>17</v>
      </c>
      <c r="G437">
        <v>2</v>
      </c>
      <c r="H437" s="6">
        <v>63685.99</v>
      </c>
      <c r="I437" s="6">
        <v>4804.12</v>
      </c>
      <c r="J437">
        <v>14</v>
      </c>
      <c r="K437">
        <v>26</v>
      </c>
      <c r="L437" t="s">
        <v>18</v>
      </c>
      <c r="M437" t="s">
        <v>19</v>
      </c>
      <c r="N437">
        <v>5</v>
      </c>
      <c r="O437" s="4"/>
      <c r="P437" s="4" t="str">
        <f>IF(Data_Set_2[[#This Row],[valor_bruto]]&gt;$W$13,"OUTLIER+","")</f>
        <v/>
      </c>
      <c r="Q437" s="4" t="str">
        <f>IF(Data_Set_2[[#This Row],[valor_bruto]]&lt;$W$14,"OUTLIER-","")</f>
        <v/>
      </c>
      <c r="R437" s="4"/>
      <c r="S437" s="4"/>
      <c r="AB437" t="str">
        <v>RES-100435</v>
      </c>
      <c r="AC437">
        <v>45759</v>
      </c>
      <c r="AD437">
        <v>0.57291666666666663</v>
      </c>
      <c r="AE437" t="str">
        <v>Envigado</v>
      </c>
      <c r="AF437" t="str">
        <v>Mesa</v>
      </c>
      <c r="AG437" t="str">
        <v>Comida rapida</v>
      </c>
      <c r="AH437">
        <v>2</v>
      </c>
      <c r="AI437">
        <v>63685.99</v>
      </c>
      <c r="AJ437">
        <v>4804.12</v>
      </c>
      <c r="AK437">
        <v>14</v>
      </c>
      <c r="AL437">
        <v>26</v>
      </c>
      <c r="AM437" t="str">
        <v>Tarjeta</v>
      </c>
      <c r="AN437" t="str">
        <v>Entregada</v>
      </c>
      <c r="AO437">
        <v>5</v>
      </c>
    </row>
    <row r="438" spans="1:41" x14ac:dyDescent="0.3">
      <c r="A438" t="s">
        <v>472</v>
      </c>
      <c r="B438" s="8">
        <v>45760</v>
      </c>
      <c r="C438" s="2">
        <v>0.61944444444444446</v>
      </c>
      <c r="D438" t="s">
        <v>15</v>
      </c>
      <c r="E438" t="s">
        <v>22</v>
      </c>
      <c r="F438" t="s">
        <v>23</v>
      </c>
      <c r="G438">
        <v>5</v>
      </c>
      <c r="H438" s="6">
        <v>69987.62</v>
      </c>
      <c r="I438" s="6">
        <v>7189.55</v>
      </c>
      <c r="J438">
        <v>27</v>
      </c>
      <c r="K438">
        <v>46</v>
      </c>
      <c r="L438" t="s">
        <v>24</v>
      </c>
      <c r="M438" t="s">
        <v>25</v>
      </c>
      <c r="N438">
        <v>4</v>
      </c>
      <c r="O438" s="4"/>
      <c r="P438" s="4" t="str">
        <f>IF(Data_Set_2[[#This Row],[valor_bruto]]&gt;$W$13,"OUTLIER+","")</f>
        <v/>
      </c>
      <c r="Q438" s="4" t="str">
        <f>IF(Data_Set_2[[#This Row],[valor_bruto]]&lt;$W$14,"OUTLIER-","")</f>
        <v/>
      </c>
      <c r="R438" s="4"/>
      <c r="S438" s="4"/>
      <c r="AB438" t="str">
        <v>RES-100436</v>
      </c>
      <c r="AC438">
        <v>45760</v>
      </c>
      <c r="AD438">
        <v>0.61944444444444446</v>
      </c>
      <c r="AE438" t="str">
        <v>Laureles</v>
      </c>
      <c r="AF438" t="str">
        <v>Domicilio</v>
      </c>
      <c r="AG438" t="str">
        <v>Pasta</v>
      </c>
      <c r="AH438">
        <v>5</v>
      </c>
      <c r="AI438">
        <v>69987.62</v>
      </c>
      <c r="AJ438">
        <v>7189.55</v>
      </c>
      <c r="AK438">
        <v>27</v>
      </c>
      <c r="AL438">
        <v>46</v>
      </c>
      <c r="AM438" t="str">
        <v>Efectivo</v>
      </c>
      <c r="AN438" t="str">
        <v>Cancelada</v>
      </c>
      <c r="AO438">
        <v>4</v>
      </c>
    </row>
    <row r="439" spans="1:41" x14ac:dyDescent="0.3">
      <c r="A439" t="s">
        <v>473</v>
      </c>
      <c r="B439" s="8">
        <v>45761</v>
      </c>
      <c r="C439" s="2">
        <v>0.66597222222222219</v>
      </c>
      <c r="D439" t="s">
        <v>21</v>
      </c>
      <c r="E439" t="s">
        <v>28</v>
      </c>
      <c r="F439" t="s">
        <v>29</v>
      </c>
      <c r="G439">
        <v>4</v>
      </c>
      <c r="H439" s="6">
        <v>33421.81</v>
      </c>
      <c r="I439" s="6">
        <v>4032.2194736842098</v>
      </c>
      <c r="J439">
        <v>27</v>
      </c>
      <c r="K439">
        <v>49</v>
      </c>
      <c r="L439" t="s">
        <v>30</v>
      </c>
      <c r="M439" t="s">
        <v>31</v>
      </c>
      <c r="N439">
        <v>3</v>
      </c>
      <c r="O439" s="4"/>
      <c r="P439" s="4" t="str">
        <f>IF(Data_Set_2[[#This Row],[valor_bruto]]&gt;$W$13,"OUTLIER+","")</f>
        <v/>
      </c>
      <c r="Q439" s="4" t="str">
        <f>IF(Data_Set_2[[#This Row],[valor_bruto]]&lt;$W$14,"OUTLIER-","")</f>
        <v/>
      </c>
      <c r="R439" s="4"/>
      <c r="S439" s="4"/>
      <c r="AB439" t="str">
        <v>RES-100437</v>
      </c>
      <c r="AC439">
        <v>45761</v>
      </c>
      <c r="AD439">
        <v>0.66597222222222219</v>
      </c>
      <c r="AE439" t="str">
        <v>Poblado</v>
      </c>
      <c r="AF439" t="str">
        <v>Recoge</v>
      </c>
      <c r="AG439" t="str">
        <v>Parrilla</v>
      </c>
      <c r="AH439">
        <v>4</v>
      </c>
      <c r="AI439">
        <v>33421.81</v>
      </c>
      <c r="AJ439">
        <v>4032.2194736842098</v>
      </c>
      <c r="AK439">
        <v>27</v>
      </c>
      <c r="AL439">
        <v>49</v>
      </c>
      <c r="AM439" t="str">
        <v>App</v>
      </c>
      <c r="AN439" t="str">
        <v>Reembolsada</v>
      </c>
      <c r="AO439">
        <v>3</v>
      </c>
    </row>
    <row r="440" spans="1:41" x14ac:dyDescent="0.3">
      <c r="A440" t="s">
        <v>474</v>
      </c>
      <c r="B440" s="8">
        <v>45762</v>
      </c>
      <c r="C440" s="2">
        <v>0.67083333333333328</v>
      </c>
      <c r="D440" t="s">
        <v>27</v>
      </c>
      <c r="E440" t="s">
        <v>16</v>
      </c>
      <c r="F440" t="s">
        <v>34</v>
      </c>
      <c r="G440">
        <v>6</v>
      </c>
      <c r="H440" s="6">
        <v>57458.87</v>
      </c>
      <c r="I440" s="6">
        <v>871.7</v>
      </c>
      <c r="J440">
        <v>20</v>
      </c>
      <c r="K440">
        <v>38</v>
      </c>
      <c r="L440" t="s">
        <v>18</v>
      </c>
      <c r="M440" t="s">
        <v>19</v>
      </c>
      <c r="N440">
        <v>5</v>
      </c>
      <c r="O440" s="4"/>
      <c r="P440" s="4" t="str">
        <f>IF(Data_Set_2[[#This Row],[valor_bruto]]&gt;$W$13,"OUTLIER+","")</f>
        <v/>
      </c>
      <c r="Q440" s="4" t="str">
        <f>IF(Data_Set_2[[#This Row],[valor_bruto]]&lt;$W$14,"OUTLIER-","")</f>
        <v/>
      </c>
      <c r="R440" s="4"/>
      <c r="S440" s="4"/>
      <c r="AB440" t="str">
        <v>RES-100438</v>
      </c>
      <c r="AC440">
        <v>45762</v>
      </c>
      <c r="AD440">
        <v>0.67083333333333328</v>
      </c>
      <c r="AE440" t="str">
        <v>Centro</v>
      </c>
      <c r="AF440" t="str">
        <v>Mesa</v>
      </c>
      <c r="AG440" t="str">
        <v>Vegano</v>
      </c>
      <c r="AH440">
        <v>6</v>
      </c>
      <c r="AI440">
        <v>57458.87</v>
      </c>
      <c r="AJ440">
        <v>871.7</v>
      </c>
      <c r="AK440">
        <v>20</v>
      </c>
      <c r="AL440">
        <v>38</v>
      </c>
      <c r="AM440" t="str">
        <v>Tarjeta</v>
      </c>
      <c r="AN440" t="str">
        <v>Entregada</v>
      </c>
      <c r="AO440">
        <v>5</v>
      </c>
    </row>
    <row r="441" spans="1:41" x14ac:dyDescent="0.3">
      <c r="A441" t="s">
        <v>475</v>
      </c>
      <c r="B441" s="8">
        <v>45763</v>
      </c>
      <c r="C441" s="2">
        <v>0.71736111111111112</v>
      </c>
      <c r="D441" t="s">
        <v>33</v>
      </c>
      <c r="E441" t="s">
        <v>22</v>
      </c>
      <c r="F441" t="s">
        <v>36</v>
      </c>
      <c r="G441">
        <v>3</v>
      </c>
      <c r="H441" s="6">
        <v>55949.21</v>
      </c>
      <c r="I441" s="6">
        <v>1462.48</v>
      </c>
      <c r="J441">
        <v>15</v>
      </c>
      <c r="K441">
        <v>50</v>
      </c>
      <c r="L441" t="s">
        <v>24</v>
      </c>
      <c r="M441" t="s">
        <v>25</v>
      </c>
      <c r="N441">
        <v>3</v>
      </c>
      <c r="O441" s="4"/>
      <c r="P441" s="4" t="str">
        <f>IF(Data_Set_2[[#This Row],[valor_bruto]]&gt;$W$13,"OUTLIER+","")</f>
        <v/>
      </c>
      <c r="Q441" s="4" t="str">
        <f>IF(Data_Set_2[[#This Row],[valor_bruto]]&lt;$W$14,"OUTLIER-","")</f>
        <v/>
      </c>
      <c r="R441" s="4"/>
      <c r="S441" s="4"/>
      <c r="AB441" t="str">
        <v>RES-100439</v>
      </c>
      <c r="AC441">
        <v>45763</v>
      </c>
      <c r="AD441">
        <v>0.71736111111111112</v>
      </c>
      <c r="AE441" t="str">
        <v>Envigado</v>
      </c>
      <c r="AF441" t="str">
        <v>Domicilio</v>
      </c>
      <c r="AG441" t="str">
        <v>Bebidas</v>
      </c>
      <c r="AH441">
        <v>3</v>
      </c>
      <c r="AI441">
        <v>55949.21</v>
      </c>
      <c r="AJ441">
        <v>1462.48</v>
      </c>
      <c r="AK441">
        <v>15</v>
      </c>
      <c r="AL441">
        <v>50</v>
      </c>
      <c r="AM441" t="str">
        <v>Efectivo</v>
      </c>
      <c r="AN441" t="str">
        <v>Cancelada</v>
      </c>
      <c r="AO441">
        <v>3</v>
      </c>
    </row>
    <row r="442" spans="1:41" x14ac:dyDescent="0.3">
      <c r="A442" t="s">
        <v>476</v>
      </c>
      <c r="B442" s="8">
        <v>45764</v>
      </c>
      <c r="C442" s="2">
        <v>0.76388888888888884</v>
      </c>
      <c r="D442" t="s">
        <v>15</v>
      </c>
      <c r="E442" t="s">
        <v>28</v>
      </c>
      <c r="F442" t="s">
        <v>17</v>
      </c>
      <c r="G442">
        <v>3</v>
      </c>
      <c r="H442" s="6">
        <v>53103.32</v>
      </c>
      <c r="I442" s="6">
        <v>8251.36</v>
      </c>
      <c r="J442">
        <v>26</v>
      </c>
      <c r="K442">
        <v>31</v>
      </c>
      <c r="L442" t="s">
        <v>30</v>
      </c>
      <c r="M442" t="s">
        <v>31</v>
      </c>
      <c r="N442">
        <v>3</v>
      </c>
      <c r="O442" s="4"/>
      <c r="P442" s="4" t="str">
        <f>IF(Data_Set_2[[#This Row],[valor_bruto]]&gt;$W$13,"OUTLIER+","")</f>
        <v/>
      </c>
      <c r="Q442" s="4" t="str">
        <f>IF(Data_Set_2[[#This Row],[valor_bruto]]&lt;$W$14,"OUTLIER-","")</f>
        <v/>
      </c>
      <c r="R442" s="4"/>
      <c r="S442" s="4"/>
      <c r="AB442" t="str">
        <v>RES-100440</v>
      </c>
      <c r="AC442">
        <v>45764</v>
      </c>
      <c r="AD442">
        <v>0.76388888888888884</v>
      </c>
      <c r="AE442" t="str">
        <v>Laureles</v>
      </c>
      <c r="AF442" t="str">
        <v>Recoge</v>
      </c>
      <c r="AG442" t="str">
        <v>Comida rapida</v>
      </c>
      <c r="AH442">
        <v>3</v>
      </c>
      <c r="AI442">
        <v>53103.32</v>
      </c>
      <c r="AJ442">
        <v>8251.36</v>
      </c>
      <c r="AK442">
        <v>26</v>
      </c>
      <c r="AL442">
        <v>31</v>
      </c>
      <c r="AM442" t="str">
        <v>App</v>
      </c>
      <c r="AN442" t="str">
        <v>Reembolsada</v>
      </c>
      <c r="AO442">
        <v>3</v>
      </c>
    </row>
    <row r="443" spans="1:41" x14ac:dyDescent="0.3">
      <c r="A443" t="s">
        <v>477</v>
      </c>
      <c r="B443" s="8">
        <v>45765</v>
      </c>
      <c r="C443" s="2">
        <v>0.81041666666666667</v>
      </c>
      <c r="D443" t="s">
        <v>21</v>
      </c>
      <c r="E443" t="s">
        <v>16</v>
      </c>
      <c r="F443" t="s">
        <v>23</v>
      </c>
      <c r="G443">
        <v>5</v>
      </c>
      <c r="H443" s="6">
        <v>28206.76</v>
      </c>
      <c r="I443" s="6">
        <v>6054.03</v>
      </c>
      <c r="J443">
        <v>26</v>
      </c>
      <c r="K443">
        <v>39</v>
      </c>
      <c r="L443" t="s">
        <v>18</v>
      </c>
      <c r="M443" t="s">
        <v>19</v>
      </c>
      <c r="N443">
        <v>4</v>
      </c>
      <c r="O443" s="4"/>
      <c r="P443" s="4" t="str">
        <f>IF(Data_Set_2[[#This Row],[valor_bruto]]&gt;$W$13,"OUTLIER+","")</f>
        <v/>
      </c>
      <c r="Q443" s="4" t="str">
        <f>IF(Data_Set_2[[#This Row],[valor_bruto]]&lt;$W$14,"OUTLIER-","")</f>
        <v/>
      </c>
      <c r="R443" s="4"/>
      <c r="S443" s="4"/>
      <c r="AB443" t="str">
        <v>RES-100441</v>
      </c>
      <c r="AC443">
        <v>45765</v>
      </c>
      <c r="AD443">
        <v>0.81041666666666667</v>
      </c>
      <c r="AE443" t="str">
        <v>Poblado</v>
      </c>
      <c r="AF443" t="str">
        <v>Mesa</v>
      </c>
      <c r="AG443" t="str">
        <v>Pasta</v>
      </c>
      <c r="AH443">
        <v>5</v>
      </c>
      <c r="AI443">
        <v>28206.76</v>
      </c>
      <c r="AJ443">
        <v>6054.03</v>
      </c>
      <c r="AK443">
        <v>26</v>
      </c>
      <c r="AL443">
        <v>39</v>
      </c>
      <c r="AM443" t="str">
        <v>Tarjeta</v>
      </c>
      <c r="AN443" t="str">
        <v>Entregada</v>
      </c>
      <c r="AO443">
        <v>4</v>
      </c>
    </row>
    <row r="444" spans="1:41" x14ac:dyDescent="0.3">
      <c r="A444" t="s">
        <v>478</v>
      </c>
      <c r="B444" s="8">
        <v>45766</v>
      </c>
      <c r="C444" s="2">
        <v>0.8569444444444444</v>
      </c>
      <c r="D444" t="s">
        <v>27</v>
      </c>
      <c r="E444" t="s">
        <v>22</v>
      </c>
      <c r="F444" t="s">
        <v>29</v>
      </c>
      <c r="G444">
        <v>6</v>
      </c>
      <c r="H444" s="6">
        <v>33581.440000000002</v>
      </c>
      <c r="I444" s="6">
        <v>2629.85</v>
      </c>
      <c r="J444">
        <v>30</v>
      </c>
      <c r="K444">
        <v>27</v>
      </c>
      <c r="L444" t="s">
        <v>24</v>
      </c>
      <c r="M444" t="s">
        <v>25</v>
      </c>
      <c r="N444">
        <v>5</v>
      </c>
      <c r="O444" s="4"/>
      <c r="P444" s="4" t="str">
        <f>IF(Data_Set_2[[#This Row],[valor_bruto]]&gt;$W$13,"OUTLIER+","")</f>
        <v/>
      </c>
      <c r="Q444" s="4" t="str">
        <f>IF(Data_Set_2[[#This Row],[valor_bruto]]&lt;$W$14,"OUTLIER-","")</f>
        <v/>
      </c>
      <c r="R444" s="4"/>
      <c r="S444" s="4"/>
      <c r="AB444" t="str">
        <v>RES-100442</v>
      </c>
      <c r="AC444">
        <v>45766</v>
      </c>
      <c r="AD444">
        <v>0.8569444444444444</v>
      </c>
      <c r="AE444" t="str">
        <v>Centro</v>
      </c>
      <c r="AF444" t="str">
        <v>Domicilio</v>
      </c>
      <c r="AG444" t="str">
        <v>Parrilla</v>
      </c>
      <c r="AH444">
        <v>6</v>
      </c>
      <c r="AI444">
        <v>33581.440000000002</v>
      </c>
      <c r="AJ444">
        <v>2629.85</v>
      </c>
      <c r="AK444">
        <v>30</v>
      </c>
      <c r="AL444">
        <v>27</v>
      </c>
      <c r="AM444" t="str">
        <v>Efectivo</v>
      </c>
      <c r="AN444" t="str">
        <v>Cancelada</v>
      </c>
      <c r="AO444">
        <v>5</v>
      </c>
    </row>
    <row r="445" spans="1:41" x14ac:dyDescent="0.3">
      <c r="A445" t="s">
        <v>479</v>
      </c>
      <c r="B445" s="8">
        <v>45767</v>
      </c>
      <c r="C445" s="2">
        <v>0.90347222222222223</v>
      </c>
      <c r="D445" t="s">
        <v>33</v>
      </c>
      <c r="E445" t="s">
        <v>28</v>
      </c>
      <c r="F445" t="s">
        <v>34</v>
      </c>
      <c r="G445">
        <v>4</v>
      </c>
      <c r="H445" s="6">
        <v>32284</v>
      </c>
      <c r="I445" s="6">
        <v>5106.83</v>
      </c>
      <c r="J445">
        <v>28</v>
      </c>
      <c r="K445">
        <v>47</v>
      </c>
      <c r="L445" t="s">
        <v>30</v>
      </c>
      <c r="M445" t="s">
        <v>31</v>
      </c>
      <c r="N445">
        <v>5</v>
      </c>
      <c r="O445" s="4"/>
      <c r="P445" s="4" t="str">
        <f>IF(Data_Set_2[[#This Row],[valor_bruto]]&gt;$W$13,"OUTLIER+","")</f>
        <v/>
      </c>
      <c r="Q445" s="4" t="str">
        <f>IF(Data_Set_2[[#This Row],[valor_bruto]]&lt;$W$14,"OUTLIER-","")</f>
        <v/>
      </c>
      <c r="R445" s="4"/>
      <c r="S445" s="4"/>
      <c r="AB445" t="str">
        <v>RES-100443</v>
      </c>
      <c r="AC445">
        <v>45767</v>
      </c>
      <c r="AD445">
        <v>0.90347222222222223</v>
      </c>
      <c r="AE445" t="str">
        <v>Envigado</v>
      </c>
      <c r="AF445" t="str">
        <v>Recoge</v>
      </c>
      <c r="AG445" t="str">
        <v>Vegano</v>
      </c>
      <c r="AH445">
        <v>4</v>
      </c>
      <c r="AI445">
        <v>32284</v>
      </c>
      <c r="AJ445">
        <v>5106.83</v>
      </c>
      <c r="AK445">
        <v>28</v>
      </c>
      <c r="AL445">
        <v>47</v>
      </c>
      <c r="AM445" t="str">
        <v>App</v>
      </c>
      <c r="AN445" t="str">
        <v>Reembolsada</v>
      </c>
      <c r="AO445">
        <v>5</v>
      </c>
    </row>
    <row r="446" spans="1:41" x14ac:dyDescent="0.3">
      <c r="A446" t="s">
        <v>480</v>
      </c>
      <c r="B446" s="8">
        <v>45768</v>
      </c>
      <c r="C446" s="2">
        <v>0.45</v>
      </c>
      <c r="D446" t="s">
        <v>15</v>
      </c>
      <c r="E446" t="s">
        <v>16</v>
      </c>
      <c r="F446" t="s">
        <v>36</v>
      </c>
      <c r="G446">
        <v>2</v>
      </c>
      <c r="H446" s="6">
        <v>43607.06</v>
      </c>
      <c r="I446" s="6">
        <v>3795.09</v>
      </c>
      <c r="J446">
        <v>24</v>
      </c>
      <c r="K446">
        <v>45</v>
      </c>
      <c r="L446" t="s">
        <v>18</v>
      </c>
      <c r="M446" t="s">
        <v>19</v>
      </c>
      <c r="N446">
        <v>3</v>
      </c>
      <c r="O446" s="4"/>
      <c r="P446" s="4" t="str">
        <f>IF(Data_Set_2[[#This Row],[valor_bruto]]&gt;$W$13,"OUTLIER+","")</f>
        <v/>
      </c>
      <c r="Q446" s="4" t="str">
        <f>IF(Data_Set_2[[#This Row],[valor_bruto]]&lt;$W$14,"OUTLIER-","")</f>
        <v/>
      </c>
      <c r="R446" s="4"/>
      <c r="S446" s="4"/>
      <c r="AB446" t="str">
        <v>RES-100444</v>
      </c>
      <c r="AC446">
        <v>45768</v>
      </c>
      <c r="AD446">
        <v>0.45</v>
      </c>
      <c r="AE446" t="str">
        <v>Laureles</v>
      </c>
      <c r="AF446" t="str">
        <v>Mesa</v>
      </c>
      <c r="AG446" t="str">
        <v>Bebidas</v>
      </c>
      <c r="AH446">
        <v>2</v>
      </c>
      <c r="AI446">
        <v>43607.06</v>
      </c>
      <c r="AJ446">
        <v>3795.09</v>
      </c>
      <c r="AK446">
        <v>24</v>
      </c>
      <c r="AL446">
        <v>45</v>
      </c>
      <c r="AM446" t="str">
        <v>Tarjeta</v>
      </c>
      <c r="AN446" t="str">
        <v>Entregada</v>
      </c>
      <c r="AO446">
        <v>3</v>
      </c>
    </row>
    <row r="447" spans="1:41" x14ac:dyDescent="0.3">
      <c r="A447" t="s">
        <v>481</v>
      </c>
      <c r="B447" s="8">
        <v>45769</v>
      </c>
      <c r="C447" s="2">
        <v>0.49652777777777779</v>
      </c>
      <c r="D447" t="s">
        <v>21</v>
      </c>
      <c r="E447" t="s">
        <v>22</v>
      </c>
      <c r="F447" t="s">
        <v>17</v>
      </c>
      <c r="G447">
        <v>2</v>
      </c>
      <c r="H447" s="6">
        <v>66505.399999999994</v>
      </c>
      <c r="I447" s="6">
        <v>5747.24</v>
      </c>
      <c r="J447">
        <v>18</v>
      </c>
      <c r="K447">
        <v>30</v>
      </c>
      <c r="L447" t="s">
        <v>24</v>
      </c>
      <c r="M447" t="s">
        <v>25</v>
      </c>
      <c r="N447">
        <v>5</v>
      </c>
      <c r="O447" s="4"/>
      <c r="P447" s="4" t="str">
        <f>IF(Data_Set_2[[#This Row],[valor_bruto]]&gt;$W$13,"OUTLIER+","")</f>
        <v/>
      </c>
      <c r="Q447" s="4" t="str">
        <f>IF(Data_Set_2[[#This Row],[valor_bruto]]&lt;$W$14,"OUTLIER-","")</f>
        <v/>
      </c>
      <c r="R447" s="4"/>
      <c r="S447" s="4"/>
      <c r="AB447" t="str">
        <v>RES-100445</v>
      </c>
      <c r="AC447">
        <v>45769</v>
      </c>
      <c r="AD447">
        <v>0.49652777777777779</v>
      </c>
      <c r="AE447" t="str">
        <v>Poblado</v>
      </c>
      <c r="AF447" t="str">
        <v>Domicilio</v>
      </c>
      <c r="AG447" t="str">
        <v>Comida rapida</v>
      </c>
      <c r="AH447">
        <v>2</v>
      </c>
      <c r="AI447">
        <v>66505.399999999994</v>
      </c>
      <c r="AJ447">
        <v>5747.24</v>
      </c>
      <c r="AK447">
        <v>18</v>
      </c>
      <c r="AL447">
        <v>30</v>
      </c>
      <c r="AM447" t="str">
        <v>Efectivo</v>
      </c>
      <c r="AN447" t="str">
        <v>Cancelada</v>
      </c>
      <c r="AO447">
        <v>5</v>
      </c>
    </row>
    <row r="448" spans="1:41" x14ac:dyDescent="0.3">
      <c r="A448" t="s">
        <v>482</v>
      </c>
      <c r="B448" s="8">
        <v>45770</v>
      </c>
      <c r="C448" s="2">
        <v>0.50138888888888888</v>
      </c>
      <c r="D448" t="s">
        <v>27</v>
      </c>
      <c r="E448" t="s">
        <v>28</v>
      </c>
      <c r="F448" t="s">
        <v>23</v>
      </c>
      <c r="G448">
        <v>4</v>
      </c>
      <c r="H448" s="6">
        <v>61030.12</v>
      </c>
      <c r="I448" s="6">
        <v>1566.41</v>
      </c>
      <c r="J448">
        <v>13</v>
      </c>
      <c r="K448">
        <v>45</v>
      </c>
      <c r="L448" t="s">
        <v>30</v>
      </c>
      <c r="M448" t="s">
        <v>31</v>
      </c>
      <c r="N448">
        <v>5</v>
      </c>
      <c r="O448" s="4"/>
      <c r="P448" s="4" t="str">
        <f>IF(Data_Set_2[[#This Row],[valor_bruto]]&gt;$W$13,"OUTLIER+","")</f>
        <v/>
      </c>
      <c r="Q448" s="4" t="str">
        <f>IF(Data_Set_2[[#This Row],[valor_bruto]]&lt;$W$14,"OUTLIER-","")</f>
        <v/>
      </c>
      <c r="R448" s="4"/>
      <c r="S448" s="4"/>
      <c r="AB448" t="str">
        <v>RES-100446</v>
      </c>
      <c r="AC448">
        <v>45770</v>
      </c>
      <c r="AD448">
        <v>0.50138888888888888</v>
      </c>
      <c r="AE448" t="str">
        <v>Centro</v>
      </c>
      <c r="AF448" t="str">
        <v>Recoge</v>
      </c>
      <c r="AG448" t="str">
        <v>Pasta</v>
      </c>
      <c r="AH448">
        <v>4</v>
      </c>
      <c r="AI448">
        <v>61030.12</v>
      </c>
      <c r="AJ448">
        <v>1566.41</v>
      </c>
      <c r="AK448">
        <v>13</v>
      </c>
      <c r="AL448">
        <v>45</v>
      </c>
      <c r="AM448" t="str">
        <v>App</v>
      </c>
      <c r="AN448" t="str">
        <v>Reembolsada</v>
      </c>
      <c r="AO448">
        <v>5</v>
      </c>
    </row>
    <row r="449" spans="1:41" x14ac:dyDescent="0.3">
      <c r="A449" t="s">
        <v>483</v>
      </c>
      <c r="B449" s="8">
        <v>45771</v>
      </c>
      <c r="C449" s="2">
        <v>0.54791666666666672</v>
      </c>
      <c r="D449" t="s">
        <v>33</v>
      </c>
      <c r="E449" t="s">
        <v>16</v>
      </c>
      <c r="F449" t="s">
        <v>29</v>
      </c>
      <c r="G449">
        <v>6</v>
      </c>
      <c r="H449" s="6">
        <v>28186.21</v>
      </c>
      <c r="I449" s="6">
        <v>3746.09</v>
      </c>
      <c r="J449">
        <v>26</v>
      </c>
      <c r="K449">
        <v>44</v>
      </c>
      <c r="L449" t="s">
        <v>18</v>
      </c>
      <c r="M449" t="s">
        <v>19</v>
      </c>
      <c r="N449">
        <v>3</v>
      </c>
      <c r="O449" s="4"/>
      <c r="P449" s="4" t="str">
        <f>IF(Data_Set_2[[#This Row],[valor_bruto]]&gt;$W$13,"OUTLIER+","")</f>
        <v/>
      </c>
      <c r="Q449" s="4" t="str">
        <f>IF(Data_Set_2[[#This Row],[valor_bruto]]&lt;$W$14,"OUTLIER-","")</f>
        <v/>
      </c>
      <c r="R449" s="4"/>
      <c r="S449" s="4"/>
      <c r="AB449" t="str">
        <v>RES-100447</v>
      </c>
      <c r="AC449">
        <v>45771</v>
      </c>
      <c r="AD449">
        <v>0.54791666666666672</v>
      </c>
      <c r="AE449" t="str">
        <v>Envigado</v>
      </c>
      <c r="AF449" t="str">
        <v>Mesa</v>
      </c>
      <c r="AG449" t="str">
        <v>Parrilla</v>
      </c>
      <c r="AH449">
        <v>6</v>
      </c>
      <c r="AI449">
        <v>28186.21</v>
      </c>
      <c r="AJ449">
        <v>3746.09</v>
      </c>
      <c r="AK449">
        <v>26</v>
      </c>
      <c r="AL449">
        <v>44</v>
      </c>
      <c r="AM449" t="str">
        <v>Tarjeta</v>
      </c>
      <c r="AN449" t="str">
        <v>Entregada</v>
      </c>
      <c r="AO449">
        <v>3</v>
      </c>
    </row>
    <row r="450" spans="1:41" x14ac:dyDescent="0.3">
      <c r="A450" t="s">
        <v>484</v>
      </c>
      <c r="B450" s="8">
        <v>45772</v>
      </c>
      <c r="C450" s="2">
        <v>0.59444444444444444</v>
      </c>
      <c r="D450" t="s">
        <v>15</v>
      </c>
      <c r="E450" t="s">
        <v>22</v>
      </c>
      <c r="F450" t="s">
        <v>34</v>
      </c>
      <c r="G450">
        <v>4</v>
      </c>
      <c r="H450" s="6">
        <v>43727.45</v>
      </c>
      <c r="I450" s="6">
        <v>3539</v>
      </c>
      <c r="J450">
        <v>19</v>
      </c>
      <c r="K450">
        <v>39</v>
      </c>
      <c r="L450" t="s">
        <v>24</v>
      </c>
      <c r="M450" t="s">
        <v>25</v>
      </c>
      <c r="N450">
        <v>4</v>
      </c>
      <c r="O450" s="4"/>
      <c r="P450" s="4" t="str">
        <f>IF(Data_Set_2[[#This Row],[valor_bruto]]&gt;$W$13,"OUTLIER+","")</f>
        <v/>
      </c>
      <c r="Q450" s="4" t="str">
        <f>IF(Data_Set_2[[#This Row],[valor_bruto]]&lt;$W$14,"OUTLIER-","")</f>
        <v/>
      </c>
      <c r="R450" s="4"/>
      <c r="S450" s="4"/>
      <c r="AB450" t="str">
        <v>RES-100448</v>
      </c>
      <c r="AC450">
        <v>45772</v>
      </c>
      <c r="AD450">
        <v>0.59444444444444444</v>
      </c>
      <c r="AE450" t="str">
        <v>Laureles</v>
      </c>
      <c r="AF450" t="str">
        <v>Domicilio</v>
      </c>
      <c r="AG450" t="str">
        <v>Vegano</v>
      </c>
      <c r="AH450">
        <v>4</v>
      </c>
      <c r="AI450">
        <v>43727.45</v>
      </c>
      <c r="AJ450">
        <v>3539</v>
      </c>
      <c r="AK450">
        <v>19</v>
      </c>
      <c r="AL450">
        <v>39</v>
      </c>
      <c r="AM450" t="str">
        <v>Efectivo</v>
      </c>
      <c r="AN450" t="str">
        <v>Cancelada</v>
      </c>
      <c r="AO450">
        <v>4</v>
      </c>
    </row>
    <row r="451" spans="1:41" x14ac:dyDescent="0.3">
      <c r="A451" t="s">
        <v>485</v>
      </c>
      <c r="B451" s="8">
        <v>45773</v>
      </c>
      <c r="C451" s="2">
        <v>0.64097222222222228</v>
      </c>
      <c r="D451" t="s">
        <v>21</v>
      </c>
      <c r="E451" t="s">
        <v>28</v>
      </c>
      <c r="F451" t="s">
        <v>36</v>
      </c>
      <c r="G451">
        <v>5</v>
      </c>
      <c r="H451" s="6">
        <v>46488.639999999999</v>
      </c>
      <c r="I451" s="6">
        <v>5838.25</v>
      </c>
      <c r="J451">
        <v>20</v>
      </c>
      <c r="K451">
        <v>44</v>
      </c>
      <c r="L451" t="s">
        <v>30</v>
      </c>
      <c r="M451" t="s">
        <v>31</v>
      </c>
      <c r="N451">
        <v>4</v>
      </c>
      <c r="O451" s="4"/>
      <c r="P451" s="4" t="str">
        <f>IF(Data_Set_2[[#This Row],[valor_bruto]]&gt;$W$13,"OUTLIER+","")</f>
        <v/>
      </c>
      <c r="Q451" s="4" t="str">
        <f>IF(Data_Set_2[[#This Row],[valor_bruto]]&lt;$W$14,"OUTLIER-","")</f>
        <v/>
      </c>
      <c r="R451" s="4"/>
      <c r="S451" s="4"/>
      <c r="AB451" t="str">
        <v>RES-100449</v>
      </c>
      <c r="AC451">
        <v>45773</v>
      </c>
      <c r="AD451">
        <v>0.64097222222222228</v>
      </c>
      <c r="AE451" t="str">
        <v>Poblado</v>
      </c>
      <c r="AF451" t="str">
        <v>Recoge</v>
      </c>
      <c r="AG451" t="str">
        <v>Bebidas</v>
      </c>
      <c r="AH451">
        <v>5</v>
      </c>
      <c r="AI451">
        <v>46488.639999999999</v>
      </c>
      <c r="AJ451">
        <v>5838.25</v>
      </c>
      <c r="AK451">
        <v>20</v>
      </c>
      <c r="AL451">
        <v>44</v>
      </c>
      <c r="AM451" t="str">
        <v>App</v>
      </c>
      <c r="AN451" t="str">
        <v>Reembolsada</v>
      </c>
      <c r="AO451">
        <v>4</v>
      </c>
    </row>
    <row r="452" spans="1:41" x14ac:dyDescent="0.3">
      <c r="A452" t="s">
        <v>486</v>
      </c>
      <c r="B452" s="8">
        <v>45774</v>
      </c>
      <c r="C452" s="2">
        <v>0.6875</v>
      </c>
      <c r="D452" t="s">
        <v>27</v>
      </c>
      <c r="E452" t="s">
        <v>16</v>
      </c>
      <c r="F452" t="s">
        <v>17</v>
      </c>
      <c r="G452">
        <v>3</v>
      </c>
      <c r="H452" s="6">
        <v>33290.449999999997</v>
      </c>
      <c r="I452" s="6">
        <v>8476.14</v>
      </c>
      <c r="J452">
        <v>19</v>
      </c>
      <c r="K452">
        <v>46</v>
      </c>
      <c r="L452" t="s">
        <v>18</v>
      </c>
      <c r="M452" t="s">
        <v>19</v>
      </c>
      <c r="N452">
        <v>4</v>
      </c>
      <c r="O452" s="4"/>
      <c r="P452" s="4" t="str">
        <f>IF(Data_Set_2[[#This Row],[valor_bruto]]&gt;$W$13,"OUTLIER+","")</f>
        <v/>
      </c>
      <c r="Q452" s="4" t="str">
        <f>IF(Data_Set_2[[#This Row],[valor_bruto]]&lt;$W$14,"OUTLIER-","")</f>
        <v/>
      </c>
      <c r="R452" s="4"/>
      <c r="S452" s="4"/>
      <c r="AB452" t="str">
        <v>RES-100450</v>
      </c>
      <c r="AC452">
        <v>45774</v>
      </c>
      <c r="AD452">
        <v>0.6875</v>
      </c>
      <c r="AE452" t="str">
        <v>Centro</v>
      </c>
      <c r="AF452" t="str">
        <v>Mesa</v>
      </c>
      <c r="AG452" t="str">
        <v>Comida rapida</v>
      </c>
      <c r="AH452">
        <v>3</v>
      </c>
      <c r="AI452">
        <v>33290.449999999997</v>
      </c>
      <c r="AJ452">
        <v>8476.14</v>
      </c>
      <c r="AK452">
        <v>19</v>
      </c>
      <c r="AL452">
        <v>46</v>
      </c>
      <c r="AM452" t="str">
        <v>Tarjeta</v>
      </c>
      <c r="AN452" t="str">
        <v>Entregada</v>
      </c>
      <c r="AO452">
        <v>4</v>
      </c>
    </row>
    <row r="453" spans="1:41" x14ac:dyDescent="0.3">
      <c r="A453" t="s">
        <v>487</v>
      </c>
      <c r="B453" s="8">
        <v>45775</v>
      </c>
      <c r="C453" s="2">
        <v>0.73402777777777772</v>
      </c>
      <c r="D453" t="s">
        <v>33</v>
      </c>
      <c r="E453" t="s">
        <v>22</v>
      </c>
      <c r="F453" t="s">
        <v>23</v>
      </c>
      <c r="G453">
        <v>5</v>
      </c>
      <c r="H453" s="6">
        <v>41048.019999999997</v>
      </c>
      <c r="I453" s="6">
        <v>4929.45</v>
      </c>
      <c r="J453">
        <v>14</v>
      </c>
      <c r="K453">
        <v>44</v>
      </c>
      <c r="L453" t="s">
        <v>24</v>
      </c>
      <c r="M453" t="s">
        <v>25</v>
      </c>
      <c r="N453">
        <v>3</v>
      </c>
      <c r="O453" s="4"/>
      <c r="P453" s="4" t="str">
        <f>IF(Data_Set_2[[#This Row],[valor_bruto]]&gt;$W$13,"OUTLIER+","")</f>
        <v/>
      </c>
      <c r="Q453" s="4" t="str">
        <f>IF(Data_Set_2[[#This Row],[valor_bruto]]&lt;$W$14,"OUTLIER-","")</f>
        <v/>
      </c>
      <c r="R453" s="4"/>
      <c r="S453" s="4"/>
      <c r="AB453" t="str">
        <v>RES-100451</v>
      </c>
      <c r="AC453">
        <v>45775</v>
      </c>
      <c r="AD453">
        <v>0.73402777777777772</v>
      </c>
      <c r="AE453" t="str">
        <v>Envigado</v>
      </c>
      <c r="AF453" t="str">
        <v>Domicilio</v>
      </c>
      <c r="AG453" t="str">
        <v>Pasta</v>
      </c>
      <c r="AH453">
        <v>5</v>
      </c>
      <c r="AI453">
        <v>41048.019999999997</v>
      </c>
      <c r="AJ453">
        <v>4929.45</v>
      </c>
      <c r="AK453">
        <v>14</v>
      </c>
      <c r="AL453">
        <v>44</v>
      </c>
      <c r="AM453" t="str">
        <v>Efectivo</v>
      </c>
      <c r="AN453" t="str">
        <v>Cancelada</v>
      </c>
      <c r="AO453">
        <v>3</v>
      </c>
    </row>
    <row r="454" spans="1:41" x14ac:dyDescent="0.3">
      <c r="A454" t="s">
        <v>488</v>
      </c>
      <c r="B454" s="8">
        <v>45776</v>
      </c>
      <c r="C454" s="2">
        <v>0.78055555555555556</v>
      </c>
      <c r="D454" t="s">
        <v>15</v>
      </c>
      <c r="E454" t="s">
        <v>28</v>
      </c>
      <c r="F454" t="s">
        <v>29</v>
      </c>
      <c r="G454">
        <v>4</v>
      </c>
      <c r="H454" s="6">
        <v>53676.13</v>
      </c>
      <c r="I454" s="6">
        <v>5919.57</v>
      </c>
      <c r="J454">
        <v>20</v>
      </c>
      <c r="K454">
        <v>50</v>
      </c>
      <c r="L454" t="s">
        <v>30</v>
      </c>
      <c r="M454" t="s">
        <v>31</v>
      </c>
      <c r="N454">
        <v>5</v>
      </c>
      <c r="O454" s="4"/>
      <c r="P454" s="4" t="str">
        <f>IF(Data_Set_2[[#This Row],[valor_bruto]]&gt;$W$13,"OUTLIER+","")</f>
        <v/>
      </c>
      <c r="Q454" s="4" t="str">
        <f>IF(Data_Set_2[[#This Row],[valor_bruto]]&lt;$W$14,"OUTLIER-","")</f>
        <v/>
      </c>
      <c r="R454" s="4"/>
      <c r="S454" s="4"/>
      <c r="AB454" t="str">
        <v>RES-100452</v>
      </c>
      <c r="AC454">
        <v>45776</v>
      </c>
      <c r="AD454">
        <v>0.78055555555555556</v>
      </c>
      <c r="AE454" t="str">
        <v>Laureles</v>
      </c>
      <c r="AF454" t="str">
        <v>Recoge</v>
      </c>
      <c r="AG454" t="str">
        <v>Parrilla</v>
      </c>
      <c r="AH454">
        <v>4</v>
      </c>
      <c r="AI454">
        <v>53676.13</v>
      </c>
      <c r="AJ454">
        <v>5919.57</v>
      </c>
      <c r="AK454">
        <v>20</v>
      </c>
      <c r="AL454">
        <v>50</v>
      </c>
      <c r="AM454" t="str">
        <v>App</v>
      </c>
      <c r="AN454" t="str">
        <v>Reembolsada</v>
      </c>
      <c r="AO454">
        <v>5</v>
      </c>
    </row>
    <row r="455" spans="1:41" x14ac:dyDescent="0.3">
      <c r="A455" t="s">
        <v>489</v>
      </c>
      <c r="B455" s="8">
        <v>45777</v>
      </c>
      <c r="C455" s="2">
        <v>0.82708333333333328</v>
      </c>
      <c r="D455" t="s">
        <v>21</v>
      </c>
      <c r="E455" t="s">
        <v>16</v>
      </c>
      <c r="F455" t="s">
        <v>34</v>
      </c>
      <c r="G455">
        <v>3</v>
      </c>
      <c r="H455" s="6">
        <v>48477.5</v>
      </c>
      <c r="I455" s="6">
        <v>7040.96</v>
      </c>
      <c r="J455">
        <v>29</v>
      </c>
      <c r="K455">
        <v>43</v>
      </c>
      <c r="L455" t="s">
        <v>18</v>
      </c>
      <c r="M455" t="s">
        <v>19</v>
      </c>
      <c r="N455">
        <v>3</v>
      </c>
      <c r="O455" s="4"/>
      <c r="P455" s="4" t="str">
        <f>IF(Data_Set_2[[#This Row],[valor_bruto]]&gt;$W$13,"OUTLIER+","")</f>
        <v/>
      </c>
      <c r="Q455" s="4" t="str">
        <f>IF(Data_Set_2[[#This Row],[valor_bruto]]&lt;$W$14,"OUTLIER-","")</f>
        <v/>
      </c>
      <c r="R455" s="4"/>
      <c r="S455" s="4"/>
      <c r="AB455" t="str">
        <v>RES-100453</v>
      </c>
      <c r="AC455">
        <v>45777</v>
      </c>
      <c r="AD455">
        <v>0.82708333333333328</v>
      </c>
      <c r="AE455" t="str">
        <v>Poblado</v>
      </c>
      <c r="AF455" t="str">
        <v>Mesa</v>
      </c>
      <c r="AG455" t="str">
        <v>Vegano</v>
      </c>
      <c r="AH455">
        <v>3</v>
      </c>
      <c r="AI455">
        <v>48477.5</v>
      </c>
      <c r="AJ455">
        <v>7040.96</v>
      </c>
      <c r="AK455">
        <v>29</v>
      </c>
      <c r="AL455">
        <v>43</v>
      </c>
      <c r="AM455" t="str">
        <v>Tarjeta</v>
      </c>
      <c r="AN455" t="str">
        <v>Entregada</v>
      </c>
      <c r="AO455">
        <v>3</v>
      </c>
    </row>
    <row r="456" spans="1:41" x14ac:dyDescent="0.3">
      <c r="A456" t="s">
        <v>490</v>
      </c>
      <c r="B456" s="8">
        <v>45778</v>
      </c>
      <c r="C456" s="2">
        <v>0.87361111111111112</v>
      </c>
      <c r="D456" t="s">
        <v>27</v>
      </c>
      <c r="E456" t="s">
        <v>22</v>
      </c>
      <c r="F456" t="s">
        <v>36</v>
      </c>
      <c r="G456">
        <v>6</v>
      </c>
      <c r="H456" s="6">
        <v>47935.45</v>
      </c>
      <c r="I456" s="6">
        <v>3243.76</v>
      </c>
      <c r="J456">
        <v>29</v>
      </c>
      <c r="K456">
        <v>47</v>
      </c>
      <c r="L456" t="s">
        <v>24</v>
      </c>
      <c r="M456" t="s">
        <v>25</v>
      </c>
      <c r="N456">
        <v>4</v>
      </c>
      <c r="O456" s="4"/>
      <c r="P456" s="4" t="str">
        <f>IF(Data_Set_2[[#This Row],[valor_bruto]]&gt;$W$13,"OUTLIER+","")</f>
        <v/>
      </c>
      <c r="Q456" s="4" t="str">
        <f>IF(Data_Set_2[[#This Row],[valor_bruto]]&lt;$W$14,"OUTLIER-","")</f>
        <v/>
      </c>
      <c r="R456" s="4"/>
      <c r="S456" s="4"/>
      <c r="AB456" t="str">
        <v>RES-100454</v>
      </c>
      <c r="AC456">
        <v>45778</v>
      </c>
      <c r="AD456">
        <v>0.87361111111111112</v>
      </c>
      <c r="AE456" t="str">
        <v>Centro</v>
      </c>
      <c r="AF456" t="str">
        <v>Domicilio</v>
      </c>
      <c r="AG456" t="str">
        <v>Bebidas</v>
      </c>
      <c r="AH456">
        <v>6</v>
      </c>
      <c r="AI456">
        <v>47935.45</v>
      </c>
      <c r="AJ456">
        <v>3243.76</v>
      </c>
      <c r="AK456">
        <v>29</v>
      </c>
      <c r="AL456">
        <v>47</v>
      </c>
      <c r="AM456" t="str">
        <v>Efectivo</v>
      </c>
      <c r="AN456" t="str">
        <v>Cancelada</v>
      </c>
      <c r="AO456">
        <v>4</v>
      </c>
    </row>
    <row r="457" spans="1:41" x14ac:dyDescent="0.3">
      <c r="A457" t="s">
        <v>491</v>
      </c>
      <c r="B457" s="8">
        <v>45693</v>
      </c>
      <c r="C457" s="2">
        <v>0.87847222222222221</v>
      </c>
      <c r="D457" t="s">
        <v>33</v>
      </c>
      <c r="E457" t="s">
        <v>28</v>
      </c>
      <c r="F457" t="s">
        <v>17</v>
      </c>
      <c r="G457">
        <v>5</v>
      </c>
      <c r="H457" s="6">
        <v>30155.61</v>
      </c>
      <c r="I457" s="6">
        <v>2464.73</v>
      </c>
      <c r="J457">
        <v>20</v>
      </c>
      <c r="K457">
        <v>48</v>
      </c>
      <c r="L457" t="s">
        <v>30</v>
      </c>
      <c r="M457" t="s">
        <v>31</v>
      </c>
      <c r="N457">
        <v>3</v>
      </c>
      <c r="O457" s="4"/>
      <c r="P457" s="4" t="str">
        <f>IF(Data_Set_2[[#This Row],[valor_bruto]]&gt;$W$13,"OUTLIER+","")</f>
        <v/>
      </c>
      <c r="Q457" s="4" t="str">
        <f>IF(Data_Set_2[[#This Row],[valor_bruto]]&lt;$W$14,"OUTLIER-","")</f>
        <v/>
      </c>
      <c r="R457" s="4"/>
      <c r="S457" s="4"/>
      <c r="AB457" t="str">
        <v>RES-100455</v>
      </c>
      <c r="AC457">
        <v>45693</v>
      </c>
      <c r="AD457">
        <v>0.87847222222222221</v>
      </c>
      <c r="AE457" t="str">
        <v>Envigado</v>
      </c>
      <c r="AF457" t="str">
        <v>Recoge</v>
      </c>
      <c r="AG457" t="str">
        <v>Comida rapida</v>
      </c>
      <c r="AH457">
        <v>5</v>
      </c>
      <c r="AI457">
        <v>30155.61</v>
      </c>
      <c r="AJ457">
        <v>2464.73</v>
      </c>
      <c r="AK457">
        <v>20</v>
      </c>
      <c r="AL457">
        <v>48</v>
      </c>
      <c r="AM457" t="str">
        <v>App</v>
      </c>
      <c r="AN457" t="str">
        <v>Reembolsada</v>
      </c>
      <c r="AO457">
        <v>3</v>
      </c>
    </row>
    <row r="458" spans="1:41" x14ac:dyDescent="0.3">
      <c r="A458" t="s">
        <v>492</v>
      </c>
      <c r="B458" s="8">
        <v>45780</v>
      </c>
      <c r="C458" s="2">
        <v>0.42499999999999999</v>
      </c>
      <c r="D458" t="s">
        <v>15</v>
      </c>
      <c r="E458" t="s">
        <v>16</v>
      </c>
      <c r="F458" t="s">
        <v>23</v>
      </c>
      <c r="G458">
        <v>3</v>
      </c>
      <c r="H458" s="6">
        <v>31410.32</v>
      </c>
      <c r="I458" s="6">
        <v>2490.7800000000002</v>
      </c>
      <c r="J458">
        <v>23</v>
      </c>
      <c r="K458">
        <v>40</v>
      </c>
      <c r="L458" t="s">
        <v>18</v>
      </c>
      <c r="M458" t="s">
        <v>19</v>
      </c>
      <c r="N458">
        <v>4</v>
      </c>
      <c r="O458" s="4"/>
      <c r="P458" s="4" t="str">
        <f>IF(Data_Set_2[[#This Row],[valor_bruto]]&gt;$W$13,"OUTLIER+","")</f>
        <v/>
      </c>
      <c r="Q458" s="4" t="str">
        <f>IF(Data_Set_2[[#This Row],[valor_bruto]]&lt;$W$14,"OUTLIER-","")</f>
        <v/>
      </c>
      <c r="R458" s="4"/>
      <c r="S458" s="4"/>
      <c r="AB458" t="str">
        <v>RES-100456</v>
      </c>
      <c r="AC458">
        <v>45780</v>
      </c>
      <c r="AD458">
        <v>0.42499999999999999</v>
      </c>
      <c r="AE458" t="str">
        <v>Laureles</v>
      </c>
      <c r="AF458" t="str">
        <v>Mesa</v>
      </c>
      <c r="AG458" t="str">
        <v>Pasta</v>
      </c>
      <c r="AH458">
        <v>3</v>
      </c>
      <c r="AI458">
        <v>31410.32</v>
      </c>
      <c r="AJ458">
        <v>2490.7800000000002</v>
      </c>
      <c r="AK458">
        <v>23</v>
      </c>
      <c r="AL458">
        <v>40</v>
      </c>
      <c r="AM458" t="str">
        <v>Tarjeta</v>
      </c>
      <c r="AN458" t="str">
        <v>Entregada</v>
      </c>
      <c r="AO458">
        <v>4</v>
      </c>
    </row>
    <row r="459" spans="1:41" x14ac:dyDescent="0.3">
      <c r="A459" t="s">
        <v>493</v>
      </c>
      <c r="B459" s="8">
        <v>45781</v>
      </c>
      <c r="C459" s="2">
        <v>0.47152777777777777</v>
      </c>
      <c r="D459" t="s">
        <v>21</v>
      </c>
      <c r="E459" t="s">
        <v>22</v>
      </c>
      <c r="F459" t="s">
        <v>29</v>
      </c>
      <c r="G459">
        <v>4</v>
      </c>
      <c r="H459" s="6">
        <v>67889.649999999994</v>
      </c>
      <c r="I459" s="6">
        <v>2387.77</v>
      </c>
      <c r="J459">
        <v>18</v>
      </c>
      <c r="K459">
        <v>46</v>
      </c>
      <c r="L459" t="s">
        <v>24</v>
      </c>
      <c r="M459" t="s">
        <v>25</v>
      </c>
      <c r="N459">
        <v>3</v>
      </c>
      <c r="O459" s="4"/>
      <c r="P459" s="4" t="str">
        <f>IF(Data_Set_2[[#This Row],[valor_bruto]]&gt;$W$13,"OUTLIER+","")</f>
        <v/>
      </c>
      <c r="Q459" s="4" t="str">
        <f>IF(Data_Set_2[[#This Row],[valor_bruto]]&lt;$W$14,"OUTLIER-","")</f>
        <v/>
      </c>
      <c r="R459" s="4"/>
      <c r="S459" s="4"/>
      <c r="AB459" t="str">
        <v>RES-100457</v>
      </c>
      <c r="AC459">
        <v>45781</v>
      </c>
      <c r="AD459">
        <v>0.47152777777777777</v>
      </c>
      <c r="AE459" t="str">
        <v>Poblado</v>
      </c>
      <c r="AF459" t="str">
        <v>Domicilio</v>
      </c>
      <c r="AG459" t="str">
        <v>Parrilla</v>
      </c>
      <c r="AH459">
        <v>4</v>
      </c>
      <c r="AI459">
        <v>67889.649999999994</v>
      </c>
      <c r="AJ459">
        <v>2387.77</v>
      </c>
      <c r="AK459">
        <v>18</v>
      </c>
      <c r="AL459">
        <v>46</v>
      </c>
      <c r="AM459" t="str">
        <v>Efectivo</v>
      </c>
      <c r="AN459" t="str">
        <v>Cancelada</v>
      </c>
      <c r="AO459">
        <v>3</v>
      </c>
    </row>
    <row r="460" spans="1:41" x14ac:dyDescent="0.3">
      <c r="A460" t="s">
        <v>494</v>
      </c>
      <c r="B460" s="8">
        <v>45782</v>
      </c>
      <c r="C460" s="2">
        <v>0.5180555555555556</v>
      </c>
      <c r="D460" t="s">
        <v>27</v>
      </c>
      <c r="E460" t="s">
        <v>28</v>
      </c>
      <c r="F460" t="s">
        <v>34</v>
      </c>
      <c r="G460">
        <v>5</v>
      </c>
      <c r="H460" s="6">
        <v>28591.34</v>
      </c>
      <c r="I460" s="6">
        <v>2280.88</v>
      </c>
      <c r="J460">
        <v>20</v>
      </c>
      <c r="K460">
        <v>38</v>
      </c>
      <c r="L460" t="s">
        <v>30</v>
      </c>
      <c r="M460" t="s">
        <v>31</v>
      </c>
      <c r="N460">
        <v>4</v>
      </c>
      <c r="O460" s="4"/>
      <c r="P460" s="4" t="str">
        <f>IF(Data_Set_2[[#This Row],[valor_bruto]]&gt;$W$13,"OUTLIER+","")</f>
        <v/>
      </c>
      <c r="Q460" s="4" t="str">
        <f>IF(Data_Set_2[[#This Row],[valor_bruto]]&lt;$W$14,"OUTLIER-","")</f>
        <v/>
      </c>
      <c r="R460" s="4"/>
      <c r="S460" s="4"/>
      <c r="AB460" t="str">
        <v>RES-100458</v>
      </c>
      <c r="AC460">
        <v>45782</v>
      </c>
      <c r="AD460">
        <v>0.5180555555555556</v>
      </c>
      <c r="AE460" t="str">
        <v>Centro</v>
      </c>
      <c r="AF460" t="str">
        <v>Recoge</v>
      </c>
      <c r="AG460" t="str">
        <v>Vegano</v>
      </c>
      <c r="AH460">
        <v>5</v>
      </c>
      <c r="AI460">
        <v>28591.34</v>
      </c>
      <c r="AJ460">
        <v>2280.88</v>
      </c>
      <c r="AK460">
        <v>20</v>
      </c>
      <c r="AL460">
        <v>38</v>
      </c>
      <c r="AM460" t="str">
        <v>App</v>
      </c>
      <c r="AN460" t="str">
        <v>Reembolsada</v>
      </c>
      <c r="AO460">
        <v>4</v>
      </c>
    </row>
    <row r="461" spans="1:41" x14ac:dyDescent="0.3">
      <c r="A461" t="s">
        <v>495</v>
      </c>
      <c r="B461" s="8">
        <v>45783</v>
      </c>
      <c r="C461" s="2">
        <v>0.56458333333333333</v>
      </c>
      <c r="D461" t="s">
        <v>33</v>
      </c>
      <c r="E461" t="s">
        <v>16</v>
      </c>
      <c r="F461" t="s">
        <v>36</v>
      </c>
      <c r="G461">
        <v>2</v>
      </c>
      <c r="H461" s="6">
        <v>54004.19</v>
      </c>
      <c r="I461" s="6">
        <v>3652.36</v>
      </c>
      <c r="J461">
        <v>19</v>
      </c>
      <c r="K461">
        <v>28</v>
      </c>
      <c r="L461" t="s">
        <v>18</v>
      </c>
      <c r="M461" t="s">
        <v>19</v>
      </c>
      <c r="N461">
        <v>4</v>
      </c>
      <c r="O461" s="4"/>
      <c r="P461" s="4" t="str">
        <f>IF(Data_Set_2[[#This Row],[valor_bruto]]&gt;$W$13,"OUTLIER+","")</f>
        <v/>
      </c>
      <c r="Q461" s="4" t="str">
        <f>IF(Data_Set_2[[#This Row],[valor_bruto]]&lt;$W$14,"OUTLIER-","")</f>
        <v/>
      </c>
      <c r="R461" s="4"/>
      <c r="S461" s="4"/>
      <c r="AB461" t="str">
        <v>RES-100459</v>
      </c>
      <c r="AC461">
        <v>45783</v>
      </c>
      <c r="AD461">
        <v>0.56458333333333333</v>
      </c>
      <c r="AE461" t="str">
        <v>Envigado</v>
      </c>
      <c r="AF461" t="str">
        <v>Mesa</v>
      </c>
      <c r="AG461" t="str">
        <v>Bebidas</v>
      </c>
      <c r="AH461">
        <v>2</v>
      </c>
      <c r="AI461">
        <v>54004.19</v>
      </c>
      <c r="AJ461">
        <v>3652.36</v>
      </c>
      <c r="AK461">
        <v>19</v>
      </c>
      <c r="AL461">
        <v>28</v>
      </c>
      <c r="AM461" t="str">
        <v>Tarjeta</v>
      </c>
      <c r="AN461" t="str">
        <v>Entregada</v>
      </c>
      <c r="AO461">
        <v>4</v>
      </c>
    </row>
    <row r="462" spans="1:41" x14ac:dyDescent="0.3">
      <c r="A462" t="s">
        <v>496</v>
      </c>
      <c r="B462" s="8">
        <v>45784</v>
      </c>
      <c r="C462" s="2">
        <v>0.61111111111111116</v>
      </c>
      <c r="D462" t="s">
        <v>15</v>
      </c>
      <c r="E462" t="s">
        <v>22</v>
      </c>
      <c r="F462" t="s">
        <v>17</v>
      </c>
      <c r="G462">
        <v>5</v>
      </c>
      <c r="H462" s="6">
        <v>34282.199999999997</v>
      </c>
      <c r="I462" s="6">
        <v>3322.21</v>
      </c>
      <c r="J462">
        <v>19</v>
      </c>
      <c r="K462">
        <v>25</v>
      </c>
      <c r="L462" t="s">
        <v>24</v>
      </c>
      <c r="M462" t="s">
        <v>25</v>
      </c>
      <c r="N462">
        <v>4</v>
      </c>
      <c r="O462" s="4"/>
      <c r="P462" s="4" t="str">
        <f>IF(Data_Set_2[[#This Row],[valor_bruto]]&gt;$W$13,"OUTLIER+","")</f>
        <v/>
      </c>
      <c r="Q462" s="4" t="str">
        <f>IF(Data_Set_2[[#This Row],[valor_bruto]]&lt;$W$14,"OUTLIER-","")</f>
        <v/>
      </c>
      <c r="R462" s="4"/>
      <c r="S462" s="4"/>
      <c r="AB462" t="str">
        <v>RES-100460</v>
      </c>
      <c r="AC462">
        <v>45784</v>
      </c>
      <c r="AD462">
        <v>0.61111111111111116</v>
      </c>
      <c r="AE462" t="str">
        <v>Laureles</v>
      </c>
      <c r="AF462" t="str">
        <v>Domicilio</v>
      </c>
      <c r="AG462" t="str">
        <v>Comida rapida</v>
      </c>
      <c r="AH462">
        <v>5</v>
      </c>
      <c r="AI462">
        <v>34282.199999999997</v>
      </c>
      <c r="AJ462">
        <v>3322.21</v>
      </c>
      <c r="AK462">
        <v>19</v>
      </c>
      <c r="AL462">
        <v>25</v>
      </c>
      <c r="AM462" t="str">
        <v>Efectivo</v>
      </c>
      <c r="AN462" t="str">
        <v>Cancelada</v>
      </c>
      <c r="AO462">
        <v>4</v>
      </c>
    </row>
    <row r="463" spans="1:41" x14ac:dyDescent="0.3">
      <c r="A463" t="s">
        <v>497</v>
      </c>
      <c r="B463" s="8">
        <v>45874</v>
      </c>
      <c r="C463" s="2">
        <v>0.65763888888888888</v>
      </c>
      <c r="D463" t="s">
        <v>21</v>
      </c>
      <c r="E463" t="s">
        <v>28</v>
      </c>
      <c r="F463" t="s">
        <v>23</v>
      </c>
      <c r="G463">
        <v>5</v>
      </c>
      <c r="H463" s="6">
        <v>49178.3</v>
      </c>
      <c r="I463" s="6">
        <v>3735.73</v>
      </c>
      <c r="J463">
        <v>17</v>
      </c>
      <c r="K463">
        <v>52</v>
      </c>
      <c r="L463" t="s">
        <v>30</v>
      </c>
      <c r="M463" t="s">
        <v>31</v>
      </c>
      <c r="N463">
        <v>3</v>
      </c>
      <c r="O463" s="4"/>
      <c r="P463" s="4" t="str">
        <f>IF(Data_Set_2[[#This Row],[valor_bruto]]&gt;$W$13,"OUTLIER+","")</f>
        <v/>
      </c>
      <c r="Q463" s="4" t="str">
        <f>IF(Data_Set_2[[#This Row],[valor_bruto]]&lt;$W$14,"OUTLIER-","")</f>
        <v/>
      </c>
      <c r="R463" s="4"/>
      <c r="S463" s="4"/>
      <c r="AB463" t="str">
        <v>RES-100461</v>
      </c>
      <c r="AC463">
        <v>45874</v>
      </c>
      <c r="AD463">
        <v>0.65763888888888888</v>
      </c>
      <c r="AE463" t="str">
        <v>Poblado</v>
      </c>
      <c r="AF463" t="str">
        <v>Recoge</v>
      </c>
      <c r="AG463" t="str">
        <v>Pasta</v>
      </c>
      <c r="AH463">
        <v>5</v>
      </c>
      <c r="AI463">
        <v>49178.3</v>
      </c>
      <c r="AJ463">
        <v>3735.73</v>
      </c>
      <c r="AK463">
        <v>17</v>
      </c>
      <c r="AL463">
        <v>52</v>
      </c>
      <c r="AM463" t="str">
        <v>App</v>
      </c>
      <c r="AN463" t="str">
        <v>Reembolsada</v>
      </c>
      <c r="AO463">
        <v>3</v>
      </c>
    </row>
    <row r="464" spans="1:41" x14ac:dyDescent="0.3">
      <c r="A464" t="s">
        <v>498</v>
      </c>
      <c r="B464" s="8">
        <v>45786</v>
      </c>
      <c r="C464" s="2">
        <v>0.70416666666666672</v>
      </c>
      <c r="D464" t="s">
        <v>27</v>
      </c>
      <c r="E464" t="s">
        <v>16</v>
      </c>
      <c r="F464" t="s">
        <v>29</v>
      </c>
      <c r="G464">
        <v>2</v>
      </c>
      <c r="H464" s="6">
        <v>45041.57</v>
      </c>
      <c r="I464" s="6">
        <v>2218.2199999999998</v>
      </c>
      <c r="J464">
        <v>25</v>
      </c>
      <c r="K464">
        <v>46</v>
      </c>
      <c r="L464" t="s">
        <v>18</v>
      </c>
      <c r="M464" t="s">
        <v>19</v>
      </c>
      <c r="N464">
        <v>5</v>
      </c>
      <c r="O464" s="4"/>
      <c r="P464" s="4" t="str">
        <f>IF(Data_Set_2[[#This Row],[valor_bruto]]&gt;$W$13,"OUTLIER+","")</f>
        <v/>
      </c>
      <c r="Q464" s="4" t="str">
        <f>IF(Data_Set_2[[#This Row],[valor_bruto]]&lt;$W$14,"OUTLIER-","")</f>
        <v/>
      </c>
      <c r="R464" s="4"/>
      <c r="S464" s="4"/>
      <c r="AB464" t="str">
        <v>RES-100462</v>
      </c>
      <c r="AC464">
        <v>45786</v>
      </c>
      <c r="AD464">
        <v>0.70416666666666672</v>
      </c>
      <c r="AE464" t="str">
        <v>Centro</v>
      </c>
      <c r="AF464" t="str">
        <v>Mesa</v>
      </c>
      <c r="AG464" t="str">
        <v>Parrilla</v>
      </c>
      <c r="AH464">
        <v>2</v>
      </c>
      <c r="AI464">
        <v>45041.57</v>
      </c>
      <c r="AJ464">
        <v>2218.2199999999998</v>
      </c>
      <c r="AK464">
        <v>25</v>
      </c>
      <c r="AL464">
        <v>46</v>
      </c>
      <c r="AM464" t="str">
        <v>Tarjeta</v>
      </c>
      <c r="AN464" t="str">
        <v>Entregada</v>
      </c>
      <c r="AO464">
        <v>5</v>
      </c>
    </row>
    <row r="465" spans="1:41" x14ac:dyDescent="0.3">
      <c r="A465" t="s">
        <v>499</v>
      </c>
      <c r="B465" s="8">
        <v>45787</v>
      </c>
      <c r="C465" s="2">
        <v>0.70902777777777781</v>
      </c>
      <c r="D465" t="s">
        <v>33</v>
      </c>
      <c r="E465" t="s">
        <v>22</v>
      </c>
      <c r="F465" t="s">
        <v>34</v>
      </c>
      <c r="G465">
        <v>6</v>
      </c>
      <c r="H465" s="6">
        <v>37146.79</v>
      </c>
      <c r="I465" s="6">
        <v>1197.49</v>
      </c>
      <c r="J465">
        <v>18</v>
      </c>
      <c r="K465">
        <v>26</v>
      </c>
      <c r="L465" t="s">
        <v>24</v>
      </c>
      <c r="M465" t="s">
        <v>25</v>
      </c>
      <c r="N465">
        <v>5</v>
      </c>
      <c r="O465" s="4"/>
      <c r="P465" s="4" t="str">
        <f>IF(Data_Set_2[[#This Row],[valor_bruto]]&gt;$W$13,"OUTLIER+","")</f>
        <v/>
      </c>
      <c r="Q465" s="4" t="str">
        <f>IF(Data_Set_2[[#This Row],[valor_bruto]]&lt;$W$14,"OUTLIER-","")</f>
        <v/>
      </c>
      <c r="R465" s="4"/>
      <c r="S465" s="4"/>
      <c r="AB465" t="str">
        <v>RES-100463</v>
      </c>
      <c r="AC465">
        <v>45787</v>
      </c>
      <c r="AD465">
        <v>0.70902777777777781</v>
      </c>
      <c r="AE465" t="str">
        <v>Envigado</v>
      </c>
      <c r="AF465" t="str">
        <v>Domicilio</v>
      </c>
      <c r="AG465" t="str">
        <v>Vegano</v>
      </c>
      <c r="AH465">
        <v>6</v>
      </c>
      <c r="AI465">
        <v>37146.79</v>
      </c>
      <c r="AJ465">
        <v>1197.49</v>
      </c>
      <c r="AK465">
        <v>18</v>
      </c>
      <c r="AL465">
        <v>26</v>
      </c>
      <c r="AM465" t="str">
        <v>Efectivo</v>
      </c>
      <c r="AN465" t="str">
        <v>Cancelada</v>
      </c>
      <c r="AO465">
        <v>5</v>
      </c>
    </row>
    <row r="466" spans="1:41" x14ac:dyDescent="0.3">
      <c r="A466" t="s">
        <v>500</v>
      </c>
      <c r="B466" s="8">
        <v>45966</v>
      </c>
      <c r="C466" s="2">
        <v>0.75555555555555554</v>
      </c>
      <c r="D466" t="s">
        <v>15</v>
      </c>
      <c r="E466" t="s">
        <v>28</v>
      </c>
      <c r="F466" t="s">
        <v>36</v>
      </c>
      <c r="G466">
        <v>2</v>
      </c>
      <c r="H466" s="6">
        <v>67881.98</v>
      </c>
      <c r="I466" s="6">
        <v>5543.42</v>
      </c>
      <c r="J466">
        <v>20</v>
      </c>
      <c r="K466">
        <v>38</v>
      </c>
      <c r="L466" t="s">
        <v>30</v>
      </c>
      <c r="M466" t="s">
        <v>31</v>
      </c>
      <c r="N466">
        <v>5</v>
      </c>
      <c r="O466" s="4"/>
      <c r="P466" s="4" t="str">
        <f>IF(Data_Set_2[[#This Row],[valor_bruto]]&gt;$W$13,"OUTLIER+","")</f>
        <v/>
      </c>
      <c r="Q466" s="4" t="str">
        <f>IF(Data_Set_2[[#This Row],[valor_bruto]]&lt;$W$14,"OUTLIER-","")</f>
        <v/>
      </c>
      <c r="R466" s="4"/>
      <c r="S466" s="4"/>
      <c r="AB466" t="str">
        <v>RES-100464</v>
      </c>
      <c r="AC466">
        <v>45966</v>
      </c>
      <c r="AD466">
        <v>0.75555555555555554</v>
      </c>
      <c r="AE466" t="str">
        <v>Laureles</v>
      </c>
      <c r="AF466" t="str">
        <v>Recoge</v>
      </c>
      <c r="AG466" t="str">
        <v>Bebidas</v>
      </c>
      <c r="AH466">
        <v>2</v>
      </c>
      <c r="AI466">
        <v>67881.98</v>
      </c>
      <c r="AJ466">
        <v>5543.42</v>
      </c>
      <c r="AK466">
        <v>20</v>
      </c>
      <c r="AL466">
        <v>38</v>
      </c>
      <c r="AM466" t="str">
        <v>App</v>
      </c>
      <c r="AN466" t="str">
        <v>Reembolsada</v>
      </c>
      <c r="AO466">
        <v>5</v>
      </c>
    </row>
    <row r="467" spans="1:41" x14ac:dyDescent="0.3">
      <c r="A467" t="s">
        <v>501</v>
      </c>
      <c r="B467" s="8">
        <v>45789</v>
      </c>
      <c r="C467" s="2">
        <v>0.80208333333333337</v>
      </c>
      <c r="D467" t="s">
        <v>21</v>
      </c>
      <c r="E467" t="s">
        <v>16</v>
      </c>
      <c r="F467" t="s">
        <v>17</v>
      </c>
      <c r="G467">
        <v>4</v>
      </c>
      <c r="H467" s="6">
        <v>32835.79</v>
      </c>
      <c r="I467" s="6">
        <v>1386.97</v>
      </c>
      <c r="J467">
        <v>23</v>
      </c>
      <c r="K467">
        <v>31</v>
      </c>
      <c r="L467" t="s">
        <v>18</v>
      </c>
      <c r="M467" t="s">
        <v>19</v>
      </c>
      <c r="N467">
        <v>3</v>
      </c>
      <c r="O467" s="4"/>
      <c r="P467" s="4" t="str">
        <f>IF(Data_Set_2[[#This Row],[valor_bruto]]&gt;$W$13,"OUTLIER+","")</f>
        <v/>
      </c>
      <c r="Q467" s="4" t="str">
        <f>IF(Data_Set_2[[#This Row],[valor_bruto]]&lt;$W$14,"OUTLIER-","")</f>
        <v/>
      </c>
      <c r="R467" s="4"/>
      <c r="S467" s="4"/>
      <c r="AB467" t="str">
        <v>RES-100465</v>
      </c>
      <c r="AC467">
        <v>45789</v>
      </c>
      <c r="AD467">
        <v>0.80208333333333337</v>
      </c>
      <c r="AE467" t="str">
        <v>Poblado</v>
      </c>
      <c r="AF467" t="str">
        <v>Mesa</v>
      </c>
      <c r="AG467" t="str">
        <v>Comida rapida</v>
      </c>
      <c r="AH467">
        <v>4</v>
      </c>
      <c r="AI467">
        <v>32835.79</v>
      </c>
      <c r="AJ467">
        <v>1386.97</v>
      </c>
      <c r="AK467">
        <v>23</v>
      </c>
      <c r="AL467">
        <v>31</v>
      </c>
      <c r="AM467" t="str">
        <v>Tarjeta</v>
      </c>
      <c r="AN467" t="str">
        <v>Entregada</v>
      </c>
      <c r="AO467">
        <v>3</v>
      </c>
    </row>
    <row r="468" spans="1:41" x14ac:dyDescent="0.3">
      <c r="A468" t="s">
        <v>502</v>
      </c>
      <c r="B468" s="8">
        <v>45790</v>
      </c>
      <c r="C468" s="2">
        <v>0.84861111111111109</v>
      </c>
      <c r="D468" t="s">
        <v>27</v>
      </c>
      <c r="E468" t="s">
        <v>22</v>
      </c>
      <c r="F468" t="s">
        <v>23</v>
      </c>
      <c r="G468">
        <v>4</v>
      </c>
      <c r="H468" s="6">
        <v>57538.01</v>
      </c>
      <c r="I468" s="6">
        <v>5785.73</v>
      </c>
      <c r="J468">
        <v>23</v>
      </c>
      <c r="K468">
        <v>43</v>
      </c>
      <c r="L468" t="s">
        <v>24</v>
      </c>
      <c r="M468" t="s">
        <v>25</v>
      </c>
      <c r="N468">
        <v>5</v>
      </c>
      <c r="O468" s="4"/>
      <c r="P468" s="4" t="str">
        <f>IF(Data_Set_2[[#This Row],[valor_bruto]]&gt;$W$13,"OUTLIER+","")</f>
        <v/>
      </c>
      <c r="Q468" s="4" t="str">
        <f>IF(Data_Set_2[[#This Row],[valor_bruto]]&lt;$W$14,"OUTLIER-","")</f>
        <v/>
      </c>
      <c r="R468" s="4"/>
      <c r="S468" s="4"/>
      <c r="AB468" t="str">
        <v>RES-100466</v>
      </c>
      <c r="AC468">
        <v>45790</v>
      </c>
      <c r="AD468">
        <v>0.84861111111111109</v>
      </c>
      <c r="AE468" t="str">
        <v>Centro</v>
      </c>
      <c r="AF468" t="str">
        <v>Domicilio</v>
      </c>
      <c r="AG468" t="str">
        <v>Pasta</v>
      </c>
      <c r="AH468">
        <v>4</v>
      </c>
      <c r="AI468">
        <v>57538.01</v>
      </c>
      <c r="AJ468">
        <v>5785.73</v>
      </c>
      <c r="AK468">
        <v>23</v>
      </c>
      <c r="AL468">
        <v>43</v>
      </c>
      <c r="AM468" t="str">
        <v>Efectivo</v>
      </c>
      <c r="AN468" t="str">
        <v>Cancelada</v>
      </c>
      <c r="AO468">
        <v>5</v>
      </c>
    </row>
    <row r="469" spans="1:41" x14ac:dyDescent="0.3">
      <c r="A469" t="s">
        <v>503</v>
      </c>
      <c r="B469" s="8">
        <v>45791</v>
      </c>
      <c r="C469" s="2">
        <v>0.89513888888888893</v>
      </c>
      <c r="D469" t="s">
        <v>33</v>
      </c>
      <c r="E469" t="s">
        <v>28</v>
      </c>
      <c r="F469" t="s">
        <v>29</v>
      </c>
      <c r="G469">
        <v>4</v>
      </c>
      <c r="H469" s="6">
        <v>51988.97</v>
      </c>
      <c r="I469" s="6">
        <v>2951.78</v>
      </c>
      <c r="J469">
        <v>29</v>
      </c>
      <c r="K469">
        <v>26</v>
      </c>
      <c r="L469" t="s">
        <v>30</v>
      </c>
      <c r="M469" t="s">
        <v>31</v>
      </c>
      <c r="N469">
        <v>5</v>
      </c>
      <c r="O469" s="4"/>
      <c r="P469" s="4" t="str">
        <f>IF(Data_Set_2[[#This Row],[valor_bruto]]&gt;$W$13,"OUTLIER+","")</f>
        <v/>
      </c>
      <c r="Q469" s="4" t="str">
        <f>IF(Data_Set_2[[#This Row],[valor_bruto]]&lt;$W$14,"OUTLIER-","")</f>
        <v/>
      </c>
      <c r="R469" s="4"/>
      <c r="S469" s="4"/>
      <c r="AB469" t="str">
        <v>RES-100467</v>
      </c>
      <c r="AC469">
        <v>45791</v>
      </c>
      <c r="AD469">
        <v>0.89513888888888893</v>
      </c>
      <c r="AE469" t="str">
        <v>Envigado</v>
      </c>
      <c r="AF469" t="str">
        <v>Recoge</v>
      </c>
      <c r="AG469" t="str">
        <v>Parrilla</v>
      </c>
      <c r="AH469">
        <v>4</v>
      </c>
      <c r="AI469">
        <v>51988.97</v>
      </c>
      <c r="AJ469">
        <v>2951.78</v>
      </c>
      <c r="AK469">
        <v>29</v>
      </c>
      <c r="AL469">
        <v>26</v>
      </c>
      <c r="AM469" t="str">
        <v>App</v>
      </c>
      <c r="AN469" t="str">
        <v>Reembolsada</v>
      </c>
      <c r="AO469">
        <v>5</v>
      </c>
    </row>
    <row r="470" spans="1:41" x14ac:dyDescent="0.3">
      <c r="A470" t="s">
        <v>504</v>
      </c>
      <c r="B470" s="8">
        <v>45792</v>
      </c>
      <c r="C470" s="2">
        <v>0.44166666666666665</v>
      </c>
      <c r="D470" t="s">
        <v>15</v>
      </c>
      <c r="E470" t="s">
        <v>16</v>
      </c>
      <c r="F470" t="s">
        <v>34</v>
      </c>
      <c r="G470">
        <v>4</v>
      </c>
      <c r="H470" s="6">
        <v>68028.63</v>
      </c>
      <c r="I470" s="6">
        <v>7062.71</v>
      </c>
      <c r="J470">
        <v>30</v>
      </c>
      <c r="K470">
        <v>51</v>
      </c>
      <c r="L470" t="s">
        <v>18</v>
      </c>
      <c r="M470" t="s">
        <v>19</v>
      </c>
      <c r="N470">
        <v>4</v>
      </c>
      <c r="O470" s="4"/>
      <c r="P470" s="4" t="str">
        <f>IF(Data_Set_2[[#This Row],[valor_bruto]]&gt;$W$13,"OUTLIER+","")</f>
        <v/>
      </c>
      <c r="Q470" s="4" t="str">
        <f>IF(Data_Set_2[[#This Row],[valor_bruto]]&lt;$W$14,"OUTLIER-","")</f>
        <v/>
      </c>
      <c r="R470" s="4"/>
      <c r="S470" s="4"/>
      <c r="AB470" t="str">
        <v>RES-100468</v>
      </c>
      <c r="AC470">
        <v>45792</v>
      </c>
      <c r="AD470">
        <v>0.44166666666666665</v>
      </c>
      <c r="AE470" t="str">
        <v>Laureles</v>
      </c>
      <c r="AF470" t="str">
        <v>Mesa</v>
      </c>
      <c r="AG470" t="str">
        <v>Vegano</v>
      </c>
      <c r="AH470">
        <v>4</v>
      </c>
      <c r="AI470">
        <v>68028.63</v>
      </c>
      <c r="AJ470">
        <v>7062.71</v>
      </c>
      <c r="AK470">
        <v>30</v>
      </c>
      <c r="AL470">
        <v>51</v>
      </c>
      <c r="AM470" t="str">
        <v>Tarjeta</v>
      </c>
      <c r="AN470" t="str">
        <v>Entregada</v>
      </c>
      <c r="AO470">
        <v>4</v>
      </c>
    </row>
    <row r="471" spans="1:41" x14ac:dyDescent="0.3">
      <c r="A471" t="s">
        <v>505</v>
      </c>
      <c r="B471" s="8">
        <v>45793</v>
      </c>
      <c r="C471" s="2">
        <v>0.48819444444444443</v>
      </c>
      <c r="D471" t="s">
        <v>21</v>
      </c>
      <c r="E471" t="s">
        <v>22</v>
      </c>
      <c r="F471" t="s">
        <v>36</v>
      </c>
      <c r="G471">
        <v>2</v>
      </c>
      <c r="H471" s="6">
        <v>32427.9</v>
      </c>
      <c r="I471" s="6">
        <v>5430.67</v>
      </c>
      <c r="J471">
        <v>23</v>
      </c>
      <c r="K471">
        <v>38</v>
      </c>
      <c r="L471" t="s">
        <v>24</v>
      </c>
      <c r="M471" t="s">
        <v>25</v>
      </c>
      <c r="N471">
        <v>3</v>
      </c>
      <c r="O471" s="4"/>
      <c r="P471" s="4" t="str">
        <f>IF(Data_Set_2[[#This Row],[valor_bruto]]&gt;$W$13,"OUTLIER+","")</f>
        <v/>
      </c>
      <c r="Q471" s="4" t="str">
        <f>IF(Data_Set_2[[#This Row],[valor_bruto]]&lt;$W$14,"OUTLIER-","")</f>
        <v/>
      </c>
      <c r="R471" s="4"/>
      <c r="S471" s="4"/>
      <c r="AB471" t="str">
        <v>RES-100469</v>
      </c>
      <c r="AC471">
        <v>45793</v>
      </c>
      <c r="AD471">
        <v>0.48819444444444443</v>
      </c>
      <c r="AE471" t="str">
        <v>Poblado</v>
      </c>
      <c r="AF471" t="str">
        <v>Domicilio</v>
      </c>
      <c r="AG471" t="str">
        <v>Bebidas</v>
      </c>
      <c r="AH471">
        <v>2</v>
      </c>
      <c r="AI471">
        <v>32427.9</v>
      </c>
      <c r="AJ471">
        <v>5430.67</v>
      </c>
      <c r="AK471">
        <v>23</v>
      </c>
      <c r="AL471">
        <v>38</v>
      </c>
      <c r="AM471" t="str">
        <v>Efectivo</v>
      </c>
      <c r="AN471" t="str">
        <v>Cancelada</v>
      </c>
      <c r="AO471">
        <v>3</v>
      </c>
    </row>
    <row r="472" spans="1:41" x14ac:dyDescent="0.3">
      <c r="A472" t="s">
        <v>506</v>
      </c>
      <c r="B472" s="8">
        <v>45794</v>
      </c>
      <c r="C472" s="2">
        <v>0.53472222222222221</v>
      </c>
      <c r="D472" t="s">
        <v>27</v>
      </c>
      <c r="E472" t="s">
        <v>28</v>
      </c>
      <c r="F472" t="s">
        <v>17</v>
      </c>
      <c r="G472">
        <v>2</v>
      </c>
      <c r="H472" s="6">
        <v>32062.59</v>
      </c>
      <c r="I472" s="6">
        <v>3918.18</v>
      </c>
      <c r="J472">
        <v>24</v>
      </c>
      <c r="K472">
        <v>35</v>
      </c>
      <c r="L472" t="s">
        <v>30</v>
      </c>
      <c r="M472" t="s">
        <v>31</v>
      </c>
      <c r="N472">
        <v>4</v>
      </c>
      <c r="O472" s="4"/>
      <c r="P472" s="4" t="str">
        <f>IF(Data_Set_2[[#This Row],[valor_bruto]]&gt;$W$13,"OUTLIER+","")</f>
        <v/>
      </c>
      <c r="Q472" s="4" t="str">
        <f>IF(Data_Set_2[[#This Row],[valor_bruto]]&lt;$W$14,"OUTLIER-","")</f>
        <v/>
      </c>
      <c r="R472" s="4"/>
      <c r="S472" s="4"/>
      <c r="AB472" t="str">
        <v>RES-100470</v>
      </c>
      <c r="AC472">
        <v>45794</v>
      </c>
      <c r="AD472">
        <v>0.53472222222222221</v>
      </c>
      <c r="AE472" t="str">
        <v>Centro</v>
      </c>
      <c r="AF472" t="str">
        <v>Recoge</v>
      </c>
      <c r="AG472" t="str">
        <v>Comida rapida</v>
      </c>
      <c r="AH472">
        <v>2</v>
      </c>
      <c r="AI472">
        <v>32062.59</v>
      </c>
      <c r="AJ472">
        <v>3918.18</v>
      </c>
      <c r="AK472">
        <v>24</v>
      </c>
      <c r="AL472">
        <v>35</v>
      </c>
      <c r="AM472" t="str">
        <v>App</v>
      </c>
      <c r="AN472" t="str">
        <v>Reembolsada</v>
      </c>
      <c r="AO472">
        <v>4</v>
      </c>
    </row>
    <row r="473" spans="1:41" x14ac:dyDescent="0.3">
      <c r="A473" t="s">
        <v>507</v>
      </c>
      <c r="B473" s="8">
        <v>45795</v>
      </c>
      <c r="C473" s="2">
        <v>0.58125000000000004</v>
      </c>
      <c r="D473" t="s">
        <v>33</v>
      </c>
      <c r="E473" t="s">
        <v>16</v>
      </c>
      <c r="F473" t="s">
        <v>23</v>
      </c>
      <c r="G473">
        <v>2</v>
      </c>
      <c r="H473" s="6">
        <v>49367.99</v>
      </c>
      <c r="I473" s="6">
        <v>3950.85</v>
      </c>
      <c r="J473">
        <v>16</v>
      </c>
      <c r="K473">
        <v>24</v>
      </c>
      <c r="L473" t="s">
        <v>18</v>
      </c>
      <c r="M473" t="s">
        <v>19</v>
      </c>
      <c r="N473">
        <v>4</v>
      </c>
      <c r="O473" s="4"/>
      <c r="P473" s="4" t="str">
        <f>IF(Data_Set_2[[#This Row],[valor_bruto]]&gt;$W$13,"OUTLIER+","")</f>
        <v/>
      </c>
      <c r="Q473" s="4" t="str">
        <f>IF(Data_Set_2[[#This Row],[valor_bruto]]&lt;$W$14,"OUTLIER-","")</f>
        <v/>
      </c>
      <c r="R473" s="4"/>
      <c r="S473" s="4"/>
      <c r="AB473" t="str">
        <v>RES-100471</v>
      </c>
      <c r="AC473">
        <v>45795</v>
      </c>
      <c r="AD473">
        <v>0.58125000000000004</v>
      </c>
      <c r="AE473" t="str">
        <v>Envigado</v>
      </c>
      <c r="AF473" t="str">
        <v>Mesa</v>
      </c>
      <c r="AG473" t="str">
        <v>Pasta</v>
      </c>
      <c r="AH473">
        <v>2</v>
      </c>
      <c r="AI473">
        <v>49367.99</v>
      </c>
      <c r="AJ473">
        <v>3950.85</v>
      </c>
      <c r="AK473">
        <v>16</v>
      </c>
      <c r="AL473">
        <v>24</v>
      </c>
      <c r="AM473" t="str">
        <v>Tarjeta</v>
      </c>
      <c r="AN473" t="str">
        <v>Entregada</v>
      </c>
      <c r="AO473">
        <v>4</v>
      </c>
    </row>
    <row r="474" spans="1:41" x14ac:dyDescent="0.3">
      <c r="A474" t="s">
        <v>508</v>
      </c>
      <c r="B474" s="8">
        <v>45796</v>
      </c>
      <c r="C474" s="2">
        <v>0.58611111111111114</v>
      </c>
      <c r="D474" t="s">
        <v>15</v>
      </c>
      <c r="E474" t="s">
        <v>22</v>
      </c>
      <c r="F474" t="s">
        <v>29</v>
      </c>
      <c r="G474">
        <v>4</v>
      </c>
      <c r="H474" s="6">
        <v>54747.19</v>
      </c>
      <c r="I474" s="6">
        <v>6793.67</v>
      </c>
      <c r="J474">
        <v>17</v>
      </c>
      <c r="K474">
        <v>46</v>
      </c>
      <c r="L474" t="s">
        <v>24</v>
      </c>
      <c r="M474" t="s">
        <v>25</v>
      </c>
      <c r="N474">
        <v>5</v>
      </c>
      <c r="O474" s="4"/>
      <c r="P474" s="4" t="str">
        <f>IF(Data_Set_2[[#This Row],[valor_bruto]]&gt;$W$13,"OUTLIER+","")</f>
        <v/>
      </c>
      <c r="Q474" s="4" t="str">
        <f>IF(Data_Set_2[[#This Row],[valor_bruto]]&lt;$W$14,"OUTLIER-","")</f>
        <v/>
      </c>
      <c r="R474" s="4"/>
      <c r="S474" s="4"/>
      <c r="AB474" t="str">
        <v>RES-100472</v>
      </c>
      <c r="AC474">
        <v>45796</v>
      </c>
      <c r="AD474">
        <v>0.58611111111111114</v>
      </c>
      <c r="AE474" t="str">
        <v>Laureles</v>
      </c>
      <c r="AF474" t="str">
        <v>Domicilio</v>
      </c>
      <c r="AG474" t="str">
        <v>Parrilla</v>
      </c>
      <c r="AH474">
        <v>4</v>
      </c>
      <c r="AI474">
        <v>54747.19</v>
      </c>
      <c r="AJ474">
        <v>6793.67</v>
      </c>
      <c r="AK474">
        <v>17</v>
      </c>
      <c r="AL474">
        <v>46</v>
      </c>
      <c r="AM474" t="str">
        <v>Efectivo</v>
      </c>
      <c r="AN474" t="str">
        <v>Cancelada</v>
      </c>
      <c r="AO474">
        <v>5</v>
      </c>
    </row>
    <row r="475" spans="1:41" x14ac:dyDescent="0.3">
      <c r="A475" t="s">
        <v>509</v>
      </c>
      <c r="B475" s="8">
        <v>45797</v>
      </c>
      <c r="C475" s="2">
        <v>0.63263888888888886</v>
      </c>
      <c r="D475" t="s">
        <v>21</v>
      </c>
      <c r="E475" t="s">
        <v>28</v>
      </c>
      <c r="F475" t="s">
        <v>34</v>
      </c>
      <c r="G475">
        <v>2</v>
      </c>
      <c r="H475" s="6">
        <v>51685.49</v>
      </c>
      <c r="I475" s="6">
        <v>2850.84</v>
      </c>
      <c r="J475">
        <v>30</v>
      </c>
      <c r="K475">
        <v>39</v>
      </c>
      <c r="L475" t="s">
        <v>30</v>
      </c>
      <c r="M475" t="s">
        <v>31</v>
      </c>
      <c r="N475">
        <v>5</v>
      </c>
      <c r="O475" s="4"/>
      <c r="P475" s="4" t="str">
        <f>IF(Data_Set_2[[#This Row],[valor_bruto]]&gt;$W$13,"OUTLIER+","")</f>
        <v/>
      </c>
      <c r="Q475" s="4" t="str">
        <f>IF(Data_Set_2[[#This Row],[valor_bruto]]&lt;$W$14,"OUTLIER-","")</f>
        <v/>
      </c>
      <c r="R475" s="4"/>
      <c r="S475" s="4"/>
      <c r="AB475" t="str">
        <v>RES-100473</v>
      </c>
      <c r="AC475">
        <v>45797</v>
      </c>
      <c r="AD475">
        <v>0.63263888888888886</v>
      </c>
      <c r="AE475" t="str">
        <v>Poblado</v>
      </c>
      <c r="AF475" t="str">
        <v>Recoge</v>
      </c>
      <c r="AG475" t="str">
        <v>Vegano</v>
      </c>
      <c r="AH475">
        <v>2</v>
      </c>
      <c r="AI475">
        <v>51685.49</v>
      </c>
      <c r="AJ475">
        <v>2850.84</v>
      </c>
      <c r="AK475">
        <v>30</v>
      </c>
      <c r="AL475">
        <v>39</v>
      </c>
      <c r="AM475" t="str">
        <v>App</v>
      </c>
      <c r="AN475" t="str">
        <v>Reembolsada</v>
      </c>
      <c r="AO475">
        <v>5</v>
      </c>
    </row>
    <row r="476" spans="1:41" x14ac:dyDescent="0.3">
      <c r="A476" t="s">
        <v>510</v>
      </c>
      <c r="B476" s="8">
        <v>45798</v>
      </c>
      <c r="C476" s="2">
        <v>0.6791666666666667</v>
      </c>
      <c r="D476" t="s">
        <v>27</v>
      </c>
      <c r="E476" t="s">
        <v>16</v>
      </c>
      <c r="F476" t="s">
        <v>36</v>
      </c>
      <c r="G476">
        <v>6</v>
      </c>
      <c r="H476" s="6">
        <v>27633.77</v>
      </c>
      <c r="I476" s="6">
        <v>6210.1</v>
      </c>
      <c r="J476">
        <v>19</v>
      </c>
      <c r="K476">
        <v>34</v>
      </c>
      <c r="L476" t="s">
        <v>18</v>
      </c>
      <c r="M476" t="s">
        <v>19</v>
      </c>
      <c r="N476">
        <v>5</v>
      </c>
      <c r="O476" s="4"/>
      <c r="P476" s="4" t="str">
        <f>IF(Data_Set_2[[#This Row],[valor_bruto]]&gt;$W$13,"OUTLIER+","")</f>
        <v/>
      </c>
      <c r="Q476" s="4" t="str">
        <f>IF(Data_Set_2[[#This Row],[valor_bruto]]&lt;$W$14,"OUTLIER-","")</f>
        <v/>
      </c>
      <c r="R476" s="4"/>
      <c r="S476" s="4"/>
      <c r="AB476" t="str">
        <v>RES-100474</v>
      </c>
      <c r="AC476">
        <v>45798</v>
      </c>
      <c r="AD476">
        <v>0.6791666666666667</v>
      </c>
      <c r="AE476" t="str">
        <v>Centro</v>
      </c>
      <c r="AF476" t="str">
        <v>Mesa</v>
      </c>
      <c r="AG476" t="str">
        <v>Bebidas</v>
      </c>
      <c r="AH476">
        <v>6</v>
      </c>
      <c r="AI476">
        <v>27633.77</v>
      </c>
      <c r="AJ476">
        <v>6210.1</v>
      </c>
      <c r="AK476">
        <v>19</v>
      </c>
      <c r="AL476">
        <v>34</v>
      </c>
      <c r="AM476" t="str">
        <v>Tarjeta</v>
      </c>
      <c r="AN476" t="str">
        <v>Entregada</v>
      </c>
      <c r="AO476">
        <v>5</v>
      </c>
    </row>
    <row r="477" spans="1:41" x14ac:dyDescent="0.3">
      <c r="A477" t="s">
        <v>511</v>
      </c>
      <c r="B477" s="8">
        <v>45799</v>
      </c>
      <c r="C477" s="2">
        <v>0.72569444444444442</v>
      </c>
      <c r="D477" t="s">
        <v>33</v>
      </c>
      <c r="E477" t="s">
        <v>22</v>
      </c>
      <c r="F477" t="s">
        <v>17</v>
      </c>
      <c r="G477">
        <v>4</v>
      </c>
      <c r="H477" s="6">
        <v>40092.06</v>
      </c>
      <c r="I477" s="6">
        <v>1338.51</v>
      </c>
      <c r="J477">
        <v>29</v>
      </c>
      <c r="K477">
        <v>43</v>
      </c>
      <c r="L477" t="s">
        <v>24</v>
      </c>
      <c r="M477" t="s">
        <v>25</v>
      </c>
      <c r="N477">
        <v>5</v>
      </c>
      <c r="O477" s="4"/>
      <c r="P477" s="4" t="str">
        <f>IF(Data_Set_2[[#This Row],[valor_bruto]]&gt;$W$13,"OUTLIER+","")</f>
        <v/>
      </c>
      <c r="Q477" s="4" t="str">
        <f>IF(Data_Set_2[[#This Row],[valor_bruto]]&lt;$W$14,"OUTLIER-","")</f>
        <v/>
      </c>
      <c r="R477" s="4"/>
      <c r="S477" s="4"/>
      <c r="AB477" t="str">
        <v>RES-100475</v>
      </c>
      <c r="AC477">
        <v>45799</v>
      </c>
      <c r="AD477">
        <v>0.72569444444444442</v>
      </c>
      <c r="AE477" t="str">
        <v>Envigado</v>
      </c>
      <c r="AF477" t="str">
        <v>Domicilio</v>
      </c>
      <c r="AG477" t="str">
        <v>Comida rapida</v>
      </c>
      <c r="AH477">
        <v>4</v>
      </c>
      <c r="AI477">
        <v>40092.06</v>
      </c>
      <c r="AJ477">
        <v>1338.51</v>
      </c>
      <c r="AK477">
        <v>29</v>
      </c>
      <c r="AL477">
        <v>43</v>
      </c>
      <c r="AM477" t="str">
        <v>Efectivo</v>
      </c>
      <c r="AN477" t="str">
        <v>Cancelada</v>
      </c>
      <c r="AO477">
        <v>5</v>
      </c>
    </row>
    <row r="478" spans="1:41" x14ac:dyDescent="0.3">
      <c r="A478" t="s">
        <v>512</v>
      </c>
      <c r="B478" s="8">
        <v>45800</v>
      </c>
      <c r="C478" s="2">
        <v>0.77222222222222225</v>
      </c>
      <c r="D478" t="s">
        <v>15</v>
      </c>
      <c r="E478" t="s">
        <v>28</v>
      </c>
      <c r="F478" t="s">
        <v>23</v>
      </c>
      <c r="G478">
        <v>2</v>
      </c>
      <c r="H478" s="6">
        <v>35803.18</v>
      </c>
      <c r="I478" s="6">
        <v>1004.58</v>
      </c>
      <c r="J478">
        <v>31</v>
      </c>
      <c r="K478">
        <v>42</v>
      </c>
      <c r="L478" t="s">
        <v>30</v>
      </c>
      <c r="M478" t="s">
        <v>31</v>
      </c>
      <c r="N478">
        <v>5</v>
      </c>
      <c r="O478" s="4"/>
      <c r="P478" s="4" t="str">
        <f>IF(Data_Set_2[[#This Row],[valor_bruto]]&gt;$W$13,"OUTLIER+","")</f>
        <v/>
      </c>
      <c r="Q478" s="4" t="str">
        <f>IF(Data_Set_2[[#This Row],[valor_bruto]]&lt;$W$14,"OUTLIER-","")</f>
        <v/>
      </c>
      <c r="R478" s="4"/>
      <c r="S478" s="4"/>
      <c r="AB478" t="str">
        <v>RES-100476</v>
      </c>
      <c r="AC478">
        <v>45800</v>
      </c>
      <c r="AD478">
        <v>0.77222222222222225</v>
      </c>
      <c r="AE478" t="str">
        <v>Laureles</v>
      </c>
      <c r="AF478" t="str">
        <v>Recoge</v>
      </c>
      <c r="AG478" t="str">
        <v>Pasta</v>
      </c>
      <c r="AH478">
        <v>2</v>
      </c>
      <c r="AI478">
        <v>35803.18</v>
      </c>
      <c r="AJ478">
        <v>1004.58</v>
      </c>
      <c r="AK478">
        <v>31</v>
      </c>
      <c r="AL478">
        <v>42</v>
      </c>
      <c r="AM478" t="str">
        <v>App</v>
      </c>
      <c r="AN478" t="str">
        <v>Reembolsada</v>
      </c>
      <c r="AO478">
        <v>5</v>
      </c>
    </row>
    <row r="479" spans="1:41" x14ac:dyDescent="0.3">
      <c r="A479" t="s">
        <v>513</v>
      </c>
      <c r="B479" s="8">
        <v>45801</v>
      </c>
      <c r="C479" s="2">
        <v>0.81874999999999998</v>
      </c>
      <c r="D479" t="s">
        <v>21</v>
      </c>
      <c r="E479" t="s">
        <v>16</v>
      </c>
      <c r="F479" t="s">
        <v>29</v>
      </c>
      <c r="G479">
        <v>5</v>
      </c>
      <c r="H479" s="6">
        <v>59512.5</v>
      </c>
      <c r="I479" s="6">
        <v>8334.44</v>
      </c>
      <c r="J479">
        <v>27</v>
      </c>
      <c r="K479">
        <v>45</v>
      </c>
      <c r="L479" t="s">
        <v>18</v>
      </c>
      <c r="M479" t="s">
        <v>19</v>
      </c>
      <c r="N479">
        <f>VLOOKUP(Data_Set_2[[#This Row],[estado]],M2:N478,2,0)</f>
        <v>5</v>
      </c>
      <c r="O479" s="4"/>
      <c r="P479" s="4" t="str">
        <f>IF(Data_Set_2[[#This Row],[valor_bruto]]&gt;$W$13,"OUTLIER+","")</f>
        <v/>
      </c>
      <c r="Q479" s="4" t="str">
        <f>IF(Data_Set_2[[#This Row],[valor_bruto]]&lt;$W$14,"OUTLIER-","")</f>
        <v/>
      </c>
      <c r="R479" s="4"/>
      <c r="S479" s="4"/>
      <c r="AB479" t="str">
        <v>RES-100477</v>
      </c>
      <c r="AC479">
        <v>45801</v>
      </c>
      <c r="AD479">
        <v>0.81874999999999998</v>
      </c>
      <c r="AE479" t="str">
        <v>Poblado</v>
      </c>
      <c r="AF479" t="str">
        <v>Mesa</v>
      </c>
      <c r="AG479" t="str">
        <v>Parrilla</v>
      </c>
      <c r="AH479">
        <v>5</v>
      </c>
      <c r="AI479">
        <v>59512.5</v>
      </c>
      <c r="AJ479">
        <v>8334.44</v>
      </c>
      <c r="AK479">
        <v>27</v>
      </c>
      <c r="AL479">
        <v>45</v>
      </c>
      <c r="AM479" t="str">
        <v>Tarjeta</v>
      </c>
      <c r="AN479" t="str">
        <v>Entregada</v>
      </c>
      <c r="AO479">
        <v>5</v>
      </c>
    </row>
    <row r="480" spans="1:41" x14ac:dyDescent="0.3">
      <c r="A480" t="s">
        <v>514</v>
      </c>
      <c r="B480" s="8">
        <v>45802</v>
      </c>
      <c r="C480" s="2">
        <v>0.86527777777777781</v>
      </c>
      <c r="D480" t="s">
        <v>27</v>
      </c>
      <c r="E480" t="s">
        <v>22</v>
      </c>
      <c r="F480" t="s">
        <v>34</v>
      </c>
      <c r="G480">
        <v>4</v>
      </c>
      <c r="H480" s="6">
        <v>32494.49</v>
      </c>
      <c r="I480" s="6">
        <v>5523.77</v>
      </c>
      <c r="J480">
        <v>31</v>
      </c>
      <c r="K480">
        <v>41</v>
      </c>
      <c r="L480" t="s">
        <v>24</v>
      </c>
      <c r="M480" t="s">
        <v>25</v>
      </c>
      <c r="N480">
        <v>5</v>
      </c>
      <c r="O480" s="4"/>
      <c r="P480" s="4" t="str">
        <f>IF(Data_Set_2[[#This Row],[valor_bruto]]&gt;$W$13,"OUTLIER+","")</f>
        <v/>
      </c>
      <c r="Q480" s="4" t="str">
        <f>IF(Data_Set_2[[#This Row],[valor_bruto]]&lt;$W$14,"OUTLIER-","")</f>
        <v/>
      </c>
      <c r="R480" s="4"/>
      <c r="S480" s="4"/>
      <c r="AB480" t="str">
        <v>RES-100478</v>
      </c>
      <c r="AC480">
        <v>45802</v>
      </c>
      <c r="AD480">
        <v>0.86527777777777781</v>
      </c>
      <c r="AE480" t="str">
        <v>Centro</v>
      </c>
      <c r="AF480" t="str">
        <v>Domicilio</v>
      </c>
      <c r="AG480" t="str">
        <v>Vegano</v>
      </c>
      <c r="AH480">
        <v>4</v>
      </c>
      <c r="AI480">
        <v>32494.49</v>
      </c>
      <c r="AJ480">
        <v>5523.77</v>
      </c>
      <c r="AK480">
        <v>31</v>
      </c>
      <c r="AL480">
        <v>41</v>
      </c>
      <c r="AM480" t="str">
        <v>Efectivo</v>
      </c>
      <c r="AN480" t="str">
        <v>Cancelada</v>
      </c>
      <c r="AO480">
        <v>5</v>
      </c>
    </row>
    <row r="481" spans="1:41" x14ac:dyDescent="0.3">
      <c r="A481" t="s">
        <v>515</v>
      </c>
      <c r="B481" s="8">
        <v>45803</v>
      </c>
      <c r="C481" s="2">
        <v>0.91180555555555554</v>
      </c>
      <c r="D481" t="s">
        <v>33</v>
      </c>
      <c r="E481" t="s">
        <v>28</v>
      </c>
      <c r="F481" t="s">
        <v>36</v>
      </c>
      <c r="G481">
        <v>5</v>
      </c>
      <c r="H481" s="6">
        <v>31793.8</v>
      </c>
      <c r="I481" s="6">
        <v>1602.59</v>
      </c>
      <c r="J481">
        <v>29</v>
      </c>
      <c r="K481">
        <v>36</v>
      </c>
      <c r="L481" t="s">
        <v>30</v>
      </c>
      <c r="M481" t="s">
        <v>31</v>
      </c>
      <c r="N481">
        <v>4</v>
      </c>
      <c r="O481" s="4"/>
      <c r="P481" s="4" t="str">
        <f>IF(Data_Set_2[[#This Row],[valor_bruto]]&gt;$W$13,"OUTLIER+","")</f>
        <v/>
      </c>
      <c r="Q481" s="4" t="str">
        <f>IF(Data_Set_2[[#This Row],[valor_bruto]]&lt;$W$14,"OUTLIER-","")</f>
        <v/>
      </c>
      <c r="R481" s="4"/>
      <c r="S481" s="4"/>
      <c r="AB481" t="str">
        <v>RES-100479</v>
      </c>
      <c r="AC481">
        <v>45803</v>
      </c>
      <c r="AD481">
        <v>0.91180555555555554</v>
      </c>
      <c r="AE481" t="str">
        <v>Envigado</v>
      </c>
      <c r="AF481" t="str">
        <v>Recoge</v>
      </c>
      <c r="AG481" t="str">
        <v>Bebidas</v>
      </c>
      <c r="AH481">
        <v>5</v>
      </c>
      <c r="AI481">
        <v>31793.8</v>
      </c>
      <c r="AJ481">
        <v>1602.59</v>
      </c>
      <c r="AK481">
        <v>29</v>
      </c>
      <c r="AL481">
        <v>36</v>
      </c>
      <c r="AM481" t="str">
        <v>App</v>
      </c>
      <c r="AN481" t="str">
        <v>Reembolsada</v>
      </c>
      <c r="AO481">
        <v>4</v>
      </c>
    </row>
    <row r="482" spans="1:41" x14ac:dyDescent="0.3">
      <c r="A482" t="s">
        <v>516</v>
      </c>
      <c r="B482" s="8">
        <v>45804</v>
      </c>
      <c r="C482" s="2">
        <v>0.41666666666666669</v>
      </c>
      <c r="D482" t="s">
        <v>15</v>
      </c>
      <c r="E482" t="s">
        <v>16</v>
      </c>
      <c r="F482" t="s">
        <v>17</v>
      </c>
      <c r="G482">
        <v>5</v>
      </c>
      <c r="H482" s="6">
        <v>48896.82</v>
      </c>
      <c r="I482" s="6">
        <v>6934.94</v>
      </c>
      <c r="J482">
        <v>29</v>
      </c>
      <c r="K482">
        <v>49</v>
      </c>
      <c r="L482" t="s">
        <v>18</v>
      </c>
      <c r="M482" t="s">
        <v>19</v>
      </c>
      <c r="N482">
        <v>5</v>
      </c>
      <c r="O482" s="4"/>
      <c r="P482" s="4" t="str">
        <f>IF(Data_Set_2[[#This Row],[valor_bruto]]&gt;$W$13,"OUTLIER+","")</f>
        <v/>
      </c>
      <c r="Q482" s="4" t="str">
        <f>IF(Data_Set_2[[#This Row],[valor_bruto]]&lt;$W$14,"OUTLIER-","")</f>
        <v/>
      </c>
      <c r="R482" s="4"/>
      <c r="S482" s="4"/>
      <c r="AB482" t="str">
        <v>RES-100480</v>
      </c>
      <c r="AC482">
        <v>45804</v>
      </c>
      <c r="AD482">
        <v>0.41666666666666669</v>
      </c>
      <c r="AE482" t="str">
        <v>Laureles</v>
      </c>
      <c r="AF482" t="str">
        <v>Mesa</v>
      </c>
      <c r="AG482" t="str">
        <v>Comida rapida</v>
      </c>
      <c r="AH482">
        <v>5</v>
      </c>
      <c r="AI482">
        <v>48896.82</v>
      </c>
      <c r="AJ482">
        <v>6934.94</v>
      </c>
      <c r="AK482">
        <v>29</v>
      </c>
      <c r="AL482">
        <v>49</v>
      </c>
      <c r="AM482" t="str">
        <v>Tarjeta</v>
      </c>
      <c r="AN482" t="str">
        <v>Entregada</v>
      </c>
      <c r="AO482">
        <v>5</v>
      </c>
    </row>
    <row r="483" spans="1:41" x14ac:dyDescent="0.3">
      <c r="A483" t="s">
        <v>517</v>
      </c>
      <c r="B483" s="8">
        <v>45805</v>
      </c>
      <c r="C483" s="2">
        <v>0.46319444444444446</v>
      </c>
      <c r="D483" t="s">
        <v>21</v>
      </c>
      <c r="E483" t="s">
        <v>22</v>
      </c>
      <c r="F483" t="s">
        <v>23</v>
      </c>
      <c r="G483">
        <v>6</v>
      </c>
      <c r="H483" s="6">
        <v>59009.45</v>
      </c>
      <c r="I483" s="6">
        <v>3288.7</v>
      </c>
      <c r="J483">
        <v>25</v>
      </c>
      <c r="K483">
        <v>47</v>
      </c>
      <c r="L483" t="s">
        <v>24</v>
      </c>
      <c r="M483" t="s">
        <v>25</v>
      </c>
      <c r="N483">
        <v>3</v>
      </c>
      <c r="O483" s="4"/>
      <c r="P483" s="4" t="str">
        <f>IF(Data_Set_2[[#This Row],[valor_bruto]]&gt;$W$13,"OUTLIER+","")</f>
        <v/>
      </c>
      <c r="Q483" s="4" t="str">
        <f>IF(Data_Set_2[[#This Row],[valor_bruto]]&lt;$W$14,"OUTLIER-","")</f>
        <v/>
      </c>
      <c r="R483" s="4"/>
      <c r="S483" s="4"/>
      <c r="AB483" t="str">
        <v>RES-100481</v>
      </c>
      <c r="AC483">
        <v>45805</v>
      </c>
      <c r="AD483">
        <v>0.46319444444444446</v>
      </c>
      <c r="AE483" t="str">
        <v>Poblado</v>
      </c>
      <c r="AF483" t="str">
        <v>Domicilio</v>
      </c>
      <c r="AG483" t="str">
        <v>Pasta</v>
      </c>
      <c r="AH483">
        <v>6</v>
      </c>
      <c r="AI483">
        <v>59009.45</v>
      </c>
      <c r="AJ483">
        <v>3288.7</v>
      </c>
      <c r="AK483">
        <v>25</v>
      </c>
      <c r="AL483">
        <v>47</v>
      </c>
      <c r="AM483" t="str">
        <v>Efectivo</v>
      </c>
      <c r="AN483" t="str">
        <v>Cancelada</v>
      </c>
      <c r="AO483">
        <v>3</v>
      </c>
    </row>
    <row r="484" spans="1:41" x14ac:dyDescent="0.3">
      <c r="A484" t="s">
        <v>518</v>
      </c>
      <c r="B484" s="8">
        <v>45806</v>
      </c>
      <c r="C484" s="2">
        <v>0.50972222222222219</v>
      </c>
      <c r="D484" t="s">
        <v>27</v>
      </c>
      <c r="E484" t="s">
        <v>28</v>
      </c>
      <c r="F484" t="s">
        <v>29</v>
      </c>
      <c r="G484">
        <v>2</v>
      </c>
      <c r="H484" s="6">
        <v>61341.16</v>
      </c>
      <c r="I484" s="6">
        <v>4621.3900000000003</v>
      </c>
      <c r="J484">
        <v>22</v>
      </c>
      <c r="K484">
        <v>35</v>
      </c>
      <c r="L484" t="s">
        <v>30</v>
      </c>
      <c r="M484" t="s">
        <v>31</v>
      </c>
      <c r="N484">
        <v>4</v>
      </c>
      <c r="O484" s="4"/>
      <c r="P484" s="4" t="str">
        <f>IF(Data_Set_2[[#This Row],[valor_bruto]]&gt;$W$13,"OUTLIER+","")</f>
        <v/>
      </c>
      <c r="Q484" s="4" t="str">
        <f>IF(Data_Set_2[[#This Row],[valor_bruto]]&lt;$W$14,"OUTLIER-","")</f>
        <v/>
      </c>
      <c r="R484" s="4"/>
      <c r="S484" s="4"/>
      <c r="AB484" t="str">
        <v>RES-100482</v>
      </c>
      <c r="AC484">
        <v>45806</v>
      </c>
      <c r="AD484">
        <v>0.50972222222222219</v>
      </c>
      <c r="AE484" t="str">
        <v>Centro</v>
      </c>
      <c r="AF484" t="str">
        <v>Recoge</v>
      </c>
      <c r="AG484" t="str">
        <v>Parrilla</v>
      </c>
      <c r="AH484">
        <v>2</v>
      </c>
      <c r="AI484">
        <v>61341.16</v>
      </c>
      <c r="AJ484">
        <v>4621.3900000000003</v>
      </c>
      <c r="AK484">
        <v>22</v>
      </c>
      <c r="AL484">
        <v>35</v>
      </c>
      <c r="AM484" t="str">
        <v>App</v>
      </c>
      <c r="AN484" t="str">
        <v>Reembolsada</v>
      </c>
      <c r="AO484">
        <v>4</v>
      </c>
    </row>
    <row r="485" spans="1:41" x14ac:dyDescent="0.3">
      <c r="A485" t="s">
        <v>519</v>
      </c>
      <c r="B485" s="8">
        <v>45807</v>
      </c>
      <c r="C485" s="2">
        <v>0.55625000000000002</v>
      </c>
      <c r="D485" t="s">
        <v>33</v>
      </c>
      <c r="E485" t="s">
        <v>16</v>
      </c>
      <c r="F485" t="s">
        <v>34</v>
      </c>
      <c r="G485">
        <v>3</v>
      </c>
      <c r="H485" s="6">
        <v>64545.08</v>
      </c>
      <c r="I485" s="6">
        <v>4390.932777777778</v>
      </c>
      <c r="J485">
        <v>18</v>
      </c>
      <c r="K485">
        <v>49</v>
      </c>
      <c r="L485" t="s">
        <v>18</v>
      </c>
      <c r="M485" t="s">
        <v>19</v>
      </c>
      <c r="N485">
        <v>3</v>
      </c>
      <c r="O485" s="4"/>
      <c r="P485" s="4" t="str">
        <f>IF(Data_Set_2[[#This Row],[valor_bruto]]&gt;$W$13,"OUTLIER+","")</f>
        <v/>
      </c>
      <c r="Q485" s="4" t="str">
        <f>IF(Data_Set_2[[#This Row],[valor_bruto]]&lt;$W$14,"OUTLIER-","")</f>
        <v/>
      </c>
      <c r="R485" s="4"/>
      <c r="S485" s="4"/>
      <c r="AB485" t="str">
        <v>RES-100483</v>
      </c>
      <c r="AC485">
        <v>45807</v>
      </c>
      <c r="AD485">
        <v>0.55625000000000002</v>
      </c>
      <c r="AE485" t="str">
        <v>Envigado</v>
      </c>
      <c r="AF485" t="str">
        <v>Mesa</v>
      </c>
      <c r="AG485" t="str">
        <v>Vegano</v>
      </c>
      <c r="AH485">
        <v>3</v>
      </c>
      <c r="AI485">
        <v>64545.08</v>
      </c>
      <c r="AJ485">
        <v>4390.932777777778</v>
      </c>
      <c r="AK485">
        <v>18</v>
      </c>
      <c r="AL485">
        <v>49</v>
      </c>
      <c r="AM485" t="str">
        <v>Tarjeta</v>
      </c>
      <c r="AN485" t="str">
        <v>Entregada</v>
      </c>
      <c r="AO485">
        <v>3</v>
      </c>
    </row>
    <row r="486" spans="1:41" x14ac:dyDescent="0.3">
      <c r="A486" t="s">
        <v>520</v>
      </c>
      <c r="B486" s="8">
        <v>45808</v>
      </c>
      <c r="C486" s="2">
        <v>0.60277777777777775</v>
      </c>
      <c r="D486" t="s">
        <v>15</v>
      </c>
      <c r="E486" t="s">
        <v>22</v>
      </c>
      <c r="F486" t="s">
        <v>36</v>
      </c>
      <c r="G486">
        <v>5</v>
      </c>
      <c r="H486" s="6">
        <v>49074.45</v>
      </c>
      <c r="I486" s="6">
        <v>3840.93</v>
      </c>
      <c r="J486">
        <v>25</v>
      </c>
      <c r="K486">
        <v>48</v>
      </c>
      <c r="L486" t="s">
        <v>24</v>
      </c>
      <c r="M486" t="s">
        <v>25</v>
      </c>
      <c r="N486">
        <v>5</v>
      </c>
      <c r="O486" s="4"/>
      <c r="P486" s="4" t="str">
        <f>IF(Data_Set_2[[#This Row],[valor_bruto]]&gt;$W$13,"OUTLIER+","")</f>
        <v/>
      </c>
      <c r="Q486" s="4" t="str">
        <f>IF(Data_Set_2[[#This Row],[valor_bruto]]&lt;$W$14,"OUTLIER-","")</f>
        <v/>
      </c>
      <c r="R486" s="4"/>
      <c r="S486" s="4"/>
      <c r="AB486" t="str">
        <v>RES-100484</v>
      </c>
      <c r="AC486">
        <v>45808</v>
      </c>
      <c r="AD486">
        <v>0.60277777777777775</v>
      </c>
      <c r="AE486" t="str">
        <v>Laureles</v>
      </c>
      <c r="AF486" t="str">
        <v>Domicilio</v>
      </c>
      <c r="AG486" t="str">
        <v>Bebidas</v>
      </c>
      <c r="AH486">
        <v>5</v>
      </c>
      <c r="AI486">
        <v>49074.45</v>
      </c>
      <c r="AJ486">
        <v>3840.93</v>
      </c>
      <c r="AK486">
        <v>25</v>
      </c>
      <c r="AL486">
        <v>48</v>
      </c>
      <c r="AM486" t="str">
        <v>Efectivo</v>
      </c>
      <c r="AN486" t="str">
        <v>Cancelada</v>
      </c>
      <c r="AO486">
        <v>5</v>
      </c>
    </row>
    <row r="487" spans="1:41" x14ac:dyDescent="0.3">
      <c r="A487" t="s">
        <v>521</v>
      </c>
      <c r="B487" s="8">
        <v>45663</v>
      </c>
      <c r="C487" s="2">
        <v>0.64930555555555558</v>
      </c>
      <c r="D487" t="s">
        <v>21</v>
      </c>
      <c r="E487" t="s">
        <v>28</v>
      </c>
      <c r="F487" t="s">
        <v>17</v>
      </c>
      <c r="G487">
        <v>3</v>
      </c>
      <c r="H487" s="6">
        <v>38878.42</v>
      </c>
      <c r="I487" s="6">
        <v>4067.55</v>
      </c>
      <c r="J487">
        <v>31</v>
      </c>
      <c r="K487">
        <v>25</v>
      </c>
      <c r="L487" t="s">
        <v>30</v>
      </c>
      <c r="M487" t="s">
        <v>31</v>
      </c>
      <c r="N487">
        <v>4</v>
      </c>
      <c r="O487" s="4"/>
      <c r="P487" s="4" t="str">
        <f>IF(Data_Set_2[[#This Row],[valor_bruto]]&gt;$W$13,"OUTLIER+","")</f>
        <v/>
      </c>
      <c r="Q487" s="4" t="str">
        <f>IF(Data_Set_2[[#This Row],[valor_bruto]]&lt;$W$14,"OUTLIER-","")</f>
        <v/>
      </c>
      <c r="R487" s="4"/>
      <c r="S487" s="4"/>
      <c r="AB487" t="str">
        <v>RES-100485</v>
      </c>
      <c r="AC487">
        <v>45663</v>
      </c>
      <c r="AD487">
        <v>0.64930555555555558</v>
      </c>
      <c r="AE487" t="str">
        <v>Poblado</v>
      </c>
      <c r="AF487" t="str">
        <v>Recoge</v>
      </c>
      <c r="AG487" t="str">
        <v>Comida rapida</v>
      </c>
      <c r="AH487">
        <v>3</v>
      </c>
      <c r="AI487">
        <v>38878.42</v>
      </c>
      <c r="AJ487">
        <v>4067.55</v>
      </c>
      <c r="AK487">
        <v>31</v>
      </c>
      <c r="AL487">
        <v>25</v>
      </c>
      <c r="AM487" t="str">
        <v>App</v>
      </c>
      <c r="AN487" t="str">
        <v>Reembolsada</v>
      </c>
      <c r="AO487">
        <v>4</v>
      </c>
    </row>
    <row r="488" spans="1:41" x14ac:dyDescent="0.3">
      <c r="A488" t="s">
        <v>522</v>
      </c>
      <c r="B488" s="8">
        <v>45810</v>
      </c>
      <c r="C488" s="2">
        <v>0.6958333333333333</v>
      </c>
      <c r="D488" t="s">
        <v>27</v>
      </c>
      <c r="E488" t="s">
        <v>16</v>
      </c>
      <c r="F488" t="s">
        <v>23</v>
      </c>
      <c r="G488">
        <v>6</v>
      </c>
      <c r="H488" s="6">
        <v>52957.47</v>
      </c>
      <c r="I488" s="6">
        <v>3056.02</v>
      </c>
      <c r="J488">
        <v>24</v>
      </c>
      <c r="K488">
        <v>39</v>
      </c>
      <c r="L488" t="s">
        <v>18</v>
      </c>
      <c r="M488" t="s">
        <v>19</v>
      </c>
      <c r="N488">
        <v>5</v>
      </c>
      <c r="O488" s="4"/>
      <c r="P488" s="4" t="str">
        <f>IF(Data_Set_2[[#This Row],[valor_bruto]]&gt;$W$13,"OUTLIER+","")</f>
        <v/>
      </c>
      <c r="Q488" s="4" t="str">
        <f>IF(Data_Set_2[[#This Row],[valor_bruto]]&lt;$W$14,"OUTLIER-","")</f>
        <v/>
      </c>
      <c r="R488" s="4"/>
      <c r="S488" s="4"/>
      <c r="AB488" t="str">
        <v>RES-100486</v>
      </c>
      <c r="AC488">
        <v>45810</v>
      </c>
      <c r="AD488">
        <v>0.6958333333333333</v>
      </c>
      <c r="AE488" t="str">
        <v>Centro</v>
      </c>
      <c r="AF488" t="str">
        <v>Mesa</v>
      </c>
      <c r="AG488" t="str">
        <v>Pasta</v>
      </c>
      <c r="AH488">
        <v>6</v>
      </c>
      <c r="AI488">
        <v>52957.47</v>
      </c>
      <c r="AJ488">
        <v>3056.02</v>
      </c>
      <c r="AK488">
        <v>24</v>
      </c>
      <c r="AL488">
        <v>39</v>
      </c>
      <c r="AM488" t="str">
        <v>Tarjeta</v>
      </c>
      <c r="AN488" t="str">
        <v>Entregada</v>
      </c>
      <c r="AO488">
        <v>5</v>
      </c>
    </row>
    <row r="489" spans="1:41" x14ac:dyDescent="0.3">
      <c r="A489" t="s">
        <v>523</v>
      </c>
      <c r="B489" s="8">
        <v>45811</v>
      </c>
      <c r="C489" s="2">
        <v>0.74236111111111114</v>
      </c>
      <c r="D489" t="s">
        <v>33</v>
      </c>
      <c r="E489" t="s">
        <v>22</v>
      </c>
      <c r="F489" t="s">
        <v>29</v>
      </c>
      <c r="G489">
        <v>6</v>
      </c>
      <c r="H489" s="6">
        <v>63691.45</v>
      </c>
      <c r="I489" s="6">
        <v>5085.2069999999994</v>
      </c>
      <c r="J489">
        <v>28</v>
      </c>
      <c r="K489">
        <v>47</v>
      </c>
      <c r="L489" t="s">
        <v>24</v>
      </c>
      <c r="M489" t="s">
        <v>25</v>
      </c>
      <c r="N489">
        <v>4</v>
      </c>
      <c r="O489" s="4"/>
      <c r="P489" s="4" t="str">
        <f>IF(Data_Set_2[[#This Row],[valor_bruto]]&gt;$W$13,"OUTLIER+","")</f>
        <v/>
      </c>
      <c r="Q489" s="4" t="str">
        <f>IF(Data_Set_2[[#This Row],[valor_bruto]]&lt;$W$14,"OUTLIER-","")</f>
        <v/>
      </c>
      <c r="R489" s="4"/>
      <c r="S489" s="4"/>
      <c r="AB489" t="str">
        <v>RES-100487</v>
      </c>
      <c r="AC489">
        <v>45811</v>
      </c>
      <c r="AD489">
        <v>0.74236111111111114</v>
      </c>
      <c r="AE489" t="str">
        <v>Envigado</v>
      </c>
      <c r="AF489" t="str">
        <v>Domicilio</v>
      </c>
      <c r="AG489" t="str">
        <v>Parrilla</v>
      </c>
      <c r="AH489">
        <v>6</v>
      </c>
      <c r="AI489">
        <v>63691.45</v>
      </c>
      <c r="AJ489">
        <v>5085.2069999999994</v>
      </c>
      <c r="AK489">
        <v>28</v>
      </c>
      <c r="AL489">
        <v>47</v>
      </c>
      <c r="AM489" t="str">
        <v>Efectivo</v>
      </c>
      <c r="AN489" t="str">
        <v>Cancelada</v>
      </c>
      <c r="AO489">
        <v>4</v>
      </c>
    </row>
    <row r="490" spans="1:41" x14ac:dyDescent="0.3">
      <c r="A490" t="s">
        <v>524</v>
      </c>
      <c r="B490" s="8">
        <v>45753</v>
      </c>
      <c r="C490" s="2">
        <v>0.78888888888888886</v>
      </c>
      <c r="D490" t="s">
        <v>15</v>
      </c>
      <c r="E490" t="s">
        <v>28</v>
      </c>
      <c r="F490" t="s">
        <v>34</v>
      </c>
      <c r="G490">
        <v>6</v>
      </c>
      <c r="H490" s="6">
        <v>29707.25</v>
      </c>
      <c r="I490" s="6">
        <v>8450.84</v>
      </c>
      <c r="J490">
        <v>21</v>
      </c>
      <c r="K490">
        <v>30</v>
      </c>
      <c r="L490" t="s">
        <v>30</v>
      </c>
      <c r="M490" t="s">
        <v>31</v>
      </c>
      <c r="N490">
        <v>5</v>
      </c>
      <c r="O490" s="4"/>
      <c r="P490" s="4" t="str">
        <f>IF(Data_Set_2[[#This Row],[valor_bruto]]&gt;$W$13,"OUTLIER+","")</f>
        <v/>
      </c>
      <c r="Q490" s="4" t="str">
        <f>IF(Data_Set_2[[#This Row],[valor_bruto]]&lt;$W$14,"OUTLIER-","")</f>
        <v/>
      </c>
      <c r="R490" s="4"/>
      <c r="S490" s="4"/>
      <c r="AB490" t="str">
        <v>RES-100488</v>
      </c>
      <c r="AC490">
        <v>45753</v>
      </c>
      <c r="AD490">
        <v>0.78888888888888886</v>
      </c>
      <c r="AE490" t="str">
        <v>Laureles</v>
      </c>
      <c r="AF490" t="str">
        <v>Recoge</v>
      </c>
      <c r="AG490" t="str">
        <v>Vegano</v>
      </c>
      <c r="AH490">
        <v>6</v>
      </c>
      <c r="AI490">
        <v>29707.25</v>
      </c>
      <c r="AJ490">
        <v>8450.84</v>
      </c>
      <c r="AK490">
        <v>21</v>
      </c>
      <c r="AL490">
        <v>30</v>
      </c>
      <c r="AM490" t="str">
        <v>App</v>
      </c>
      <c r="AN490" t="str">
        <v>Reembolsada</v>
      </c>
      <c r="AO490">
        <v>5</v>
      </c>
    </row>
    <row r="491" spans="1:41" x14ac:dyDescent="0.3">
      <c r="A491" t="s">
        <v>525</v>
      </c>
      <c r="B491" s="8">
        <v>45813</v>
      </c>
      <c r="C491" s="2">
        <v>0.79374999999999996</v>
      </c>
      <c r="D491" t="s">
        <v>21</v>
      </c>
      <c r="E491" t="s">
        <v>16</v>
      </c>
      <c r="F491" t="s">
        <v>36</v>
      </c>
      <c r="G491">
        <v>3</v>
      </c>
      <c r="H491" s="6">
        <v>60284.7</v>
      </c>
      <c r="I491" s="6">
        <v>3698.07</v>
      </c>
      <c r="J491">
        <v>17</v>
      </c>
      <c r="K491">
        <v>36</v>
      </c>
      <c r="L491" t="s">
        <v>18</v>
      </c>
      <c r="M491" t="s">
        <v>19</v>
      </c>
      <c r="N491">
        <v>3</v>
      </c>
      <c r="O491" s="4"/>
      <c r="P491" s="4" t="str">
        <f>IF(Data_Set_2[[#This Row],[valor_bruto]]&gt;$W$13,"OUTLIER+","")</f>
        <v/>
      </c>
      <c r="Q491" s="4" t="str">
        <f>IF(Data_Set_2[[#This Row],[valor_bruto]]&lt;$W$14,"OUTLIER-","")</f>
        <v/>
      </c>
      <c r="R491" s="4"/>
      <c r="S491" s="4"/>
      <c r="AB491" t="str">
        <v>RES-100489</v>
      </c>
      <c r="AC491">
        <v>45813</v>
      </c>
      <c r="AD491">
        <v>0.79374999999999996</v>
      </c>
      <c r="AE491" t="str">
        <v>Poblado</v>
      </c>
      <c r="AF491" t="str">
        <v>Mesa</v>
      </c>
      <c r="AG491" t="str">
        <v>Bebidas</v>
      </c>
      <c r="AH491">
        <v>3</v>
      </c>
      <c r="AI491">
        <v>60284.7</v>
      </c>
      <c r="AJ491">
        <v>3698.07</v>
      </c>
      <c r="AK491">
        <v>17</v>
      </c>
      <c r="AL491">
        <v>36</v>
      </c>
      <c r="AM491" t="str">
        <v>Tarjeta</v>
      </c>
      <c r="AN491" t="str">
        <v>Entregada</v>
      </c>
      <c r="AO491">
        <v>3</v>
      </c>
    </row>
    <row r="492" spans="1:41" x14ac:dyDescent="0.3">
      <c r="A492" t="s">
        <v>526</v>
      </c>
      <c r="B492" s="8">
        <v>45814</v>
      </c>
      <c r="C492" s="2">
        <v>0.84027777777777779</v>
      </c>
      <c r="D492" t="s">
        <v>27</v>
      </c>
      <c r="E492" t="s">
        <v>22</v>
      </c>
      <c r="F492" t="s">
        <v>17</v>
      </c>
      <c r="G492">
        <v>4</v>
      </c>
      <c r="H492" s="6">
        <v>31717.4</v>
      </c>
      <c r="I492" s="6">
        <v>8309.7199999999993</v>
      </c>
      <c r="J492">
        <v>27</v>
      </c>
      <c r="K492">
        <v>45</v>
      </c>
      <c r="L492" t="s">
        <v>24</v>
      </c>
      <c r="M492" t="s">
        <v>25</v>
      </c>
      <c r="N492">
        <v>3</v>
      </c>
      <c r="O492" s="4"/>
      <c r="P492" s="4" t="str">
        <f>IF(Data_Set_2[[#This Row],[valor_bruto]]&gt;$W$13,"OUTLIER+","")</f>
        <v/>
      </c>
      <c r="Q492" s="4" t="str">
        <f>IF(Data_Set_2[[#This Row],[valor_bruto]]&lt;$W$14,"OUTLIER-","")</f>
        <v/>
      </c>
      <c r="R492" s="4"/>
      <c r="S492" s="4"/>
      <c r="AB492" t="str">
        <v>RES-100490</v>
      </c>
      <c r="AC492">
        <v>45814</v>
      </c>
      <c r="AD492">
        <v>0.84027777777777779</v>
      </c>
      <c r="AE492" t="str">
        <v>Centro</v>
      </c>
      <c r="AF492" t="str">
        <v>Domicilio</v>
      </c>
      <c r="AG492" t="str">
        <v>Comida rapida</v>
      </c>
      <c r="AH492">
        <v>4</v>
      </c>
      <c r="AI492">
        <v>31717.4</v>
      </c>
      <c r="AJ492">
        <v>8309.7199999999993</v>
      </c>
      <c r="AK492">
        <v>27</v>
      </c>
      <c r="AL492">
        <v>45</v>
      </c>
      <c r="AM492" t="str">
        <v>Efectivo</v>
      </c>
      <c r="AN492" t="str">
        <v>Cancelada</v>
      </c>
      <c r="AO492">
        <v>3</v>
      </c>
    </row>
    <row r="493" spans="1:41" x14ac:dyDescent="0.3">
      <c r="A493" t="s">
        <v>527</v>
      </c>
      <c r="B493" s="8">
        <v>45844</v>
      </c>
      <c r="C493" s="2">
        <v>0.88680555555555551</v>
      </c>
      <c r="D493" t="s">
        <v>33</v>
      </c>
      <c r="E493" t="s">
        <v>28</v>
      </c>
      <c r="F493" t="s">
        <v>23</v>
      </c>
      <c r="G493">
        <v>5</v>
      </c>
      <c r="H493" s="6">
        <v>65864.789999999994</v>
      </c>
      <c r="I493" s="6">
        <v>6337.71</v>
      </c>
      <c r="J493">
        <v>22</v>
      </c>
      <c r="K493">
        <v>26</v>
      </c>
      <c r="L493" t="s">
        <v>30</v>
      </c>
      <c r="M493" t="s">
        <v>31</v>
      </c>
      <c r="N493">
        <v>3</v>
      </c>
      <c r="O493" s="4"/>
      <c r="P493" s="4" t="str">
        <f>IF(Data_Set_2[[#This Row],[valor_bruto]]&gt;$W$13,"OUTLIER+","")</f>
        <v/>
      </c>
      <c r="Q493" s="4" t="str">
        <f>IF(Data_Set_2[[#This Row],[valor_bruto]]&lt;$W$14,"OUTLIER-","")</f>
        <v/>
      </c>
      <c r="R493" s="4"/>
      <c r="S493" s="4"/>
      <c r="AB493" t="str">
        <v>RES-100491</v>
      </c>
      <c r="AC493">
        <v>45844</v>
      </c>
      <c r="AD493">
        <v>0.88680555555555551</v>
      </c>
      <c r="AE493" t="str">
        <v>Envigado</v>
      </c>
      <c r="AF493" t="str">
        <v>Recoge</v>
      </c>
      <c r="AG493" t="str">
        <v>Pasta</v>
      </c>
      <c r="AH493">
        <v>5</v>
      </c>
      <c r="AI493">
        <v>65864.789999999994</v>
      </c>
      <c r="AJ493">
        <v>6337.71</v>
      </c>
      <c r="AK493">
        <v>22</v>
      </c>
      <c r="AL493">
        <v>26</v>
      </c>
      <c r="AM493" t="str">
        <v>App</v>
      </c>
      <c r="AN493" t="str">
        <v>Reembolsada</v>
      </c>
      <c r="AO493">
        <v>3</v>
      </c>
    </row>
    <row r="494" spans="1:41" x14ac:dyDescent="0.3">
      <c r="A494" t="s">
        <v>528</v>
      </c>
      <c r="B494" s="8">
        <v>45816</v>
      </c>
      <c r="C494" s="2">
        <v>0.43333333333333335</v>
      </c>
      <c r="D494" t="s">
        <v>15</v>
      </c>
      <c r="E494" t="s">
        <v>16</v>
      </c>
      <c r="F494" t="s">
        <v>29</v>
      </c>
      <c r="G494">
        <v>6</v>
      </c>
      <c r="H494" s="6">
        <v>33976.21</v>
      </c>
      <c r="I494" s="6">
        <v>4686.9799999999996</v>
      </c>
      <c r="J494">
        <v>22</v>
      </c>
      <c r="K494">
        <v>27</v>
      </c>
      <c r="L494" t="s">
        <v>18</v>
      </c>
      <c r="M494" t="s">
        <v>19</v>
      </c>
      <c r="N494">
        <v>5</v>
      </c>
      <c r="O494" s="4"/>
      <c r="P494" s="4" t="str">
        <f>IF(Data_Set_2[[#This Row],[valor_bruto]]&gt;$W$13,"OUTLIER+","")</f>
        <v/>
      </c>
      <c r="Q494" s="4" t="str">
        <f>IF(Data_Set_2[[#This Row],[valor_bruto]]&lt;$W$14,"OUTLIER-","")</f>
        <v/>
      </c>
      <c r="R494" s="4"/>
      <c r="S494" s="4"/>
      <c r="AB494" t="str">
        <v>RES-100492</v>
      </c>
      <c r="AC494">
        <v>45816</v>
      </c>
      <c r="AD494">
        <v>0.43333333333333335</v>
      </c>
      <c r="AE494" t="str">
        <v>Laureles</v>
      </c>
      <c r="AF494" t="str">
        <v>Mesa</v>
      </c>
      <c r="AG494" t="str">
        <v>Parrilla</v>
      </c>
      <c r="AH494">
        <v>6</v>
      </c>
      <c r="AI494">
        <v>33976.21</v>
      </c>
      <c r="AJ494">
        <v>4686.9799999999996</v>
      </c>
      <c r="AK494">
        <v>22</v>
      </c>
      <c r="AL494">
        <v>27</v>
      </c>
      <c r="AM494" t="str">
        <v>Tarjeta</v>
      </c>
      <c r="AN494" t="str">
        <v>Entregada</v>
      </c>
      <c r="AO494">
        <v>5</v>
      </c>
    </row>
    <row r="495" spans="1:41" x14ac:dyDescent="0.3">
      <c r="A495" t="s">
        <v>529</v>
      </c>
      <c r="B495" s="8">
        <v>45817</v>
      </c>
      <c r="C495" s="2">
        <v>0.47986111111111113</v>
      </c>
      <c r="D495" t="s">
        <v>21</v>
      </c>
      <c r="E495" t="s">
        <v>22</v>
      </c>
      <c r="F495" t="s">
        <v>34</v>
      </c>
      <c r="G495">
        <v>4</v>
      </c>
      <c r="H495" s="6">
        <v>46917.97</v>
      </c>
      <c r="I495" s="6">
        <v>5138.37</v>
      </c>
      <c r="J495">
        <v>13</v>
      </c>
      <c r="K495">
        <v>29</v>
      </c>
      <c r="L495" t="s">
        <v>24</v>
      </c>
      <c r="M495" t="s">
        <v>25</v>
      </c>
      <c r="N495">
        <v>3</v>
      </c>
      <c r="O495" s="4"/>
      <c r="P495" s="4" t="str">
        <f>IF(Data_Set_2[[#This Row],[valor_bruto]]&gt;$W$13,"OUTLIER+","")</f>
        <v/>
      </c>
      <c r="Q495" s="4" t="str">
        <f>IF(Data_Set_2[[#This Row],[valor_bruto]]&lt;$W$14,"OUTLIER-","")</f>
        <v/>
      </c>
      <c r="R495" s="4"/>
      <c r="S495" s="4"/>
      <c r="AB495" t="str">
        <v>RES-100493</v>
      </c>
      <c r="AC495">
        <v>45817</v>
      </c>
      <c r="AD495">
        <v>0.47986111111111113</v>
      </c>
      <c r="AE495" t="str">
        <v>Poblado</v>
      </c>
      <c r="AF495" t="str">
        <v>Domicilio</v>
      </c>
      <c r="AG495" t="str">
        <v>Vegano</v>
      </c>
      <c r="AH495">
        <v>4</v>
      </c>
      <c r="AI495">
        <v>46917.97</v>
      </c>
      <c r="AJ495">
        <v>5138.37</v>
      </c>
      <c r="AK495">
        <v>13</v>
      </c>
      <c r="AL495">
        <v>29</v>
      </c>
      <c r="AM495" t="str">
        <v>Efectivo</v>
      </c>
      <c r="AN495" t="str">
        <v>Cancelada</v>
      </c>
      <c r="AO495">
        <v>3</v>
      </c>
    </row>
    <row r="496" spans="1:41" x14ac:dyDescent="0.3">
      <c r="A496" t="s">
        <v>530</v>
      </c>
      <c r="B496" s="8">
        <v>45936</v>
      </c>
      <c r="C496" s="2">
        <v>0.52638888888888891</v>
      </c>
      <c r="D496" t="s">
        <v>27</v>
      </c>
      <c r="E496" t="s">
        <v>28</v>
      </c>
      <c r="F496" t="s">
        <v>36</v>
      </c>
      <c r="G496">
        <v>3</v>
      </c>
      <c r="H496" s="6">
        <v>27680.33</v>
      </c>
      <c r="I496" s="6">
        <v>2377.4299999999998</v>
      </c>
      <c r="J496">
        <v>15</v>
      </c>
      <c r="K496">
        <v>37</v>
      </c>
      <c r="L496" t="s">
        <v>30</v>
      </c>
      <c r="M496" t="s">
        <v>31</v>
      </c>
      <c r="N496">
        <v>5</v>
      </c>
      <c r="O496" s="4"/>
      <c r="P496" s="4" t="str">
        <f>IF(Data_Set_2[[#This Row],[valor_bruto]]&gt;$W$13,"OUTLIER+","")</f>
        <v/>
      </c>
      <c r="Q496" s="4" t="str">
        <f>IF(Data_Set_2[[#This Row],[valor_bruto]]&lt;$W$14,"OUTLIER-","")</f>
        <v/>
      </c>
      <c r="R496" s="4"/>
      <c r="S496" s="4"/>
      <c r="AB496" t="str">
        <v>RES-100494</v>
      </c>
      <c r="AC496">
        <v>45936</v>
      </c>
      <c r="AD496">
        <v>0.52638888888888891</v>
      </c>
      <c r="AE496" t="str">
        <v>Centro</v>
      </c>
      <c r="AF496" t="str">
        <v>Recoge</v>
      </c>
      <c r="AG496" t="str">
        <v>Bebidas</v>
      </c>
      <c r="AH496">
        <v>3</v>
      </c>
      <c r="AI496">
        <v>27680.33</v>
      </c>
      <c r="AJ496">
        <v>2377.4299999999998</v>
      </c>
      <c r="AK496">
        <v>15</v>
      </c>
      <c r="AL496">
        <v>37</v>
      </c>
      <c r="AM496" t="str">
        <v>App</v>
      </c>
      <c r="AN496" t="str">
        <v>Reembolsada</v>
      </c>
      <c r="AO496">
        <v>5</v>
      </c>
    </row>
    <row r="497" spans="1:41" x14ac:dyDescent="0.3">
      <c r="A497" t="s">
        <v>531</v>
      </c>
      <c r="B497" s="8">
        <v>45819</v>
      </c>
      <c r="C497" s="2">
        <v>0.57291666666666663</v>
      </c>
      <c r="D497" t="s">
        <v>33</v>
      </c>
      <c r="E497" t="s">
        <v>16</v>
      </c>
      <c r="F497" t="s">
        <v>17</v>
      </c>
      <c r="G497">
        <v>6</v>
      </c>
      <c r="H497" s="6">
        <v>35333.99</v>
      </c>
      <c r="I497" s="6">
        <v>7140.6</v>
      </c>
      <c r="J497">
        <v>19</v>
      </c>
      <c r="K497">
        <v>40</v>
      </c>
      <c r="L497" t="s">
        <v>18</v>
      </c>
      <c r="M497" t="s">
        <v>19</v>
      </c>
      <c r="N497">
        <v>4</v>
      </c>
      <c r="O497" s="4"/>
      <c r="P497" s="4" t="str">
        <f>IF(Data_Set_2[[#This Row],[valor_bruto]]&gt;$W$13,"OUTLIER+","")</f>
        <v/>
      </c>
      <c r="Q497" s="4" t="str">
        <f>IF(Data_Set_2[[#This Row],[valor_bruto]]&lt;$W$14,"OUTLIER-","")</f>
        <v/>
      </c>
      <c r="R497" s="4"/>
      <c r="S497" s="4"/>
      <c r="AB497" t="str">
        <v>RES-100495</v>
      </c>
      <c r="AC497">
        <v>45819</v>
      </c>
      <c r="AD497">
        <v>0.57291666666666663</v>
      </c>
      <c r="AE497" t="str">
        <v>Envigado</v>
      </c>
      <c r="AF497" t="str">
        <v>Mesa</v>
      </c>
      <c r="AG497" t="str">
        <v>Comida rapida</v>
      </c>
      <c r="AH497">
        <v>6</v>
      </c>
      <c r="AI497">
        <v>35333.99</v>
      </c>
      <c r="AJ497">
        <v>7140.6</v>
      </c>
      <c r="AK497">
        <v>19</v>
      </c>
      <c r="AL497">
        <v>40</v>
      </c>
      <c r="AM497" t="str">
        <v>Tarjeta</v>
      </c>
      <c r="AN497" t="str">
        <v>Entregada</v>
      </c>
      <c r="AO497">
        <v>4</v>
      </c>
    </row>
    <row r="498" spans="1:41" x14ac:dyDescent="0.3">
      <c r="A498" t="s">
        <v>532</v>
      </c>
      <c r="B498" s="8">
        <v>45820</v>
      </c>
      <c r="C498" s="2">
        <v>0.61944444444444446</v>
      </c>
      <c r="D498" t="s">
        <v>15</v>
      </c>
      <c r="E498" t="s">
        <v>22</v>
      </c>
      <c r="F498" t="s">
        <v>23</v>
      </c>
      <c r="G498">
        <v>4</v>
      </c>
      <c r="H498" s="6">
        <v>52799.6</v>
      </c>
      <c r="I498" s="6">
        <v>4127.78</v>
      </c>
      <c r="J498">
        <v>30</v>
      </c>
      <c r="K498">
        <v>50</v>
      </c>
      <c r="L498" t="s">
        <v>24</v>
      </c>
      <c r="M498" t="s">
        <v>25</v>
      </c>
      <c r="N498">
        <v>3</v>
      </c>
      <c r="O498" s="4"/>
      <c r="P498" s="4" t="str">
        <f>IF(Data_Set_2[[#This Row],[valor_bruto]]&gt;$W$13,"OUTLIER+","")</f>
        <v/>
      </c>
      <c r="Q498" s="4" t="str">
        <f>IF(Data_Set_2[[#This Row],[valor_bruto]]&lt;$W$14,"OUTLIER-","")</f>
        <v/>
      </c>
      <c r="R498" s="4"/>
      <c r="S498" s="4"/>
      <c r="AB498" t="str">
        <v>RES-100496</v>
      </c>
      <c r="AC498">
        <v>45820</v>
      </c>
      <c r="AD498">
        <v>0.61944444444444446</v>
      </c>
      <c r="AE498" t="str">
        <v>Laureles</v>
      </c>
      <c r="AF498" t="str">
        <v>Domicilio</v>
      </c>
      <c r="AG498" t="str">
        <v>Pasta</v>
      </c>
      <c r="AH498">
        <v>4</v>
      </c>
      <c r="AI498">
        <v>52799.6</v>
      </c>
      <c r="AJ498">
        <v>4127.78</v>
      </c>
      <c r="AK498">
        <v>30</v>
      </c>
      <c r="AL498">
        <v>50</v>
      </c>
      <c r="AM498" t="str">
        <v>Efectivo</v>
      </c>
      <c r="AN498" t="str">
        <v>Cancelada</v>
      </c>
      <c r="AO498">
        <v>3</v>
      </c>
    </row>
    <row r="499" spans="1:41" x14ac:dyDescent="0.3">
      <c r="A499" t="s">
        <v>533</v>
      </c>
      <c r="B499" s="8">
        <v>45821</v>
      </c>
      <c r="C499" s="2">
        <v>0.66597222222222219</v>
      </c>
      <c r="D499" t="s">
        <v>21</v>
      </c>
      <c r="E499" t="s">
        <v>28</v>
      </c>
      <c r="F499" t="s">
        <v>29</v>
      </c>
      <c r="G499">
        <v>5</v>
      </c>
      <c r="H499" s="6">
        <v>62593.279999999999</v>
      </c>
      <c r="I499" s="6">
        <v>3272.29</v>
      </c>
      <c r="J499">
        <v>23</v>
      </c>
      <c r="K499">
        <v>53</v>
      </c>
      <c r="L499" t="s">
        <v>30</v>
      </c>
      <c r="M499" t="s">
        <v>31</v>
      </c>
      <c r="N499">
        <v>4</v>
      </c>
      <c r="O499" s="4"/>
      <c r="P499" s="4" t="str">
        <f>IF(Data_Set_2[[#This Row],[valor_bruto]]&gt;$W$13,"OUTLIER+","")</f>
        <v/>
      </c>
      <c r="Q499" s="4" t="str">
        <f>IF(Data_Set_2[[#This Row],[valor_bruto]]&lt;$W$14,"OUTLIER-","")</f>
        <v/>
      </c>
      <c r="R499" s="4"/>
      <c r="S499" s="4"/>
      <c r="AB499" t="str">
        <v>RES-100497</v>
      </c>
      <c r="AC499">
        <v>45821</v>
      </c>
      <c r="AD499">
        <v>0.66597222222222219</v>
      </c>
      <c r="AE499" t="str">
        <v>Poblado</v>
      </c>
      <c r="AF499" t="str">
        <v>Recoge</v>
      </c>
      <c r="AG499" t="str">
        <v>Parrilla</v>
      </c>
      <c r="AH499">
        <v>5</v>
      </c>
      <c r="AI499">
        <v>62593.279999999999</v>
      </c>
      <c r="AJ499">
        <v>3272.29</v>
      </c>
      <c r="AK499">
        <v>23</v>
      </c>
      <c r="AL499">
        <v>53</v>
      </c>
      <c r="AM499" t="str">
        <v>App</v>
      </c>
      <c r="AN499" t="str">
        <v>Reembolsada</v>
      </c>
      <c r="AO499">
        <v>4</v>
      </c>
    </row>
    <row r="500" spans="1:41" x14ac:dyDescent="0.3">
      <c r="A500" t="s">
        <v>534</v>
      </c>
      <c r="B500" s="8">
        <v>45822</v>
      </c>
      <c r="C500" s="2">
        <v>0.67083333333333328</v>
      </c>
      <c r="D500" t="s">
        <v>27</v>
      </c>
      <c r="E500" t="s">
        <v>16</v>
      </c>
      <c r="F500" t="s">
        <v>34</v>
      </c>
      <c r="G500">
        <v>4</v>
      </c>
      <c r="H500" s="6">
        <v>37166.36</v>
      </c>
      <c r="I500" s="6">
        <v>2857.65</v>
      </c>
      <c r="J500">
        <v>22</v>
      </c>
      <c r="K500">
        <v>40</v>
      </c>
      <c r="L500" t="s">
        <v>18</v>
      </c>
      <c r="M500" t="s">
        <v>19</v>
      </c>
      <c r="N500">
        <v>5</v>
      </c>
      <c r="O500" s="4"/>
      <c r="P500" s="4" t="str">
        <f>IF(Data_Set_2[[#This Row],[valor_bruto]]&gt;$W$13,"OUTLIER+","")</f>
        <v/>
      </c>
      <c r="Q500" s="4" t="str">
        <f>IF(Data_Set_2[[#This Row],[valor_bruto]]&lt;$W$14,"OUTLIER-","")</f>
        <v/>
      </c>
      <c r="R500" s="4"/>
      <c r="S500" s="4"/>
      <c r="AB500" t="str">
        <v>RES-100498</v>
      </c>
      <c r="AC500">
        <v>45822</v>
      </c>
      <c r="AD500">
        <v>0.67083333333333328</v>
      </c>
      <c r="AE500" t="str">
        <v>Centro</v>
      </c>
      <c r="AF500" t="str">
        <v>Mesa</v>
      </c>
      <c r="AG500" t="str">
        <v>Vegano</v>
      </c>
      <c r="AH500">
        <v>4</v>
      </c>
      <c r="AI500">
        <v>37166.36</v>
      </c>
      <c r="AJ500">
        <v>2857.65</v>
      </c>
      <c r="AK500">
        <v>22</v>
      </c>
      <c r="AL500">
        <v>40</v>
      </c>
      <c r="AM500" t="str">
        <v>Tarjeta</v>
      </c>
      <c r="AN500" t="str">
        <v>Entregada</v>
      </c>
      <c r="AO500">
        <v>5</v>
      </c>
    </row>
    <row r="501" spans="1:41" x14ac:dyDescent="0.3">
      <c r="A501" t="s">
        <v>535</v>
      </c>
      <c r="B501" s="8">
        <v>45823</v>
      </c>
      <c r="C501" s="2">
        <v>0.71736111111111112</v>
      </c>
      <c r="D501" t="s">
        <v>33</v>
      </c>
      <c r="E501" t="s">
        <v>22</v>
      </c>
      <c r="F501" t="s">
        <v>36</v>
      </c>
      <c r="G501">
        <v>6</v>
      </c>
      <c r="H501" s="6">
        <v>31283.03</v>
      </c>
      <c r="I501" s="6">
        <v>1915.11</v>
      </c>
      <c r="J501">
        <v>30</v>
      </c>
      <c r="K501">
        <v>41</v>
      </c>
      <c r="L501" t="s">
        <v>24</v>
      </c>
      <c r="M501" t="s">
        <v>25</v>
      </c>
      <c r="N501">
        <v>5</v>
      </c>
      <c r="O501" s="4"/>
      <c r="P501" s="4" t="str">
        <f>IF(Data_Set_2[[#This Row],[valor_bruto]]&gt;$W$13,"OUTLIER+","")</f>
        <v/>
      </c>
      <c r="Q501" s="4" t="str">
        <f>IF(Data_Set_2[[#This Row],[valor_bruto]]&lt;$W$14,"OUTLIER-","")</f>
        <v/>
      </c>
      <c r="R501" s="4"/>
      <c r="S501" s="4"/>
      <c r="AB501" t="str">
        <v>RES-100499</v>
      </c>
      <c r="AC501">
        <v>45823</v>
      </c>
      <c r="AD501">
        <v>0.71736111111111112</v>
      </c>
      <c r="AE501" t="str">
        <v>Envigado</v>
      </c>
      <c r="AF501" t="str">
        <v>Domicilio</v>
      </c>
      <c r="AG501" t="str">
        <v>Bebidas</v>
      </c>
      <c r="AH501">
        <v>6</v>
      </c>
      <c r="AI501">
        <v>31283.03</v>
      </c>
      <c r="AJ501">
        <v>1915.11</v>
      </c>
      <c r="AK501">
        <v>30</v>
      </c>
      <c r="AL501">
        <v>41</v>
      </c>
      <c r="AM501" t="str">
        <v>Efectivo</v>
      </c>
      <c r="AN501" t="str">
        <v>Cancelada</v>
      </c>
      <c r="AO501">
        <v>5</v>
      </c>
    </row>
    <row r="502" spans="1:41" x14ac:dyDescent="0.3">
      <c r="A502" t="s">
        <v>536</v>
      </c>
      <c r="B502" s="8">
        <v>45824</v>
      </c>
      <c r="C502" s="2">
        <v>0.76388888888888884</v>
      </c>
      <c r="D502" t="s">
        <v>15</v>
      </c>
      <c r="E502" t="s">
        <v>28</v>
      </c>
      <c r="F502" t="s">
        <v>17</v>
      </c>
      <c r="G502">
        <v>4</v>
      </c>
      <c r="H502" s="6">
        <v>59050.44</v>
      </c>
      <c r="I502" s="6">
        <v>4004.74</v>
      </c>
      <c r="J502">
        <v>23</v>
      </c>
      <c r="K502">
        <v>49</v>
      </c>
      <c r="L502" t="s">
        <v>30</v>
      </c>
      <c r="M502" t="s">
        <v>31</v>
      </c>
      <c r="N502">
        <v>3</v>
      </c>
      <c r="O502" s="4"/>
      <c r="P502" s="4" t="str">
        <f>IF(Data_Set_2[[#This Row],[valor_bruto]]&gt;$W$13,"OUTLIER+","")</f>
        <v/>
      </c>
      <c r="Q502" s="4" t="str">
        <f>IF(Data_Set_2[[#This Row],[valor_bruto]]&lt;$W$14,"OUTLIER-","")</f>
        <v/>
      </c>
      <c r="R502" s="4"/>
      <c r="S502" s="4"/>
      <c r="AB502" t="str">
        <v>RES-100500</v>
      </c>
      <c r="AC502">
        <v>45824</v>
      </c>
      <c r="AD502">
        <v>0.76388888888888884</v>
      </c>
      <c r="AE502" t="str">
        <v>Laureles</v>
      </c>
      <c r="AF502" t="str">
        <v>Recoge</v>
      </c>
      <c r="AG502" t="str">
        <v>Comida rapida</v>
      </c>
      <c r="AH502">
        <v>4</v>
      </c>
      <c r="AI502">
        <v>59050.44</v>
      </c>
      <c r="AJ502">
        <v>4004.74</v>
      </c>
      <c r="AK502">
        <v>23</v>
      </c>
      <c r="AL502">
        <v>49</v>
      </c>
      <c r="AM502" t="str">
        <v>App</v>
      </c>
      <c r="AN502" t="str">
        <v>Reembolsada</v>
      </c>
      <c r="AO502">
        <v>3</v>
      </c>
    </row>
    <row r="503" spans="1:41" x14ac:dyDescent="0.3">
      <c r="A503" t="s">
        <v>537</v>
      </c>
      <c r="B503" s="8">
        <v>45825</v>
      </c>
      <c r="C503" s="2">
        <v>0.81041666666666667</v>
      </c>
      <c r="D503" t="s">
        <v>21</v>
      </c>
      <c r="E503" t="s">
        <v>16</v>
      </c>
      <c r="F503" t="s">
        <v>23</v>
      </c>
      <c r="G503">
        <v>2</v>
      </c>
      <c r="H503" s="6">
        <v>29756.01</v>
      </c>
      <c r="I503" s="6">
        <v>2011.59</v>
      </c>
      <c r="J503">
        <v>16</v>
      </c>
      <c r="K503">
        <v>32</v>
      </c>
      <c r="L503" t="s">
        <v>18</v>
      </c>
      <c r="M503" t="s">
        <v>19</v>
      </c>
      <c r="N503">
        <v>4</v>
      </c>
      <c r="O503" s="4"/>
      <c r="P503" s="4" t="str">
        <f>IF(Data_Set_2[[#This Row],[valor_bruto]]&gt;$W$13,"OUTLIER+","")</f>
        <v/>
      </c>
      <c r="Q503" s="4" t="str">
        <f>IF(Data_Set_2[[#This Row],[valor_bruto]]&lt;$W$14,"OUTLIER-","")</f>
        <v/>
      </c>
      <c r="R503" s="4"/>
      <c r="S503" s="4"/>
      <c r="AB503" t="str">
        <v>RES-100501</v>
      </c>
      <c r="AC503">
        <v>45825</v>
      </c>
      <c r="AD503">
        <v>0.81041666666666667</v>
      </c>
      <c r="AE503" t="str">
        <v>Poblado</v>
      </c>
      <c r="AF503" t="str">
        <v>Mesa</v>
      </c>
      <c r="AG503" t="str">
        <v>Pasta</v>
      </c>
      <c r="AH503">
        <v>2</v>
      </c>
      <c r="AI503">
        <v>29756.01</v>
      </c>
      <c r="AJ503">
        <v>2011.59</v>
      </c>
      <c r="AK503">
        <v>16</v>
      </c>
      <c r="AL503">
        <v>32</v>
      </c>
      <c r="AM503" t="str">
        <v>Tarjeta</v>
      </c>
      <c r="AN503" t="str">
        <v>Entregada</v>
      </c>
      <c r="AO503">
        <v>4</v>
      </c>
    </row>
    <row r="504" spans="1:41" x14ac:dyDescent="0.3">
      <c r="A504" t="s">
        <v>538</v>
      </c>
      <c r="B504" s="8">
        <v>45826</v>
      </c>
      <c r="C504" s="2">
        <v>0.8569444444444444</v>
      </c>
      <c r="D504" t="s">
        <v>27</v>
      </c>
      <c r="E504" t="s">
        <v>22</v>
      </c>
      <c r="F504" t="s">
        <v>29</v>
      </c>
      <c r="G504">
        <v>2</v>
      </c>
      <c r="H504" s="6">
        <v>38586.31</v>
      </c>
      <c r="I504" s="6">
        <v>4704.79</v>
      </c>
      <c r="J504">
        <v>23</v>
      </c>
      <c r="K504">
        <v>32</v>
      </c>
      <c r="L504" t="s">
        <v>24</v>
      </c>
      <c r="M504" t="s">
        <v>25</v>
      </c>
      <c r="N504">
        <v>5</v>
      </c>
      <c r="O504" s="4"/>
      <c r="P504" s="4" t="str">
        <f>IF(Data_Set_2[[#This Row],[valor_bruto]]&gt;$W$13,"OUTLIER+","")</f>
        <v/>
      </c>
      <c r="Q504" s="4" t="str">
        <f>IF(Data_Set_2[[#This Row],[valor_bruto]]&lt;$W$14,"OUTLIER-","")</f>
        <v/>
      </c>
      <c r="R504" s="4"/>
      <c r="S504" s="4"/>
      <c r="AB504" t="str">
        <v>RES-100502</v>
      </c>
      <c r="AC504">
        <v>45826</v>
      </c>
      <c r="AD504">
        <v>0.8569444444444444</v>
      </c>
      <c r="AE504" t="str">
        <v>Centro</v>
      </c>
      <c r="AF504" t="str">
        <v>Domicilio</v>
      </c>
      <c r="AG504" t="str">
        <v>Parrilla</v>
      </c>
      <c r="AH504">
        <v>2</v>
      </c>
      <c r="AI504">
        <v>38586.31</v>
      </c>
      <c r="AJ504">
        <v>4704.79</v>
      </c>
      <c r="AK504">
        <v>23</v>
      </c>
      <c r="AL504">
        <v>32</v>
      </c>
      <c r="AM504" t="str">
        <v>Efectivo</v>
      </c>
      <c r="AN504" t="str">
        <v>Cancelada</v>
      </c>
      <c r="AO504">
        <v>5</v>
      </c>
    </row>
    <row r="505" spans="1:41" x14ac:dyDescent="0.3">
      <c r="A505" t="s">
        <v>539</v>
      </c>
      <c r="B505" s="8">
        <v>45827</v>
      </c>
      <c r="C505" s="2">
        <v>0.90347222222222223</v>
      </c>
      <c r="D505" t="s">
        <v>33</v>
      </c>
      <c r="E505" t="s">
        <v>28</v>
      </c>
      <c r="F505" t="s">
        <v>34</v>
      </c>
      <c r="G505">
        <v>6</v>
      </c>
      <c r="H505" s="6">
        <v>60234.02</v>
      </c>
      <c r="I505" s="6">
        <v>6281.47</v>
      </c>
      <c r="J505">
        <v>18</v>
      </c>
      <c r="K505">
        <v>44</v>
      </c>
      <c r="L505" t="s">
        <v>30</v>
      </c>
      <c r="M505" t="s">
        <v>31</v>
      </c>
      <c r="N505">
        <v>5</v>
      </c>
      <c r="O505" s="4"/>
      <c r="P505" s="4" t="str">
        <f>IF(Data_Set_2[[#This Row],[valor_bruto]]&gt;$W$13,"OUTLIER+","")</f>
        <v/>
      </c>
      <c r="Q505" s="4" t="str">
        <f>IF(Data_Set_2[[#This Row],[valor_bruto]]&lt;$W$14,"OUTLIER-","")</f>
        <v/>
      </c>
      <c r="R505" s="4"/>
      <c r="S505" s="4"/>
      <c r="AB505" t="str">
        <v>RES-100503</v>
      </c>
      <c r="AC505">
        <v>45827</v>
      </c>
      <c r="AD505">
        <v>0.90347222222222223</v>
      </c>
      <c r="AE505" t="str">
        <v>Envigado</v>
      </c>
      <c r="AF505" t="str">
        <v>Recoge</v>
      </c>
      <c r="AG505" t="str">
        <v>Vegano</v>
      </c>
      <c r="AH505">
        <v>6</v>
      </c>
      <c r="AI505">
        <v>60234.02</v>
      </c>
      <c r="AJ505">
        <v>6281.47</v>
      </c>
      <c r="AK505">
        <v>18</v>
      </c>
      <c r="AL505">
        <v>44</v>
      </c>
      <c r="AM505" t="str">
        <v>App</v>
      </c>
      <c r="AN505" t="str">
        <v>Reembolsada</v>
      </c>
      <c r="AO505">
        <v>5</v>
      </c>
    </row>
    <row r="506" spans="1:41" x14ac:dyDescent="0.3">
      <c r="A506" t="s">
        <v>540</v>
      </c>
      <c r="B506" s="8">
        <v>45828</v>
      </c>
      <c r="C506" s="2">
        <v>0.45</v>
      </c>
      <c r="D506" t="s">
        <v>15</v>
      </c>
      <c r="E506" t="s">
        <v>16</v>
      </c>
      <c r="F506" t="s">
        <v>36</v>
      </c>
      <c r="G506">
        <v>6</v>
      </c>
      <c r="H506" s="6">
        <v>59673.85</v>
      </c>
      <c r="I506" s="6">
        <v>5374.94</v>
      </c>
      <c r="J506">
        <v>17</v>
      </c>
      <c r="K506">
        <v>30</v>
      </c>
      <c r="L506" t="s">
        <v>18</v>
      </c>
      <c r="M506" t="s">
        <v>19</v>
      </c>
      <c r="N506">
        <f>VLOOKUP(Data_Set_2[[#This Row],[estado]],M2:N505,2,0)</f>
        <v>5</v>
      </c>
      <c r="O506" s="4"/>
      <c r="P506" s="4" t="str">
        <f>IF(Data_Set_2[[#This Row],[valor_bruto]]&gt;$W$13,"OUTLIER+","")</f>
        <v/>
      </c>
      <c r="Q506" s="4" t="str">
        <f>IF(Data_Set_2[[#This Row],[valor_bruto]]&lt;$W$14,"OUTLIER-","")</f>
        <v/>
      </c>
      <c r="R506" s="4"/>
      <c r="S506" s="4"/>
      <c r="AB506" t="str">
        <v>RES-100504</v>
      </c>
      <c r="AC506">
        <v>45828</v>
      </c>
      <c r="AD506">
        <v>0.45</v>
      </c>
      <c r="AE506" t="str">
        <v>Laureles</v>
      </c>
      <c r="AF506" t="str">
        <v>Mesa</v>
      </c>
      <c r="AG506" t="str">
        <v>Bebidas</v>
      </c>
      <c r="AH506">
        <v>6</v>
      </c>
      <c r="AI506">
        <v>59673.85</v>
      </c>
      <c r="AJ506">
        <v>5374.94</v>
      </c>
      <c r="AK506">
        <v>17</v>
      </c>
      <c r="AL506">
        <v>30</v>
      </c>
      <c r="AM506" t="str">
        <v>Tarjeta</v>
      </c>
      <c r="AN506" t="str">
        <v>Entregada</v>
      </c>
      <c r="AO506">
        <v>5</v>
      </c>
    </row>
    <row r="507" spans="1:41" x14ac:dyDescent="0.3">
      <c r="A507" t="s">
        <v>541</v>
      </c>
      <c r="B507" s="8">
        <v>45829</v>
      </c>
      <c r="C507" s="2">
        <v>0.49652777777777779</v>
      </c>
      <c r="D507" t="s">
        <v>21</v>
      </c>
      <c r="E507" t="s">
        <v>22</v>
      </c>
      <c r="F507" t="s">
        <v>17</v>
      </c>
      <c r="G507">
        <v>2</v>
      </c>
      <c r="H507" s="6">
        <v>54992.67</v>
      </c>
      <c r="I507" s="6">
        <v>8313.7199999999993</v>
      </c>
      <c r="J507">
        <v>15</v>
      </c>
      <c r="K507">
        <v>32</v>
      </c>
      <c r="L507" t="s">
        <v>24</v>
      </c>
      <c r="M507" t="s">
        <v>25</v>
      </c>
      <c r="N507">
        <v>5</v>
      </c>
      <c r="O507" s="4"/>
      <c r="P507" s="4" t="str">
        <f>IF(Data_Set_2[[#This Row],[valor_bruto]]&gt;$W$13,"OUTLIER+","")</f>
        <v/>
      </c>
      <c r="Q507" s="4" t="str">
        <f>IF(Data_Set_2[[#This Row],[valor_bruto]]&lt;$W$14,"OUTLIER-","")</f>
        <v/>
      </c>
      <c r="R507" s="4"/>
      <c r="S507" s="4"/>
      <c r="AB507" t="str">
        <v>RES-100505</v>
      </c>
      <c r="AC507">
        <v>45829</v>
      </c>
      <c r="AD507">
        <v>0.49652777777777779</v>
      </c>
      <c r="AE507" t="str">
        <v>Poblado</v>
      </c>
      <c r="AF507" t="str">
        <v>Domicilio</v>
      </c>
      <c r="AG507" t="str">
        <v>Comida rapida</v>
      </c>
      <c r="AH507">
        <v>2</v>
      </c>
      <c r="AI507">
        <v>54992.67</v>
      </c>
      <c r="AJ507">
        <v>8313.7199999999993</v>
      </c>
      <c r="AK507">
        <v>15</v>
      </c>
      <c r="AL507">
        <v>32</v>
      </c>
      <c r="AM507" t="str">
        <v>Efectivo</v>
      </c>
      <c r="AN507" t="str">
        <v>Cancelada</v>
      </c>
      <c r="AO507">
        <v>5</v>
      </c>
    </row>
    <row r="508" spans="1:41" x14ac:dyDescent="0.3">
      <c r="A508" t="s">
        <v>542</v>
      </c>
      <c r="B508" s="8">
        <v>45830</v>
      </c>
      <c r="C508" s="2">
        <v>0.50138888888888888</v>
      </c>
      <c r="D508" t="s">
        <v>27</v>
      </c>
      <c r="E508" t="s">
        <v>28</v>
      </c>
      <c r="F508" t="s">
        <v>23</v>
      </c>
      <c r="G508">
        <v>4</v>
      </c>
      <c r="H508" s="6">
        <v>36995.410000000003</v>
      </c>
      <c r="I508" s="6">
        <v>8138.32</v>
      </c>
      <c r="J508">
        <v>27</v>
      </c>
      <c r="K508">
        <v>49</v>
      </c>
      <c r="L508" t="s">
        <v>30</v>
      </c>
      <c r="M508" t="s">
        <v>31</v>
      </c>
      <c r="N508">
        <v>4</v>
      </c>
      <c r="O508" s="4"/>
      <c r="P508" s="4" t="str">
        <f>IF(Data_Set_2[[#This Row],[valor_bruto]]&gt;$W$13,"OUTLIER+","")</f>
        <v/>
      </c>
      <c r="Q508" s="4" t="str">
        <f>IF(Data_Set_2[[#This Row],[valor_bruto]]&lt;$W$14,"OUTLIER-","")</f>
        <v/>
      </c>
      <c r="R508" s="4"/>
      <c r="S508" s="4"/>
      <c r="AB508" t="str">
        <v>RES-100506</v>
      </c>
      <c r="AC508">
        <v>45830</v>
      </c>
      <c r="AD508">
        <v>0.50138888888888888</v>
      </c>
      <c r="AE508" t="str">
        <v>Centro</v>
      </c>
      <c r="AF508" t="str">
        <v>Recoge</v>
      </c>
      <c r="AG508" t="str">
        <v>Pasta</v>
      </c>
      <c r="AH508">
        <v>4</v>
      </c>
      <c r="AI508">
        <v>36995.410000000003</v>
      </c>
      <c r="AJ508">
        <v>8138.32</v>
      </c>
      <c r="AK508">
        <v>27</v>
      </c>
      <c r="AL508">
        <v>49</v>
      </c>
      <c r="AM508" t="str">
        <v>App</v>
      </c>
      <c r="AN508" t="str">
        <v>Reembolsada</v>
      </c>
      <c r="AO508">
        <v>4</v>
      </c>
    </row>
    <row r="509" spans="1:41" x14ac:dyDescent="0.3">
      <c r="A509" t="s">
        <v>543</v>
      </c>
      <c r="B509" s="8">
        <v>45831</v>
      </c>
      <c r="C509" s="2">
        <v>0.54791666666666672</v>
      </c>
      <c r="D509" t="s">
        <v>33</v>
      </c>
      <c r="E509" t="s">
        <v>16</v>
      </c>
      <c r="F509" t="s">
        <v>29</v>
      </c>
      <c r="G509">
        <v>2</v>
      </c>
      <c r="H509" s="6">
        <v>55436.27</v>
      </c>
      <c r="I509" s="6">
        <v>4435.54</v>
      </c>
      <c r="J509">
        <v>14</v>
      </c>
      <c r="K509">
        <v>49</v>
      </c>
      <c r="L509" t="s">
        <v>18</v>
      </c>
      <c r="M509" t="s">
        <v>19</v>
      </c>
      <c r="N509">
        <v>3</v>
      </c>
      <c r="O509" s="4"/>
      <c r="P509" s="4" t="str">
        <f>IF(Data_Set_2[[#This Row],[valor_bruto]]&gt;$W$13,"OUTLIER+","")</f>
        <v/>
      </c>
      <c r="Q509" s="4" t="str">
        <f>IF(Data_Set_2[[#This Row],[valor_bruto]]&lt;$W$14,"OUTLIER-","")</f>
        <v/>
      </c>
      <c r="R509" s="4"/>
      <c r="S509" s="4"/>
      <c r="AB509" t="str">
        <v>RES-100507</v>
      </c>
      <c r="AC509">
        <v>45831</v>
      </c>
      <c r="AD509">
        <v>0.54791666666666672</v>
      </c>
      <c r="AE509" t="str">
        <v>Envigado</v>
      </c>
      <c r="AF509" t="str">
        <v>Mesa</v>
      </c>
      <c r="AG509" t="str">
        <v>Parrilla</v>
      </c>
      <c r="AH509">
        <v>2</v>
      </c>
      <c r="AI509">
        <v>55436.27</v>
      </c>
      <c r="AJ509">
        <v>4435.54</v>
      </c>
      <c r="AK509">
        <v>14</v>
      </c>
      <c r="AL509">
        <v>49</v>
      </c>
      <c r="AM509" t="str">
        <v>Tarjeta</v>
      </c>
      <c r="AN509" t="str">
        <v>Entregada</v>
      </c>
      <c r="AO509">
        <v>3</v>
      </c>
    </row>
    <row r="510" spans="1:41" x14ac:dyDescent="0.3">
      <c r="A510" t="s">
        <v>544</v>
      </c>
      <c r="B510" s="8">
        <v>45832</v>
      </c>
      <c r="C510" s="2">
        <v>0.59444444444444444</v>
      </c>
      <c r="D510" t="s">
        <v>15</v>
      </c>
      <c r="E510" t="s">
        <v>22</v>
      </c>
      <c r="F510" t="s">
        <v>34</v>
      </c>
      <c r="G510">
        <v>6</v>
      </c>
      <c r="H510" s="6">
        <v>40553.370000000003</v>
      </c>
      <c r="I510" s="6">
        <v>6780.54</v>
      </c>
      <c r="J510">
        <v>13</v>
      </c>
      <c r="K510">
        <v>24</v>
      </c>
      <c r="L510" t="s">
        <v>24</v>
      </c>
      <c r="M510" t="s">
        <v>25</v>
      </c>
      <c r="N510">
        <v>4</v>
      </c>
      <c r="O510" s="4"/>
      <c r="P510" s="4" t="str">
        <f>IF(Data_Set_2[[#This Row],[valor_bruto]]&gt;$W$13,"OUTLIER+","")</f>
        <v/>
      </c>
      <c r="Q510" s="4" t="str">
        <f>IF(Data_Set_2[[#This Row],[valor_bruto]]&lt;$W$14,"OUTLIER-","")</f>
        <v/>
      </c>
      <c r="R510" s="4"/>
      <c r="S510" s="4"/>
      <c r="AB510" t="str">
        <v>RES-100508</v>
      </c>
      <c r="AC510">
        <v>45832</v>
      </c>
      <c r="AD510">
        <v>0.59444444444444444</v>
      </c>
      <c r="AE510" t="str">
        <v>Laureles</v>
      </c>
      <c r="AF510" t="str">
        <v>Domicilio</v>
      </c>
      <c r="AG510" t="str">
        <v>Vegano</v>
      </c>
      <c r="AH510">
        <v>6</v>
      </c>
      <c r="AI510">
        <v>40553.370000000003</v>
      </c>
      <c r="AJ510">
        <v>6780.54</v>
      </c>
      <c r="AK510">
        <v>13</v>
      </c>
      <c r="AL510">
        <v>24</v>
      </c>
      <c r="AM510" t="str">
        <v>Efectivo</v>
      </c>
      <c r="AN510" t="str">
        <v>Cancelada</v>
      </c>
      <c r="AO510">
        <v>4</v>
      </c>
    </row>
    <row r="511" spans="1:41" x14ac:dyDescent="0.3">
      <c r="A511" t="s">
        <v>545</v>
      </c>
      <c r="B511" s="8">
        <v>45833</v>
      </c>
      <c r="C511" s="2">
        <v>0.64097222222222228</v>
      </c>
      <c r="D511" t="s">
        <v>21</v>
      </c>
      <c r="E511" t="s">
        <v>28</v>
      </c>
      <c r="F511" t="s">
        <v>36</v>
      </c>
      <c r="G511">
        <v>5</v>
      </c>
      <c r="H511" s="6">
        <v>29452.84</v>
      </c>
      <c r="I511" s="6">
        <v>647.65</v>
      </c>
      <c r="J511">
        <v>25</v>
      </c>
      <c r="K511">
        <v>46</v>
      </c>
      <c r="L511" t="s">
        <v>30</v>
      </c>
      <c r="M511" t="s">
        <v>31</v>
      </c>
      <c r="N511">
        <v>4</v>
      </c>
      <c r="O511" s="4"/>
      <c r="P511" s="4" t="str">
        <f>IF(Data_Set_2[[#This Row],[valor_bruto]]&gt;$W$13,"OUTLIER+","")</f>
        <v/>
      </c>
      <c r="Q511" s="4" t="str">
        <f>IF(Data_Set_2[[#This Row],[valor_bruto]]&lt;$W$14,"OUTLIER-","")</f>
        <v/>
      </c>
      <c r="R511" s="4"/>
      <c r="S511" s="4"/>
      <c r="AB511" t="str">
        <v>RES-100509</v>
      </c>
      <c r="AC511">
        <v>45833</v>
      </c>
      <c r="AD511">
        <v>0.64097222222222228</v>
      </c>
      <c r="AE511" t="str">
        <v>Poblado</v>
      </c>
      <c r="AF511" t="str">
        <v>Recoge</v>
      </c>
      <c r="AG511" t="str">
        <v>Bebidas</v>
      </c>
      <c r="AH511">
        <v>5</v>
      </c>
      <c r="AI511">
        <v>29452.84</v>
      </c>
      <c r="AJ511">
        <v>647.65</v>
      </c>
      <c r="AK511">
        <v>25</v>
      </c>
      <c r="AL511">
        <v>46</v>
      </c>
      <c r="AM511" t="str">
        <v>App</v>
      </c>
      <c r="AN511" t="str">
        <v>Reembolsada</v>
      </c>
      <c r="AO511">
        <v>4</v>
      </c>
    </row>
    <row r="512" spans="1:41" x14ac:dyDescent="0.3">
      <c r="A512" t="s">
        <v>546</v>
      </c>
      <c r="B512" s="8">
        <v>45834</v>
      </c>
      <c r="C512" s="2">
        <v>0.6875</v>
      </c>
      <c r="D512" t="s">
        <v>27</v>
      </c>
      <c r="E512" t="s">
        <v>16</v>
      </c>
      <c r="F512" t="s">
        <v>17</v>
      </c>
      <c r="G512">
        <v>6</v>
      </c>
      <c r="H512" s="6">
        <v>57830.92</v>
      </c>
      <c r="I512" s="6">
        <v>2470.73</v>
      </c>
      <c r="J512">
        <v>19</v>
      </c>
      <c r="K512">
        <v>48</v>
      </c>
      <c r="L512" t="s">
        <v>18</v>
      </c>
      <c r="M512" t="s">
        <v>19</v>
      </c>
      <c r="N512">
        <v>3</v>
      </c>
      <c r="O512" s="4"/>
      <c r="P512" s="4" t="str">
        <f>IF(Data_Set_2[[#This Row],[valor_bruto]]&gt;$W$13,"OUTLIER+","")</f>
        <v/>
      </c>
      <c r="Q512" s="4" t="str">
        <f>IF(Data_Set_2[[#This Row],[valor_bruto]]&lt;$W$14,"OUTLIER-","")</f>
        <v/>
      </c>
      <c r="R512" s="4"/>
      <c r="S512" s="4"/>
      <c r="AB512" t="str">
        <v>RES-100510</v>
      </c>
      <c r="AC512">
        <v>45834</v>
      </c>
      <c r="AD512">
        <v>0.6875</v>
      </c>
      <c r="AE512" t="str">
        <v>Centro</v>
      </c>
      <c r="AF512" t="str">
        <v>Mesa</v>
      </c>
      <c r="AG512" t="str">
        <v>Comida rapida</v>
      </c>
      <c r="AH512">
        <v>6</v>
      </c>
      <c r="AI512">
        <v>57830.92</v>
      </c>
      <c r="AJ512">
        <v>2470.73</v>
      </c>
      <c r="AK512">
        <v>19</v>
      </c>
      <c r="AL512">
        <v>48</v>
      </c>
      <c r="AM512" t="str">
        <v>Tarjeta</v>
      </c>
      <c r="AN512" t="str">
        <v>Entregada</v>
      </c>
      <c r="AO512">
        <v>3</v>
      </c>
    </row>
    <row r="513" spans="1:41" x14ac:dyDescent="0.3">
      <c r="A513" t="s">
        <v>547</v>
      </c>
      <c r="B513" s="8">
        <v>45835</v>
      </c>
      <c r="C513" s="2">
        <v>0.73402777777777772</v>
      </c>
      <c r="D513" t="s">
        <v>33</v>
      </c>
      <c r="E513" t="s">
        <v>22</v>
      </c>
      <c r="F513" t="s">
        <v>23</v>
      </c>
      <c r="G513">
        <v>3</v>
      </c>
      <c r="H513" s="6">
        <v>32284.91</v>
      </c>
      <c r="I513" s="6">
        <v>3132.07</v>
      </c>
      <c r="J513">
        <v>22</v>
      </c>
      <c r="K513">
        <v>48</v>
      </c>
      <c r="L513" t="s">
        <v>24</v>
      </c>
      <c r="M513" t="s">
        <v>25</v>
      </c>
      <c r="N513">
        <v>3</v>
      </c>
      <c r="O513" s="4"/>
      <c r="P513" s="4" t="str">
        <f>IF(Data_Set_2[[#This Row],[valor_bruto]]&gt;$W$13,"OUTLIER+","")</f>
        <v/>
      </c>
      <c r="Q513" s="4" t="str">
        <f>IF(Data_Set_2[[#This Row],[valor_bruto]]&lt;$W$14,"OUTLIER-","")</f>
        <v/>
      </c>
      <c r="R513" s="4"/>
      <c r="S513" s="4"/>
      <c r="AB513" t="str">
        <v>RES-100511</v>
      </c>
      <c r="AC513">
        <v>45835</v>
      </c>
      <c r="AD513">
        <v>0.73402777777777772</v>
      </c>
      <c r="AE513" t="str">
        <v>Envigado</v>
      </c>
      <c r="AF513" t="str">
        <v>Domicilio</v>
      </c>
      <c r="AG513" t="str">
        <v>Pasta</v>
      </c>
      <c r="AH513">
        <v>3</v>
      </c>
      <c r="AI513">
        <v>32284.91</v>
      </c>
      <c r="AJ513">
        <v>3132.07</v>
      </c>
      <c r="AK513">
        <v>22</v>
      </c>
      <c r="AL513">
        <v>48</v>
      </c>
      <c r="AM513" t="str">
        <v>Efectivo</v>
      </c>
      <c r="AN513" t="str">
        <v>Cancelada</v>
      </c>
      <c r="AO513">
        <v>3</v>
      </c>
    </row>
    <row r="514" spans="1:41" x14ac:dyDescent="0.3">
      <c r="A514" t="s">
        <v>548</v>
      </c>
      <c r="B514" s="8">
        <v>45836</v>
      </c>
      <c r="C514" s="2">
        <v>0.78055555555555556</v>
      </c>
      <c r="D514" t="s">
        <v>15</v>
      </c>
      <c r="E514" t="s">
        <v>28</v>
      </c>
      <c r="F514" t="s">
        <v>29</v>
      </c>
      <c r="G514">
        <v>6</v>
      </c>
      <c r="H514" s="6">
        <v>39016.870000000003</v>
      </c>
      <c r="I514" s="6">
        <v>6117.51</v>
      </c>
      <c r="J514">
        <v>31</v>
      </c>
      <c r="K514">
        <v>44</v>
      </c>
      <c r="L514" t="s">
        <v>30</v>
      </c>
      <c r="M514" t="s">
        <v>31</v>
      </c>
      <c r="N514">
        <v>4</v>
      </c>
      <c r="O514" s="4"/>
      <c r="P514" s="4" t="str">
        <f>IF(Data_Set_2[[#This Row],[valor_bruto]]&gt;$W$13,"OUTLIER+","")</f>
        <v/>
      </c>
      <c r="Q514" s="4" t="str">
        <f>IF(Data_Set_2[[#This Row],[valor_bruto]]&lt;$W$14,"OUTLIER-","")</f>
        <v/>
      </c>
      <c r="R514" s="4"/>
      <c r="S514" s="4"/>
      <c r="AB514" t="str">
        <v>RES-100512</v>
      </c>
      <c r="AC514">
        <v>45836</v>
      </c>
      <c r="AD514">
        <v>0.78055555555555556</v>
      </c>
      <c r="AE514" t="str">
        <v>Laureles</v>
      </c>
      <c r="AF514" t="str">
        <v>Recoge</v>
      </c>
      <c r="AG514" t="str">
        <v>Parrilla</v>
      </c>
      <c r="AH514">
        <v>6</v>
      </c>
      <c r="AI514">
        <v>39016.870000000003</v>
      </c>
      <c r="AJ514">
        <v>6117.51</v>
      </c>
      <c r="AK514">
        <v>31</v>
      </c>
      <c r="AL514">
        <v>44</v>
      </c>
      <c r="AM514" t="str">
        <v>App</v>
      </c>
      <c r="AN514" t="str">
        <v>Reembolsada</v>
      </c>
      <c r="AO514">
        <v>4</v>
      </c>
    </row>
    <row r="515" spans="1:41" x14ac:dyDescent="0.3">
      <c r="A515" t="s">
        <v>549</v>
      </c>
      <c r="B515" s="8">
        <v>45837</v>
      </c>
      <c r="C515" s="2">
        <v>0.82708333333333328</v>
      </c>
      <c r="D515" t="s">
        <v>21</v>
      </c>
      <c r="E515" t="s">
        <v>16</v>
      </c>
      <c r="F515" t="s">
        <v>34</v>
      </c>
      <c r="G515">
        <v>5</v>
      </c>
      <c r="H515" s="6">
        <v>40474.18</v>
      </c>
      <c r="I515" s="6">
        <v>5569.7</v>
      </c>
      <c r="J515">
        <v>30</v>
      </c>
      <c r="K515">
        <v>38</v>
      </c>
      <c r="L515" t="s">
        <v>18</v>
      </c>
      <c r="M515" t="s">
        <v>19</v>
      </c>
      <c r="N515">
        <v>5</v>
      </c>
      <c r="O515" s="4"/>
      <c r="P515" s="4" t="str">
        <f>IF(Data_Set_2[[#This Row],[valor_bruto]]&gt;$W$13,"OUTLIER+","")</f>
        <v/>
      </c>
      <c r="Q515" s="4" t="str">
        <f>IF(Data_Set_2[[#This Row],[valor_bruto]]&lt;$W$14,"OUTLIER-","")</f>
        <v/>
      </c>
      <c r="R515" s="4"/>
      <c r="S515" s="4"/>
      <c r="AB515" t="str">
        <v>RES-100513</v>
      </c>
      <c r="AC515">
        <v>45837</v>
      </c>
      <c r="AD515">
        <v>0.82708333333333328</v>
      </c>
      <c r="AE515" t="str">
        <v>Poblado</v>
      </c>
      <c r="AF515" t="str">
        <v>Mesa</v>
      </c>
      <c r="AG515" t="str">
        <v>Vegano</v>
      </c>
      <c r="AH515">
        <v>5</v>
      </c>
      <c r="AI515">
        <v>40474.18</v>
      </c>
      <c r="AJ515">
        <v>5569.7</v>
      </c>
      <c r="AK515">
        <v>30</v>
      </c>
      <c r="AL515">
        <v>38</v>
      </c>
      <c r="AM515" t="str">
        <v>Tarjeta</v>
      </c>
      <c r="AN515" t="str">
        <v>Entregada</v>
      </c>
      <c r="AO515">
        <v>5</v>
      </c>
    </row>
    <row r="516" spans="1:41" x14ac:dyDescent="0.3">
      <c r="A516" t="s">
        <v>550</v>
      </c>
      <c r="B516" s="8">
        <v>45838</v>
      </c>
      <c r="C516" s="2">
        <v>0.87361111111111112</v>
      </c>
      <c r="D516" t="s">
        <v>27</v>
      </c>
      <c r="E516" t="s">
        <v>22</v>
      </c>
      <c r="F516" t="s">
        <v>36</v>
      </c>
      <c r="G516">
        <v>3</v>
      </c>
      <c r="H516" s="6">
        <v>31968.86</v>
      </c>
      <c r="I516" s="6">
        <v>6171.67</v>
      </c>
      <c r="J516">
        <v>29</v>
      </c>
      <c r="K516">
        <v>43</v>
      </c>
      <c r="L516" t="s">
        <v>24</v>
      </c>
      <c r="M516" t="s">
        <v>25</v>
      </c>
      <c r="N516">
        <v>3</v>
      </c>
      <c r="O516" s="4"/>
      <c r="P516" s="4" t="str">
        <f>IF(Data_Set_2[[#This Row],[valor_bruto]]&gt;$W$13,"OUTLIER+","")</f>
        <v/>
      </c>
      <c r="Q516" s="4" t="str">
        <f>IF(Data_Set_2[[#This Row],[valor_bruto]]&lt;$W$14,"OUTLIER-","")</f>
        <v/>
      </c>
      <c r="R516" s="4"/>
      <c r="S516" s="4"/>
      <c r="AB516" t="str">
        <v>RES-100514</v>
      </c>
      <c r="AC516">
        <v>45838</v>
      </c>
      <c r="AD516">
        <v>0.87361111111111112</v>
      </c>
      <c r="AE516" t="str">
        <v>Centro</v>
      </c>
      <c r="AF516" t="str">
        <v>Domicilio</v>
      </c>
      <c r="AG516" t="str">
        <v>Bebidas</v>
      </c>
      <c r="AH516">
        <v>3</v>
      </c>
      <c r="AI516">
        <v>31968.86</v>
      </c>
      <c r="AJ516">
        <v>6171.67</v>
      </c>
      <c r="AK516">
        <v>29</v>
      </c>
      <c r="AL516">
        <v>43</v>
      </c>
      <c r="AM516" t="str">
        <v>Efectivo</v>
      </c>
      <c r="AN516" t="str">
        <v>Cancelada</v>
      </c>
      <c r="AO516">
        <v>3</v>
      </c>
    </row>
    <row r="517" spans="1:41" x14ac:dyDescent="0.3">
      <c r="A517" t="s">
        <v>551</v>
      </c>
      <c r="B517" s="8">
        <v>45664</v>
      </c>
      <c r="C517" s="2">
        <v>0.87847222222222221</v>
      </c>
      <c r="D517" t="s">
        <v>33</v>
      </c>
      <c r="E517" t="s">
        <v>28</v>
      </c>
      <c r="F517" t="s">
        <v>17</v>
      </c>
      <c r="G517">
        <v>3</v>
      </c>
      <c r="H517" s="6">
        <v>67037.649999999994</v>
      </c>
      <c r="I517" s="6">
        <v>5162.5600000000004</v>
      </c>
      <c r="J517">
        <v>27</v>
      </c>
      <c r="K517">
        <v>39</v>
      </c>
      <c r="L517" t="s">
        <v>30</v>
      </c>
      <c r="M517" t="s">
        <v>31</v>
      </c>
      <c r="N517">
        <v>5</v>
      </c>
      <c r="O517" s="4"/>
      <c r="P517" s="4" t="str">
        <f>IF(Data_Set_2[[#This Row],[valor_bruto]]&gt;$W$13,"OUTLIER+","")</f>
        <v/>
      </c>
      <c r="Q517" s="4" t="str">
        <f>IF(Data_Set_2[[#This Row],[valor_bruto]]&lt;$W$14,"OUTLIER-","")</f>
        <v/>
      </c>
      <c r="R517" s="4"/>
      <c r="S517" s="4"/>
      <c r="AB517" t="str">
        <v>RES-100515</v>
      </c>
      <c r="AC517">
        <v>45664</v>
      </c>
      <c r="AD517">
        <v>0.87847222222222221</v>
      </c>
      <c r="AE517" t="str">
        <v>Envigado</v>
      </c>
      <c r="AF517" t="str">
        <v>Recoge</v>
      </c>
      <c r="AG517" t="str">
        <v>Comida rapida</v>
      </c>
      <c r="AH517">
        <v>3</v>
      </c>
      <c r="AI517">
        <v>67037.649999999994</v>
      </c>
      <c r="AJ517">
        <v>5162.5600000000004</v>
      </c>
      <c r="AK517">
        <v>27</v>
      </c>
      <c r="AL517">
        <v>39</v>
      </c>
      <c r="AM517" t="str">
        <v>App</v>
      </c>
      <c r="AN517" t="str">
        <v>Reembolsada</v>
      </c>
      <c r="AO517">
        <v>5</v>
      </c>
    </row>
    <row r="518" spans="1:41" x14ac:dyDescent="0.3">
      <c r="A518" t="s">
        <v>552</v>
      </c>
      <c r="B518" s="8">
        <v>45840</v>
      </c>
      <c r="C518" s="2">
        <v>0.42499999999999999</v>
      </c>
      <c r="D518" t="s">
        <v>15</v>
      </c>
      <c r="E518" t="s">
        <v>16</v>
      </c>
      <c r="F518" t="s">
        <v>23</v>
      </c>
      <c r="G518">
        <v>2</v>
      </c>
      <c r="H518" s="6">
        <v>63070.43</v>
      </c>
      <c r="I518" s="6">
        <v>3331.31</v>
      </c>
      <c r="J518">
        <v>21</v>
      </c>
      <c r="K518">
        <v>41</v>
      </c>
      <c r="L518" t="s">
        <v>18</v>
      </c>
      <c r="M518" t="s">
        <v>19</v>
      </c>
      <c r="N518">
        <v>3</v>
      </c>
      <c r="O518" s="4"/>
      <c r="P518" s="4" t="str">
        <f>IF(Data_Set_2[[#This Row],[valor_bruto]]&gt;$W$13,"OUTLIER+","")</f>
        <v/>
      </c>
      <c r="Q518" s="4" t="str">
        <f>IF(Data_Set_2[[#This Row],[valor_bruto]]&lt;$W$14,"OUTLIER-","")</f>
        <v/>
      </c>
      <c r="R518" s="4"/>
      <c r="S518" s="4"/>
      <c r="AB518" t="str">
        <v>RES-100516</v>
      </c>
      <c r="AC518">
        <v>45840</v>
      </c>
      <c r="AD518">
        <v>0.42499999999999999</v>
      </c>
      <c r="AE518" t="str">
        <v>Laureles</v>
      </c>
      <c r="AF518" t="str">
        <v>Mesa</v>
      </c>
      <c r="AG518" t="str">
        <v>Pasta</v>
      </c>
      <c r="AH518">
        <v>2</v>
      </c>
      <c r="AI518">
        <v>63070.43</v>
      </c>
      <c r="AJ518">
        <v>3331.31</v>
      </c>
      <c r="AK518">
        <v>21</v>
      </c>
      <c r="AL518">
        <v>41</v>
      </c>
      <c r="AM518" t="str">
        <v>Tarjeta</v>
      </c>
      <c r="AN518" t="str">
        <v>Entregada</v>
      </c>
      <c r="AO518">
        <v>3</v>
      </c>
    </row>
    <row r="519" spans="1:41" x14ac:dyDescent="0.3">
      <c r="A519" t="s">
        <v>553</v>
      </c>
      <c r="B519" s="8">
        <v>45841</v>
      </c>
      <c r="C519" s="2">
        <v>0.47152777777777777</v>
      </c>
      <c r="D519" t="s">
        <v>21</v>
      </c>
      <c r="E519" t="s">
        <v>22</v>
      </c>
      <c r="F519" t="s">
        <v>29</v>
      </c>
      <c r="G519">
        <v>3</v>
      </c>
      <c r="H519" s="6">
        <v>64672.49</v>
      </c>
      <c r="I519" s="6">
        <v>1968.12</v>
      </c>
      <c r="J519">
        <v>28</v>
      </c>
      <c r="K519">
        <v>36</v>
      </c>
      <c r="L519" t="s">
        <v>24</v>
      </c>
      <c r="M519" t="s">
        <v>25</v>
      </c>
      <c r="N519">
        <v>4</v>
      </c>
      <c r="O519" s="4"/>
      <c r="P519" s="4" t="str">
        <f>IF(Data_Set_2[[#This Row],[valor_bruto]]&gt;$W$13,"OUTLIER+","")</f>
        <v/>
      </c>
      <c r="Q519" s="4" t="str">
        <f>IF(Data_Set_2[[#This Row],[valor_bruto]]&lt;$W$14,"OUTLIER-","")</f>
        <v/>
      </c>
      <c r="R519" s="4"/>
      <c r="S519" s="4"/>
      <c r="AB519" t="str">
        <v>RES-100517</v>
      </c>
      <c r="AC519">
        <v>45841</v>
      </c>
      <c r="AD519">
        <v>0.47152777777777777</v>
      </c>
      <c r="AE519" t="str">
        <v>Poblado</v>
      </c>
      <c r="AF519" t="str">
        <v>Domicilio</v>
      </c>
      <c r="AG519" t="str">
        <v>Parrilla</v>
      </c>
      <c r="AH519">
        <v>3</v>
      </c>
      <c r="AI519">
        <v>64672.49</v>
      </c>
      <c r="AJ519">
        <v>1968.12</v>
      </c>
      <c r="AK519">
        <v>28</v>
      </c>
      <c r="AL519">
        <v>36</v>
      </c>
      <c r="AM519" t="str">
        <v>Efectivo</v>
      </c>
      <c r="AN519" t="str">
        <v>Cancelada</v>
      </c>
      <c r="AO519">
        <v>4</v>
      </c>
    </row>
    <row r="520" spans="1:41" x14ac:dyDescent="0.3">
      <c r="A520" t="s">
        <v>554</v>
      </c>
      <c r="B520" s="8">
        <v>45754</v>
      </c>
      <c r="C520" s="2">
        <v>0.5180555555555556</v>
      </c>
      <c r="D520" t="s">
        <v>27</v>
      </c>
      <c r="E520" t="s">
        <v>28</v>
      </c>
      <c r="F520" t="s">
        <v>34</v>
      </c>
      <c r="G520">
        <v>4</v>
      </c>
      <c r="H520" s="6">
        <v>38061.39</v>
      </c>
      <c r="I520" s="6">
        <v>6582.62</v>
      </c>
      <c r="J520">
        <v>19</v>
      </c>
      <c r="K520">
        <v>38</v>
      </c>
      <c r="L520" t="s">
        <v>30</v>
      </c>
      <c r="M520" t="s">
        <v>31</v>
      </c>
      <c r="N520">
        <v>4</v>
      </c>
      <c r="O520" s="4"/>
      <c r="P520" s="4" t="str">
        <f>IF(Data_Set_2[[#This Row],[valor_bruto]]&gt;$W$13,"OUTLIER+","")</f>
        <v/>
      </c>
      <c r="Q520" s="4" t="str">
        <f>IF(Data_Set_2[[#This Row],[valor_bruto]]&lt;$W$14,"OUTLIER-","")</f>
        <v/>
      </c>
      <c r="R520" s="4"/>
      <c r="S520" s="4"/>
      <c r="AB520" t="str">
        <v>RES-100518</v>
      </c>
      <c r="AC520">
        <v>45754</v>
      </c>
      <c r="AD520">
        <v>0.5180555555555556</v>
      </c>
      <c r="AE520" t="str">
        <v>Centro</v>
      </c>
      <c r="AF520" t="str">
        <v>Recoge</v>
      </c>
      <c r="AG520" t="str">
        <v>Vegano</v>
      </c>
      <c r="AH520">
        <v>4</v>
      </c>
      <c r="AI520">
        <v>38061.39</v>
      </c>
      <c r="AJ520">
        <v>6582.62</v>
      </c>
      <c r="AK520">
        <v>19</v>
      </c>
      <c r="AL520">
        <v>38</v>
      </c>
      <c r="AM520" t="str">
        <v>App</v>
      </c>
      <c r="AN520" t="str">
        <v>Reembolsada</v>
      </c>
      <c r="AO520">
        <v>4</v>
      </c>
    </row>
    <row r="521" spans="1:41" x14ac:dyDescent="0.3">
      <c r="A521" t="s">
        <v>555</v>
      </c>
      <c r="B521" s="8">
        <v>45843</v>
      </c>
      <c r="C521" s="2">
        <v>0.56458333333333333</v>
      </c>
      <c r="D521" t="s">
        <v>33</v>
      </c>
      <c r="E521" t="s">
        <v>16</v>
      </c>
      <c r="F521" t="s">
        <v>36</v>
      </c>
      <c r="G521">
        <v>6</v>
      </c>
      <c r="H521" s="6">
        <v>49744.59</v>
      </c>
      <c r="I521" s="6">
        <v>6155.75</v>
      </c>
      <c r="J521">
        <v>29</v>
      </c>
      <c r="K521">
        <v>29</v>
      </c>
      <c r="L521" t="s">
        <v>18</v>
      </c>
      <c r="M521" t="s">
        <v>19</v>
      </c>
      <c r="N521">
        <v>5</v>
      </c>
      <c r="O521" s="4"/>
      <c r="P521" s="4" t="str">
        <f>IF(Data_Set_2[[#This Row],[valor_bruto]]&gt;$W$13,"OUTLIER+","")</f>
        <v/>
      </c>
      <c r="Q521" s="4" t="str">
        <f>IF(Data_Set_2[[#This Row],[valor_bruto]]&lt;$W$14,"OUTLIER-","")</f>
        <v/>
      </c>
      <c r="R521" s="4"/>
      <c r="S521" s="4"/>
      <c r="AB521" t="str">
        <v>RES-100519</v>
      </c>
      <c r="AC521">
        <v>45843</v>
      </c>
      <c r="AD521">
        <v>0.56458333333333333</v>
      </c>
      <c r="AE521" t="str">
        <v>Envigado</v>
      </c>
      <c r="AF521" t="str">
        <v>Mesa</v>
      </c>
      <c r="AG521" t="str">
        <v>Bebidas</v>
      </c>
      <c r="AH521">
        <v>6</v>
      </c>
      <c r="AI521">
        <v>49744.59</v>
      </c>
      <c r="AJ521">
        <v>6155.75</v>
      </c>
      <c r="AK521">
        <v>29</v>
      </c>
      <c r="AL521">
        <v>29</v>
      </c>
      <c r="AM521" t="str">
        <v>Tarjeta</v>
      </c>
      <c r="AN521" t="str">
        <v>Entregada</v>
      </c>
      <c r="AO521">
        <v>5</v>
      </c>
    </row>
    <row r="522" spans="1:41" x14ac:dyDescent="0.3">
      <c r="A522" t="s">
        <v>556</v>
      </c>
      <c r="B522" s="8">
        <v>45844</v>
      </c>
      <c r="C522" s="2">
        <v>0.61111111111111116</v>
      </c>
      <c r="D522" t="s">
        <v>15</v>
      </c>
      <c r="E522" t="s">
        <v>22</v>
      </c>
      <c r="F522" t="s">
        <v>17</v>
      </c>
      <c r="G522">
        <v>6</v>
      </c>
      <c r="H522" s="6">
        <v>55310.73</v>
      </c>
      <c r="I522" s="6">
        <v>8194.39</v>
      </c>
      <c r="J522">
        <v>27</v>
      </c>
      <c r="K522">
        <v>35</v>
      </c>
      <c r="L522" t="s">
        <v>24</v>
      </c>
      <c r="M522" t="s">
        <v>25</v>
      </c>
      <c r="N522">
        <v>3</v>
      </c>
      <c r="O522" s="4"/>
      <c r="P522" s="4" t="str">
        <f>IF(Data_Set_2[[#This Row],[valor_bruto]]&gt;$W$13,"OUTLIER+","")</f>
        <v/>
      </c>
      <c r="Q522" s="4" t="str">
        <f>IF(Data_Set_2[[#This Row],[valor_bruto]]&lt;$W$14,"OUTLIER-","")</f>
        <v/>
      </c>
      <c r="R522" s="4"/>
      <c r="S522" s="4"/>
      <c r="AB522" t="str">
        <v>RES-100520</v>
      </c>
      <c r="AC522">
        <v>45844</v>
      </c>
      <c r="AD522">
        <v>0.61111111111111116</v>
      </c>
      <c r="AE522" t="str">
        <v>Laureles</v>
      </c>
      <c r="AF522" t="str">
        <v>Domicilio</v>
      </c>
      <c r="AG522" t="str">
        <v>Comida rapida</v>
      </c>
      <c r="AH522">
        <v>6</v>
      </c>
      <c r="AI522">
        <v>55310.73</v>
      </c>
      <c r="AJ522">
        <v>8194.39</v>
      </c>
      <c r="AK522">
        <v>27</v>
      </c>
      <c r="AL522">
        <v>35</v>
      </c>
      <c r="AM522" t="str">
        <v>Efectivo</v>
      </c>
      <c r="AN522" t="str">
        <v>Cancelada</v>
      </c>
      <c r="AO522">
        <v>3</v>
      </c>
    </row>
    <row r="523" spans="1:41" x14ac:dyDescent="0.3">
      <c r="A523" t="s">
        <v>557</v>
      </c>
      <c r="B523" s="8">
        <v>45845</v>
      </c>
      <c r="C523" s="2">
        <v>0.65763888888888888</v>
      </c>
      <c r="D523" t="s">
        <v>21</v>
      </c>
      <c r="E523" t="s">
        <v>28</v>
      </c>
      <c r="F523" t="s">
        <v>23</v>
      </c>
      <c r="G523">
        <v>5</v>
      </c>
      <c r="H523" s="6">
        <v>28898.53</v>
      </c>
      <c r="I523" s="6">
        <v>2580.29</v>
      </c>
      <c r="J523">
        <v>15</v>
      </c>
      <c r="K523">
        <v>25</v>
      </c>
      <c r="L523" t="s">
        <v>30</v>
      </c>
      <c r="M523" t="s">
        <v>31</v>
      </c>
      <c r="N523">
        <v>5</v>
      </c>
      <c r="O523" s="4"/>
      <c r="P523" s="4" t="str">
        <f>IF(Data_Set_2[[#This Row],[valor_bruto]]&gt;$W$13,"OUTLIER+","")</f>
        <v/>
      </c>
      <c r="Q523" s="4" t="str">
        <f>IF(Data_Set_2[[#This Row],[valor_bruto]]&lt;$W$14,"OUTLIER-","")</f>
        <v/>
      </c>
      <c r="R523" s="4"/>
      <c r="S523" s="4"/>
      <c r="AB523" t="str">
        <v>RES-100521</v>
      </c>
      <c r="AC523">
        <v>45845</v>
      </c>
      <c r="AD523">
        <v>0.65763888888888888</v>
      </c>
      <c r="AE523" t="str">
        <v>Poblado</v>
      </c>
      <c r="AF523" t="str">
        <v>Recoge</v>
      </c>
      <c r="AG523" t="str">
        <v>Pasta</v>
      </c>
      <c r="AH523">
        <v>5</v>
      </c>
      <c r="AI523">
        <v>28898.53</v>
      </c>
      <c r="AJ523">
        <v>2580.29</v>
      </c>
      <c r="AK523">
        <v>15</v>
      </c>
      <c r="AL523">
        <v>25</v>
      </c>
      <c r="AM523" t="str">
        <v>App</v>
      </c>
      <c r="AN523" t="str">
        <v>Reembolsada</v>
      </c>
      <c r="AO523">
        <v>5</v>
      </c>
    </row>
    <row r="524" spans="1:41" x14ac:dyDescent="0.3">
      <c r="A524" t="s">
        <v>558</v>
      </c>
      <c r="B524" s="8">
        <v>45846</v>
      </c>
      <c r="C524" s="2">
        <v>0.70416666666666672</v>
      </c>
      <c r="D524" t="s">
        <v>27</v>
      </c>
      <c r="E524" t="s">
        <v>16</v>
      </c>
      <c r="F524" t="s">
        <v>29</v>
      </c>
      <c r="G524">
        <v>4</v>
      </c>
      <c r="H524" s="6">
        <v>29233.66</v>
      </c>
      <c r="I524" s="6">
        <v>1679.79</v>
      </c>
      <c r="J524">
        <v>25</v>
      </c>
      <c r="K524">
        <v>48</v>
      </c>
      <c r="L524" t="s">
        <v>18</v>
      </c>
      <c r="M524" t="s">
        <v>19</v>
      </c>
      <c r="N524">
        <v>3</v>
      </c>
      <c r="O524" s="4"/>
      <c r="P524" s="4" t="str">
        <f>IF(Data_Set_2[[#This Row],[valor_bruto]]&gt;$W$13,"OUTLIER+","")</f>
        <v/>
      </c>
      <c r="Q524" s="4" t="str">
        <f>IF(Data_Set_2[[#This Row],[valor_bruto]]&lt;$W$14,"OUTLIER-","")</f>
        <v/>
      </c>
      <c r="R524" s="4"/>
      <c r="S524" s="4"/>
      <c r="AB524" t="str">
        <v>RES-100522</v>
      </c>
      <c r="AC524">
        <v>45846</v>
      </c>
      <c r="AD524">
        <v>0.70416666666666672</v>
      </c>
      <c r="AE524" t="str">
        <v>Centro</v>
      </c>
      <c r="AF524" t="str">
        <v>Mesa</v>
      </c>
      <c r="AG524" t="str">
        <v>Parrilla</v>
      </c>
      <c r="AH524">
        <v>4</v>
      </c>
      <c r="AI524">
        <v>29233.66</v>
      </c>
      <c r="AJ524">
        <v>1679.79</v>
      </c>
      <c r="AK524">
        <v>25</v>
      </c>
      <c r="AL524">
        <v>48</v>
      </c>
      <c r="AM524" t="str">
        <v>Tarjeta</v>
      </c>
      <c r="AN524" t="str">
        <v>Entregada</v>
      </c>
      <c r="AO524">
        <v>3</v>
      </c>
    </row>
    <row r="525" spans="1:41" x14ac:dyDescent="0.3">
      <c r="A525" t="s">
        <v>559</v>
      </c>
      <c r="B525" s="8">
        <v>45847</v>
      </c>
      <c r="C525" s="2">
        <v>0.70902777777777781</v>
      </c>
      <c r="D525" t="s">
        <v>33</v>
      </c>
      <c r="E525" t="s">
        <v>22</v>
      </c>
      <c r="F525" t="s">
        <v>34</v>
      </c>
      <c r="G525">
        <v>2</v>
      </c>
      <c r="H525" s="6">
        <v>42118.65</v>
      </c>
      <c r="I525" s="6">
        <v>6316.71</v>
      </c>
      <c r="J525">
        <v>13</v>
      </c>
      <c r="K525">
        <v>38</v>
      </c>
      <c r="L525" t="s">
        <v>24</v>
      </c>
      <c r="M525" t="s">
        <v>25</v>
      </c>
      <c r="N525">
        <v>4</v>
      </c>
      <c r="O525" s="4"/>
      <c r="P525" s="4" t="str">
        <f>IF(Data_Set_2[[#This Row],[valor_bruto]]&gt;$W$13,"OUTLIER+","")</f>
        <v/>
      </c>
      <c r="Q525" s="4" t="str">
        <f>IF(Data_Set_2[[#This Row],[valor_bruto]]&lt;$W$14,"OUTLIER-","")</f>
        <v/>
      </c>
      <c r="R525" s="4"/>
      <c r="S525" s="4"/>
      <c r="AB525" t="str">
        <v>RES-100523</v>
      </c>
      <c r="AC525">
        <v>45847</v>
      </c>
      <c r="AD525">
        <v>0.70902777777777781</v>
      </c>
      <c r="AE525" t="str">
        <v>Envigado</v>
      </c>
      <c r="AF525" t="str">
        <v>Domicilio</v>
      </c>
      <c r="AG525" t="str">
        <v>Vegano</v>
      </c>
      <c r="AH525">
        <v>2</v>
      </c>
      <c r="AI525">
        <v>42118.65</v>
      </c>
      <c r="AJ525">
        <v>6316.71</v>
      </c>
      <c r="AK525">
        <v>13</v>
      </c>
      <c r="AL525">
        <v>38</v>
      </c>
      <c r="AM525" t="str">
        <v>Efectivo</v>
      </c>
      <c r="AN525" t="str">
        <v>Cancelada</v>
      </c>
      <c r="AO525">
        <v>4</v>
      </c>
    </row>
    <row r="526" spans="1:41" x14ac:dyDescent="0.3">
      <c r="A526" t="s">
        <v>560</v>
      </c>
      <c r="B526" s="8">
        <v>45937</v>
      </c>
      <c r="C526" s="2">
        <v>0.75555555555555554</v>
      </c>
      <c r="D526" t="s">
        <v>15</v>
      </c>
      <c r="E526" t="s">
        <v>28</v>
      </c>
      <c r="F526" t="s">
        <v>36</v>
      </c>
      <c r="G526">
        <v>4</v>
      </c>
      <c r="H526" s="6">
        <v>36513.519999999997</v>
      </c>
      <c r="I526" s="6">
        <v>8185.51</v>
      </c>
      <c r="J526">
        <v>13</v>
      </c>
      <c r="K526">
        <v>39</v>
      </c>
      <c r="L526" t="s">
        <v>30</v>
      </c>
      <c r="M526" t="s">
        <v>31</v>
      </c>
      <c r="N526">
        <v>3</v>
      </c>
      <c r="O526" s="4"/>
      <c r="P526" s="4" t="str">
        <f>IF(Data_Set_2[[#This Row],[valor_bruto]]&gt;$W$13,"OUTLIER+","")</f>
        <v/>
      </c>
      <c r="Q526" s="4" t="str">
        <f>IF(Data_Set_2[[#This Row],[valor_bruto]]&lt;$W$14,"OUTLIER-","")</f>
        <v/>
      </c>
      <c r="R526" s="4"/>
      <c r="S526" s="4"/>
      <c r="AB526" t="str">
        <v>RES-100524</v>
      </c>
      <c r="AC526">
        <v>45937</v>
      </c>
      <c r="AD526">
        <v>0.75555555555555554</v>
      </c>
      <c r="AE526" t="str">
        <v>Laureles</v>
      </c>
      <c r="AF526" t="str">
        <v>Recoge</v>
      </c>
      <c r="AG526" t="str">
        <v>Bebidas</v>
      </c>
      <c r="AH526">
        <v>4</v>
      </c>
      <c r="AI526">
        <v>36513.519999999997</v>
      </c>
      <c r="AJ526">
        <v>8185.51</v>
      </c>
      <c r="AK526">
        <v>13</v>
      </c>
      <c r="AL526">
        <v>39</v>
      </c>
      <c r="AM526" t="str">
        <v>App</v>
      </c>
      <c r="AN526" t="str">
        <v>Reembolsada</v>
      </c>
      <c r="AO526">
        <v>3</v>
      </c>
    </row>
    <row r="527" spans="1:41" x14ac:dyDescent="0.3">
      <c r="A527" t="s">
        <v>561</v>
      </c>
      <c r="B527" s="8">
        <v>45849</v>
      </c>
      <c r="C527" s="2">
        <v>0.80208333333333337</v>
      </c>
      <c r="D527" t="s">
        <v>21</v>
      </c>
      <c r="E527" t="s">
        <v>16</v>
      </c>
      <c r="F527" t="s">
        <v>17</v>
      </c>
      <c r="G527">
        <v>2</v>
      </c>
      <c r="H527" s="6">
        <v>52130.09</v>
      </c>
      <c r="I527" s="6">
        <v>7347.91</v>
      </c>
      <c r="J527">
        <v>24</v>
      </c>
      <c r="K527">
        <v>31</v>
      </c>
      <c r="L527" t="s">
        <v>18</v>
      </c>
      <c r="M527" t="s">
        <v>19</v>
      </c>
      <c r="N527">
        <v>5</v>
      </c>
      <c r="O527" s="4"/>
      <c r="P527" s="4" t="str">
        <f>IF(Data_Set_2[[#This Row],[valor_bruto]]&gt;$W$13,"OUTLIER+","")</f>
        <v/>
      </c>
      <c r="Q527" s="4" t="str">
        <f>IF(Data_Set_2[[#This Row],[valor_bruto]]&lt;$W$14,"OUTLIER-","")</f>
        <v/>
      </c>
      <c r="R527" s="4"/>
      <c r="S527" s="4"/>
      <c r="AB527" t="str">
        <v>RES-100525</v>
      </c>
      <c r="AC527">
        <v>45849</v>
      </c>
      <c r="AD527">
        <v>0.80208333333333337</v>
      </c>
      <c r="AE527" t="str">
        <v>Poblado</v>
      </c>
      <c r="AF527" t="str">
        <v>Mesa</v>
      </c>
      <c r="AG527" t="str">
        <v>Comida rapida</v>
      </c>
      <c r="AH527">
        <v>2</v>
      </c>
      <c r="AI527">
        <v>52130.09</v>
      </c>
      <c r="AJ527">
        <v>7347.91</v>
      </c>
      <c r="AK527">
        <v>24</v>
      </c>
      <c r="AL527">
        <v>31</v>
      </c>
      <c r="AM527" t="str">
        <v>Tarjeta</v>
      </c>
      <c r="AN527" t="str">
        <v>Entregada</v>
      </c>
      <c r="AO527">
        <v>5</v>
      </c>
    </row>
    <row r="528" spans="1:41" x14ac:dyDescent="0.3">
      <c r="A528" t="s">
        <v>562</v>
      </c>
      <c r="B528" s="8">
        <v>45850</v>
      </c>
      <c r="C528" s="2">
        <v>0.84861111111111109</v>
      </c>
      <c r="D528" t="s">
        <v>27</v>
      </c>
      <c r="E528" t="s">
        <v>22</v>
      </c>
      <c r="F528" t="s">
        <v>23</v>
      </c>
      <c r="G528">
        <v>6</v>
      </c>
      <c r="H528" s="6">
        <v>50481.21</v>
      </c>
      <c r="I528" s="6">
        <v>2400.81</v>
      </c>
      <c r="J528">
        <v>17</v>
      </c>
      <c r="K528">
        <v>40</v>
      </c>
      <c r="L528" t="s">
        <v>24</v>
      </c>
      <c r="M528" t="s">
        <v>25</v>
      </c>
      <c r="N528">
        <v>4</v>
      </c>
      <c r="O528" s="4"/>
      <c r="P528" s="4" t="str">
        <f>IF(Data_Set_2[[#This Row],[valor_bruto]]&gt;$W$13,"OUTLIER+","")</f>
        <v/>
      </c>
      <c r="Q528" s="4" t="str">
        <f>IF(Data_Set_2[[#This Row],[valor_bruto]]&lt;$W$14,"OUTLIER-","")</f>
        <v/>
      </c>
      <c r="R528" s="4"/>
      <c r="S528" s="4"/>
      <c r="AB528" t="str">
        <v>RES-100526</v>
      </c>
      <c r="AC528">
        <v>45850</v>
      </c>
      <c r="AD528">
        <v>0.84861111111111109</v>
      </c>
      <c r="AE528" t="str">
        <v>Centro</v>
      </c>
      <c r="AF528" t="str">
        <v>Domicilio</v>
      </c>
      <c r="AG528" t="str">
        <v>Pasta</v>
      </c>
      <c r="AH528">
        <v>6</v>
      </c>
      <c r="AI528">
        <v>50481.21</v>
      </c>
      <c r="AJ528">
        <v>2400.81</v>
      </c>
      <c r="AK528">
        <v>17</v>
      </c>
      <c r="AL528">
        <v>40</v>
      </c>
      <c r="AM528" t="str">
        <v>Efectivo</v>
      </c>
      <c r="AN528" t="str">
        <v>Cancelada</v>
      </c>
      <c r="AO528">
        <v>4</v>
      </c>
    </row>
    <row r="529" spans="1:41" x14ac:dyDescent="0.3">
      <c r="A529" t="s">
        <v>563</v>
      </c>
      <c r="B529" s="8">
        <v>45851</v>
      </c>
      <c r="C529" s="2">
        <v>0.89513888888888893</v>
      </c>
      <c r="D529" t="s">
        <v>33</v>
      </c>
      <c r="E529" t="s">
        <v>28</v>
      </c>
      <c r="F529" t="s">
        <v>29</v>
      </c>
      <c r="G529">
        <v>5</v>
      </c>
      <c r="H529" s="6">
        <v>46021.75</v>
      </c>
      <c r="I529" s="6">
        <v>7809.41</v>
      </c>
      <c r="J529">
        <v>18</v>
      </c>
      <c r="K529">
        <v>46</v>
      </c>
      <c r="L529" t="s">
        <v>30</v>
      </c>
      <c r="M529" t="s">
        <v>31</v>
      </c>
      <c r="N529">
        <v>4</v>
      </c>
      <c r="O529" s="4"/>
      <c r="P529" s="4" t="str">
        <f>IF(Data_Set_2[[#This Row],[valor_bruto]]&gt;$W$13,"OUTLIER+","")</f>
        <v/>
      </c>
      <c r="Q529" s="4" t="str">
        <f>IF(Data_Set_2[[#This Row],[valor_bruto]]&lt;$W$14,"OUTLIER-","")</f>
        <v/>
      </c>
      <c r="R529" s="4"/>
      <c r="S529" s="4"/>
      <c r="AB529" t="str">
        <v>RES-100527</v>
      </c>
      <c r="AC529">
        <v>45851</v>
      </c>
      <c r="AD529">
        <v>0.89513888888888893</v>
      </c>
      <c r="AE529" t="str">
        <v>Envigado</v>
      </c>
      <c r="AF529" t="str">
        <v>Recoge</v>
      </c>
      <c r="AG529" t="str">
        <v>Parrilla</v>
      </c>
      <c r="AH529">
        <v>5</v>
      </c>
      <c r="AI529">
        <v>46021.75</v>
      </c>
      <c r="AJ529">
        <v>7809.41</v>
      </c>
      <c r="AK529">
        <v>18</v>
      </c>
      <c r="AL529">
        <v>46</v>
      </c>
      <c r="AM529" t="str">
        <v>App</v>
      </c>
      <c r="AN529" t="str">
        <v>Reembolsada</v>
      </c>
      <c r="AO529">
        <v>4</v>
      </c>
    </row>
    <row r="530" spans="1:41" x14ac:dyDescent="0.3">
      <c r="A530" t="s">
        <v>564</v>
      </c>
      <c r="B530" s="8">
        <v>45852</v>
      </c>
      <c r="C530" s="2">
        <v>0.44166666666666665</v>
      </c>
      <c r="D530" t="s">
        <v>15</v>
      </c>
      <c r="E530" t="s">
        <v>16</v>
      </c>
      <c r="F530" t="s">
        <v>34</v>
      </c>
      <c r="G530">
        <v>6</v>
      </c>
      <c r="H530" s="6">
        <v>35402.199999999997</v>
      </c>
      <c r="I530" s="6">
        <v>713.04</v>
      </c>
      <c r="J530">
        <v>18</v>
      </c>
      <c r="K530">
        <v>53</v>
      </c>
      <c r="L530" t="s">
        <v>18</v>
      </c>
      <c r="M530" t="s">
        <v>19</v>
      </c>
      <c r="N530">
        <v>3</v>
      </c>
      <c r="O530" s="4"/>
      <c r="P530" s="4" t="str">
        <f>IF(Data_Set_2[[#This Row],[valor_bruto]]&gt;$W$13,"OUTLIER+","")</f>
        <v/>
      </c>
      <c r="Q530" s="4" t="str">
        <f>IF(Data_Set_2[[#This Row],[valor_bruto]]&lt;$W$14,"OUTLIER-","")</f>
        <v/>
      </c>
      <c r="R530" s="4"/>
      <c r="S530" s="4"/>
      <c r="AB530" t="str">
        <v>RES-100528</v>
      </c>
      <c r="AC530">
        <v>45852</v>
      </c>
      <c r="AD530">
        <v>0.44166666666666665</v>
      </c>
      <c r="AE530" t="str">
        <v>Laureles</v>
      </c>
      <c r="AF530" t="str">
        <v>Mesa</v>
      </c>
      <c r="AG530" t="str">
        <v>Vegano</v>
      </c>
      <c r="AH530">
        <v>6</v>
      </c>
      <c r="AI530">
        <v>35402.199999999997</v>
      </c>
      <c r="AJ530">
        <v>713.04</v>
      </c>
      <c r="AK530">
        <v>18</v>
      </c>
      <c r="AL530">
        <v>53</v>
      </c>
      <c r="AM530" t="str">
        <v>Tarjeta</v>
      </c>
      <c r="AN530" t="str">
        <v>Entregada</v>
      </c>
      <c r="AO530">
        <v>3</v>
      </c>
    </row>
    <row r="531" spans="1:41" x14ac:dyDescent="0.3">
      <c r="A531" t="s">
        <v>565</v>
      </c>
      <c r="B531" s="8">
        <v>45853</v>
      </c>
      <c r="C531" s="2">
        <v>0.48819444444444443</v>
      </c>
      <c r="D531" t="s">
        <v>21</v>
      </c>
      <c r="E531" t="s">
        <v>22</v>
      </c>
      <c r="F531" t="s">
        <v>36</v>
      </c>
      <c r="G531">
        <v>3</v>
      </c>
      <c r="H531" s="6">
        <v>60456.85</v>
      </c>
      <c r="I531" s="6">
        <v>5324.35</v>
      </c>
      <c r="J531">
        <v>31</v>
      </c>
      <c r="K531">
        <v>44</v>
      </c>
      <c r="L531" t="s">
        <v>24</v>
      </c>
      <c r="M531" t="s">
        <v>25</v>
      </c>
      <c r="N531">
        <f>VLOOKUP(Data_Set_2[[#This Row],[estado]],M2:N530,2,0)</f>
        <v>3</v>
      </c>
      <c r="O531" s="4"/>
      <c r="P531" s="4" t="str">
        <f>IF(Data_Set_2[[#This Row],[valor_bruto]]&gt;$W$13,"OUTLIER+","")</f>
        <v/>
      </c>
      <c r="Q531" s="4" t="str">
        <f>IF(Data_Set_2[[#This Row],[valor_bruto]]&lt;$W$14,"OUTLIER-","")</f>
        <v/>
      </c>
      <c r="R531" s="4"/>
      <c r="S531" s="4"/>
      <c r="AB531" t="str">
        <v>RES-100529</v>
      </c>
      <c r="AC531">
        <v>45853</v>
      </c>
      <c r="AD531">
        <v>0.48819444444444443</v>
      </c>
      <c r="AE531" t="str">
        <v>Poblado</v>
      </c>
      <c r="AF531" t="str">
        <v>Domicilio</v>
      </c>
      <c r="AG531" t="str">
        <v>Bebidas</v>
      </c>
      <c r="AH531">
        <v>3</v>
      </c>
      <c r="AI531">
        <v>60456.85</v>
      </c>
      <c r="AJ531">
        <v>5324.35</v>
      </c>
      <c r="AK531">
        <v>31</v>
      </c>
      <c r="AL531">
        <v>44</v>
      </c>
      <c r="AM531" t="str">
        <v>Efectivo</v>
      </c>
      <c r="AN531" t="str">
        <v>Cancelada</v>
      </c>
      <c r="AO531">
        <v>3</v>
      </c>
    </row>
    <row r="532" spans="1:41" x14ac:dyDescent="0.3">
      <c r="A532" t="s">
        <v>566</v>
      </c>
      <c r="B532" s="8">
        <v>45854</v>
      </c>
      <c r="C532" s="2">
        <v>0.53472222222222221</v>
      </c>
      <c r="D532" t="s">
        <v>27</v>
      </c>
      <c r="E532" t="s">
        <v>28</v>
      </c>
      <c r="F532" t="s">
        <v>17</v>
      </c>
      <c r="G532">
        <v>2</v>
      </c>
      <c r="H532" s="6">
        <v>67255.62</v>
      </c>
      <c r="I532" s="6">
        <v>6129.41</v>
      </c>
      <c r="J532">
        <v>20</v>
      </c>
      <c r="K532">
        <v>35</v>
      </c>
      <c r="L532" t="s">
        <v>30</v>
      </c>
      <c r="M532" t="s">
        <v>31</v>
      </c>
      <c r="N532">
        <v>5</v>
      </c>
      <c r="O532" s="4"/>
      <c r="P532" s="4" t="str">
        <f>IF(Data_Set_2[[#This Row],[valor_bruto]]&gt;$W$13,"OUTLIER+","")</f>
        <v/>
      </c>
      <c r="Q532" s="4" t="str">
        <f>IF(Data_Set_2[[#This Row],[valor_bruto]]&lt;$W$14,"OUTLIER-","")</f>
        <v/>
      </c>
      <c r="R532" s="4"/>
      <c r="S532" s="4"/>
      <c r="AB532" t="str">
        <v>RES-100530</v>
      </c>
      <c r="AC532">
        <v>45854</v>
      </c>
      <c r="AD532">
        <v>0.53472222222222221</v>
      </c>
      <c r="AE532" t="str">
        <v>Centro</v>
      </c>
      <c r="AF532" t="str">
        <v>Recoge</v>
      </c>
      <c r="AG532" t="str">
        <v>Comida rapida</v>
      </c>
      <c r="AH532">
        <v>2</v>
      </c>
      <c r="AI532">
        <v>67255.62</v>
      </c>
      <c r="AJ532">
        <v>6129.41</v>
      </c>
      <c r="AK532">
        <v>20</v>
      </c>
      <c r="AL532">
        <v>35</v>
      </c>
      <c r="AM532" t="str">
        <v>App</v>
      </c>
      <c r="AN532" t="str">
        <v>Reembolsada</v>
      </c>
      <c r="AO532">
        <v>5</v>
      </c>
    </row>
    <row r="533" spans="1:41" x14ac:dyDescent="0.3">
      <c r="A533" t="s">
        <v>567</v>
      </c>
      <c r="B533" s="8">
        <v>45855</v>
      </c>
      <c r="C533" s="2">
        <v>0.58125000000000004</v>
      </c>
      <c r="D533" t="s">
        <v>33</v>
      </c>
      <c r="E533" t="s">
        <v>16</v>
      </c>
      <c r="F533" t="s">
        <v>23</v>
      </c>
      <c r="G533">
        <v>4</v>
      </c>
      <c r="H533" s="6">
        <v>59693.25</v>
      </c>
      <c r="I533" s="6">
        <v>4269.3999999999996</v>
      </c>
      <c r="J533">
        <v>24</v>
      </c>
      <c r="K533">
        <v>52</v>
      </c>
      <c r="L533" t="s">
        <v>18</v>
      </c>
      <c r="M533" t="s">
        <v>19</v>
      </c>
      <c r="N533">
        <v>3</v>
      </c>
      <c r="O533" s="4"/>
      <c r="P533" s="4" t="str">
        <f>IF(Data_Set_2[[#This Row],[valor_bruto]]&gt;$W$13,"OUTLIER+","")</f>
        <v/>
      </c>
      <c r="Q533" s="4" t="str">
        <f>IF(Data_Set_2[[#This Row],[valor_bruto]]&lt;$W$14,"OUTLIER-","")</f>
        <v/>
      </c>
      <c r="R533" s="4"/>
      <c r="S533" s="4"/>
      <c r="AB533" t="str">
        <v>RES-100531</v>
      </c>
      <c r="AC533">
        <v>45855</v>
      </c>
      <c r="AD533">
        <v>0.58125000000000004</v>
      </c>
      <c r="AE533" t="str">
        <v>Envigado</v>
      </c>
      <c r="AF533" t="str">
        <v>Mesa</v>
      </c>
      <c r="AG533" t="str">
        <v>Pasta</v>
      </c>
      <c r="AH533">
        <v>4</v>
      </c>
      <c r="AI533">
        <v>59693.25</v>
      </c>
      <c r="AJ533">
        <v>4269.3999999999996</v>
      </c>
      <c r="AK533">
        <v>24</v>
      </c>
      <c r="AL533">
        <v>52</v>
      </c>
      <c r="AM533" t="str">
        <v>Tarjeta</v>
      </c>
      <c r="AN533" t="str">
        <v>Entregada</v>
      </c>
      <c r="AO533">
        <v>3</v>
      </c>
    </row>
    <row r="534" spans="1:41" x14ac:dyDescent="0.3">
      <c r="A534" t="s">
        <v>568</v>
      </c>
      <c r="B534" s="8">
        <v>45856</v>
      </c>
      <c r="C534" s="2">
        <v>0.58611111111111114</v>
      </c>
      <c r="D534" t="s">
        <v>15</v>
      </c>
      <c r="E534" t="s">
        <v>22</v>
      </c>
      <c r="F534" t="s">
        <v>29</v>
      </c>
      <c r="G534">
        <v>5</v>
      </c>
      <c r="H534" s="6">
        <v>41286.32</v>
      </c>
      <c r="I534" s="6">
        <v>2589.44</v>
      </c>
      <c r="J534">
        <v>22</v>
      </c>
      <c r="K534">
        <v>43</v>
      </c>
      <c r="L534" t="s">
        <v>24</v>
      </c>
      <c r="M534" t="s">
        <v>25</v>
      </c>
      <c r="N534">
        <v>4</v>
      </c>
      <c r="O534" s="4"/>
      <c r="P534" s="4" t="str">
        <f>IF(Data_Set_2[[#This Row],[valor_bruto]]&gt;$W$13,"OUTLIER+","")</f>
        <v/>
      </c>
      <c r="Q534" s="4" t="str">
        <f>IF(Data_Set_2[[#This Row],[valor_bruto]]&lt;$W$14,"OUTLIER-","")</f>
        <v/>
      </c>
      <c r="R534" s="4"/>
      <c r="S534" s="4"/>
      <c r="AB534" t="str">
        <v>RES-100532</v>
      </c>
      <c r="AC534">
        <v>45856</v>
      </c>
      <c r="AD534">
        <v>0.58611111111111114</v>
      </c>
      <c r="AE534" t="str">
        <v>Laureles</v>
      </c>
      <c r="AF534" t="str">
        <v>Domicilio</v>
      </c>
      <c r="AG534" t="str">
        <v>Parrilla</v>
      </c>
      <c r="AH534">
        <v>5</v>
      </c>
      <c r="AI534">
        <v>41286.32</v>
      </c>
      <c r="AJ534">
        <v>2589.44</v>
      </c>
      <c r="AK534">
        <v>22</v>
      </c>
      <c r="AL534">
        <v>43</v>
      </c>
      <c r="AM534" t="str">
        <v>Efectivo</v>
      </c>
      <c r="AN534" t="str">
        <v>Cancelada</v>
      </c>
      <c r="AO534">
        <v>4</v>
      </c>
    </row>
    <row r="535" spans="1:41" x14ac:dyDescent="0.3">
      <c r="A535" t="s">
        <v>569</v>
      </c>
      <c r="B535" s="8">
        <v>45857</v>
      </c>
      <c r="C535" s="2">
        <v>0.63263888888888886</v>
      </c>
      <c r="D535" t="s">
        <v>21</v>
      </c>
      <c r="E535" t="s">
        <v>28</v>
      </c>
      <c r="F535" t="s">
        <v>34</v>
      </c>
      <c r="G535">
        <v>5</v>
      </c>
      <c r="H535" s="6">
        <v>69489.850000000006</v>
      </c>
      <c r="I535" s="6">
        <v>2710.28</v>
      </c>
      <c r="J535">
        <v>14</v>
      </c>
      <c r="K535">
        <v>35</v>
      </c>
      <c r="L535" t="s">
        <v>30</v>
      </c>
      <c r="M535" t="s">
        <v>31</v>
      </c>
      <c r="N535">
        <v>3</v>
      </c>
      <c r="O535" s="4"/>
      <c r="P535" s="4" t="str">
        <f>IF(Data_Set_2[[#This Row],[valor_bruto]]&gt;$W$13,"OUTLIER+","")</f>
        <v/>
      </c>
      <c r="Q535" s="4" t="str">
        <f>IF(Data_Set_2[[#This Row],[valor_bruto]]&lt;$W$14,"OUTLIER-","")</f>
        <v/>
      </c>
      <c r="R535" s="4"/>
      <c r="S535" s="4"/>
      <c r="AB535" t="str">
        <v>RES-100533</v>
      </c>
      <c r="AC535">
        <v>45857</v>
      </c>
      <c r="AD535">
        <v>0.63263888888888886</v>
      </c>
      <c r="AE535" t="str">
        <v>Poblado</v>
      </c>
      <c r="AF535" t="str">
        <v>Recoge</v>
      </c>
      <c r="AG535" t="str">
        <v>Vegano</v>
      </c>
      <c r="AH535">
        <v>5</v>
      </c>
      <c r="AI535">
        <v>69489.850000000006</v>
      </c>
      <c r="AJ535">
        <v>2710.28</v>
      </c>
      <c r="AK535">
        <v>14</v>
      </c>
      <c r="AL535">
        <v>35</v>
      </c>
      <c r="AM535" t="str">
        <v>App</v>
      </c>
      <c r="AN535" t="str">
        <v>Reembolsada</v>
      </c>
      <c r="AO535">
        <v>3</v>
      </c>
    </row>
    <row r="536" spans="1:41" x14ac:dyDescent="0.3">
      <c r="A536" t="s">
        <v>570</v>
      </c>
      <c r="B536" s="8">
        <v>45858</v>
      </c>
      <c r="C536" s="2">
        <v>0.6791666666666667</v>
      </c>
      <c r="D536" t="s">
        <v>27</v>
      </c>
      <c r="E536" t="s">
        <v>16</v>
      </c>
      <c r="F536" t="s">
        <v>36</v>
      </c>
      <c r="G536">
        <v>5</v>
      </c>
      <c r="H536" s="6">
        <v>39573.69</v>
      </c>
      <c r="I536" s="6">
        <v>8069.21</v>
      </c>
      <c r="J536">
        <v>28</v>
      </c>
      <c r="K536">
        <v>45</v>
      </c>
      <c r="L536" t="s">
        <v>18</v>
      </c>
      <c r="M536" t="s">
        <v>19</v>
      </c>
      <c r="N536">
        <v>3</v>
      </c>
      <c r="O536" s="4"/>
      <c r="P536" s="4" t="str">
        <f>IF(Data_Set_2[[#This Row],[valor_bruto]]&gt;$W$13,"OUTLIER+","")</f>
        <v/>
      </c>
      <c r="Q536" s="4" t="str">
        <f>IF(Data_Set_2[[#This Row],[valor_bruto]]&lt;$W$14,"OUTLIER-","")</f>
        <v/>
      </c>
      <c r="R536" s="4"/>
      <c r="S536" s="4"/>
      <c r="AB536" t="str">
        <v>RES-100534</v>
      </c>
      <c r="AC536">
        <v>45858</v>
      </c>
      <c r="AD536">
        <v>0.6791666666666667</v>
      </c>
      <c r="AE536" t="str">
        <v>Centro</v>
      </c>
      <c r="AF536" t="str">
        <v>Mesa</v>
      </c>
      <c r="AG536" t="str">
        <v>Bebidas</v>
      </c>
      <c r="AH536">
        <v>5</v>
      </c>
      <c r="AI536">
        <v>39573.69</v>
      </c>
      <c r="AJ536">
        <v>8069.21</v>
      </c>
      <c r="AK536">
        <v>28</v>
      </c>
      <c r="AL536">
        <v>45</v>
      </c>
      <c r="AM536" t="str">
        <v>Tarjeta</v>
      </c>
      <c r="AN536" t="str">
        <v>Entregada</v>
      </c>
      <c r="AO536">
        <v>3</v>
      </c>
    </row>
    <row r="537" spans="1:41" x14ac:dyDescent="0.3">
      <c r="A537" t="s">
        <v>571</v>
      </c>
      <c r="B537" s="8">
        <v>45859</v>
      </c>
      <c r="C537" s="2">
        <v>0.72569444444444442</v>
      </c>
      <c r="D537" t="s">
        <v>33</v>
      </c>
      <c r="E537" t="s">
        <v>22</v>
      </c>
      <c r="F537" t="s">
        <v>17</v>
      </c>
      <c r="G537">
        <v>3</v>
      </c>
      <c r="H537" s="6">
        <v>69922.899999999994</v>
      </c>
      <c r="I537" s="6">
        <v>3315.51</v>
      </c>
      <c r="J537">
        <v>22</v>
      </c>
      <c r="K537">
        <v>30</v>
      </c>
      <c r="L537" t="s">
        <v>24</v>
      </c>
      <c r="M537" t="s">
        <v>25</v>
      </c>
      <c r="N537">
        <v>5</v>
      </c>
      <c r="O537" s="4"/>
      <c r="P537" s="4" t="str">
        <f>IF(Data_Set_2[[#This Row],[valor_bruto]]&gt;$W$13,"OUTLIER+","")</f>
        <v/>
      </c>
      <c r="Q537" s="4" t="str">
        <f>IF(Data_Set_2[[#This Row],[valor_bruto]]&lt;$W$14,"OUTLIER-","")</f>
        <v/>
      </c>
      <c r="R537" s="4"/>
      <c r="S537" s="4"/>
      <c r="AB537" t="str">
        <v>RES-100535</v>
      </c>
      <c r="AC537">
        <v>45859</v>
      </c>
      <c r="AD537">
        <v>0.72569444444444442</v>
      </c>
      <c r="AE537" t="str">
        <v>Envigado</v>
      </c>
      <c r="AF537" t="str">
        <v>Domicilio</v>
      </c>
      <c r="AG537" t="str">
        <v>Comida rapida</v>
      </c>
      <c r="AH537">
        <v>3</v>
      </c>
      <c r="AI537">
        <v>69922.899999999994</v>
      </c>
      <c r="AJ537">
        <v>3315.51</v>
      </c>
      <c r="AK537">
        <v>22</v>
      </c>
      <c r="AL537">
        <v>30</v>
      </c>
      <c r="AM537" t="str">
        <v>Efectivo</v>
      </c>
      <c r="AN537" t="str">
        <v>Cancelada</v>
      </c>
      <c r="AO537">
        <v>5</v>
      </c>
    </row>
    <row r="538" spans="1:41" x14ac:dyDescent="0.3">
      <c r="A538" t="s">
        <v>572</v>
      </c>
      <c r="B538" s="8">
        <v>45860</v>
      </c>
      <c r="C538" s="2">
        <v>0.77222222222222225</v>
      </c>
      <c r="D538" t="s">
        <v>15</v>
      </c>
      <c r="E538" t="s">
        <v>28</v>
      </c>
      <c r="F538" t="s">
        <v>23</v>
      </c>
      <c r="G538">
        <v>3</v>
      </c>
      <c r="H538" s="6">
        <v>41183.129999999997</v>
      </c>
      <c r="I538" s="6">
        <v>6087.18</v>
      </c>
      <c r="J538">
        <v>22</v>
      </c>
      <c r="K538">
        <v>43</v>
      </c>
      <c r="L538" t="s">
        <v>30</v>
      </c>
      <c r="M538" t="s">
        <v>31</v>
      </c>
      <c r="N538">
        <v>4</v>
      </c>
      <c r="O538" s="4"/>
      <c r="P538" s="4" t="str">
        <f>IF(Data_Set_2[[#This Row],[valor_bruto]]&gt;$W$13,"OUTLIER+","")</f>
        <v/>
      </c>
      <c r="Q538" s="4" t="str">
        <f>IF(Data_Set_2[[#This Row],[valor_bruto]]&lt;$W$14,"OUTLIER-","")</f>
        <v/>
      </c>
      <c r="R538" s="4"/>
      <c r="S538" s="4"/>
      <c r="AB538" t="str">
        <v>RES-100536</v>
      </c>
      <c r="AC538">
        <v>45860</v>
      </c>
      <c r="AD538">
        <v>0.77222222222222225</v>
      </c>
      <c r="AE538" t="str">
        <v>Laureles</v>
      </c>
      <c r="AF538" t="str">
        <v>Recoge</v>
      </c>
      <c r="AG538" t="str">
        <v>Pasta</v>
      </c>
      <c r="AH538">
        <v>3</v>
      </c>
      <c r="AI538">
        <v>41183.129999999997</v>
      </c>
      <c r="AJ538">
        <v>6087.18</v>
      </c>
      <c r="AK538">
        <v>22</v>
      </c>
      <c r="AL538">
        <v>43</v>
      </c>
      <c r="AM538" t="str">
        <v>App</v>
      </c>
      <c r="AN538" t="str">
        <v>Reembolsada</v>
      </c>
      <c r="AO538">
        <v>4</v>
      </c>
    </row>
    <row r="539" spans="1:41" x14ac:dyDescent="0.3">
      <c r="A539" t="s">
        <v>573</v>
      </c>
      <c r="B539" s="8">
        <v>45861</v>
      </c>
      <c r="C539" s="2">
        <v>0.81874999999999998</v>
      </c>
      <c r="D539" t="s">
        <v>21</v>
      </c>
      <c r="E539" t="s">
        <v>16</v>
      </c>
      <c r="F539" t="s">
        <v>29</v>
      </c>
      <c r="G539">
        <v>2</v>
      </c>
      <c r="H539" s="6">
        <v>65018.7</v>
      </c>
      <c r="I539" s="6">
        <v>1032.74</v>
      </c>
      <c r="J539">
        <v>25</v>
      </c>
      <c r="K539">
        <v>34</v>
      </c>
      <c r="L539" t="s">
        <v>18</v>
      </c>
      <c r="M539" t="s">
        <v>19</v>
      </c>
      <c r="N539">
        <v>5</v>
      </c>
      <c r="O539" s="4"/>
      <c r="P539" s="4" t="str">
        <f>IF(Data_Set_2[[#This Row],[valor_bruto]]&gt;$W$13,"OUTLIER+","")</f>
        <v/>
      </c>
      <c r="Q539" s="4" t="str">
        <f>IF(Data_Set_2[[#This Row],[valor_bruto]]&lt;$W$14,"OUTLIER-","")</f>
        <v/>
      </c>
      <c r="R539" s="4"/>
      <c r="S539" s="4"/>
      <c r="AB539" t="str">
        <v>RES-100537</v>
      </c>
      <c r="AC539">
        <v>45861</v>
      </c>
      <c r="AD539">
        <v>0.81874999999999998</v>
      </c>
      <c r="AE539" t="str">
        <v>Poblado</v>
      </c>
      <c r="AF539" t="str">
        <v>Mesa</v>
      </c>
      <c r="AG539" t="str">
        <v>Parrilla</v>
      </c>
      <c r="AH539">
        <v>2</v>
      </c>
      <c r="AI539">
        <v>65018.7</v>
      </c>
      <c r="AJ539">
        <v>1032.74</v>
      </c>
      <c r="AK539">
        <v>25</v>
      </c>
      <c r="AL539">
        <v>34</v>
      </c>
      <c r="AM539" t="str">
        <v>Tarjeta</v>
      </c>
      <c r="AN539" t="str">
        <v>Entregada</v>
      </c>
      <c r="AO539">
        <v>5</v>
      </c>
    </row>
    <row r="540" spans="1:41" x14ac:dyDescent="0.3">
      <c r="A540" t="s">
        <v>574</v>
      </c>
      <c r="B540" s="8">
        <v>45862</v>
      </c>
      <c r="C540" s="2">
        <v>0.86527777777777781</v>
      </c>
      <c r="D540" t="s">
        <v>27</v>
      </c>
      <c r="E540" t="s">
        <v>22</v>
      </c>
      <c r="F540" t="s">
        <v>34</v>
      </c>
      <c r="G540">
        <v>6</v>
      </c>
      <c r="H540" s="6">
        <v>26856.080000000002</v>
      </c>
      <c r="I540" s="6">
        <v>5792.66</v>
      </c>
      <c r="J540">
        <v>30</v>
      </c>
      <c r="K540">
        <v>53</v>
      </c>
      <c r="L540" t="s">
        <v>24</v>
      </c>
      <c r="M540" t="s">
        <v>25</v>
      </c>
      <c r="N540">
        <v>5</v>
      </c>
      <c r="O540" s="4"/>
      <c r="P540" s="4" t="str">
        <f>IF(Data_Set_2[[#This Row],[valor_bruto]]&gt;$W$13,"OUTLIER+","")</f>
        <v/>
      </c>
      <c r="Q540" s="4" t="str">
        <f>IF(Data_Set_2[[#This Row],[valor_bruto]]&lt;$W$14,"OUTLIER-","")</f>
        <v/>
      </c>
      <c r="R540" s="4"/>
      <c r="S540" s="4"/>
      <c r="AB540" t="str">
        <v>RES-100538</v>
      </c>
      <c r="AC540">
        <v>45862</v>
      </c>
      <c r="AD540">
        <v>0.86527777777777781</v>
      </c>
      <c r="AE540" t="str">
        <v>Centro</v>
      </c>
      <c r="AF540" t="str">
        <v>Domicilio</v>
      </c>
      <c r="AG540" t="str">
        <v>Vegano</v>
      </c>
      <c r="AH540">
        <v>6</v>
      </c>
      <c r="AI540">
        <v>26856.080000000002</v>
      </c>
      <c r="AJ540">
        <v>5792.66</v>
      </c>
      <c r="AK540">
        <v>30</v>
      </c>
      <c r="AL540">
        <v>53</v>
      </c>
      <c r="AM540" t="str">
        <v>Efectivo</v>
      </c>
      <c r="AN540" t="str">
        <v>Cancelada</v>
      </c>
      <c r="AO540">
        <v>5</v>
      </c>
    </row>
    <row r="541" spans="1:41" x14ac:dyDescent="0.3">
      <c r="A541" t="s">
        <v>575</v>
      </c>
      <c r="B541" s="8">
        <v>45863</v>
      </c>
      <c r="C541" s="2">
        <v>0.91180555555555554</v>
      </c>
      <c r="D541" t="s">
        <v>33</v>
      </c>
      <c r="E541" t="s">
        <v>28</v>
      </c>
      <c r="F541" t="s">
        <v>36</v>
      </c>
      <c r="G541">
        <v>5</v>
      </c>
      <c r="H541" s="6">
        <v>35414.57</v>
      </c>
      <c r="I541" s="6">
        <v>5035.68</v>
      </c>
      <c r="J541">
        <v>24</v>
      </c>
      <c r="K541">
        <v>47</v>
      </c>
      <c r="L541" t="s">
        <v>30</v>
      </c>
      <c r="M541" t="s">
        <v>31</v>
      </c>
      <c r="N541">
        <v>4</v>
      </c>
      <c r="O541" s="4"/>
      <c r="P541" s="4" t="str">
        <f>IF(Data_Set_2[[#This Row],[valor_bruto]]&gt;$W$13,"OUTLIER+","")</f>
        <v/>
      </c>
      <c r="Q541" s="4" t="str">
        <f>IF(Data_Set_2[[#This Row],[valor_bruto]]&lt;$W$14,"OUTLIER-","")</f>
        <v/>
      </c>
      <c r="R541" s="4"/>
      <c r="S541" s="4"/>
      <c r="AB541" t="str">
        <v>RES-100539</v>
      </c>
      <c r="AC541">
        <v>45863</v>
      </c>
      <c r="AD541">
        <v>0.91180555555555554</v>
      </c>
      <c r="AE541" t="str">
        <v>Envigado</v>
      </c>
      <c r="AF541" t="str">
        <v>Recoge</v>
      </c>
      <c r="AG541" t="str">
        <v>Bebidas</v>
      </c>
      <c r="AH541">
        <v>5</v>
      </c>
      <c r="AI541">
        <v>35414.57</v>
      </c>
      <c r="AJ541">
        <v>5035.68</v>
      </c>
      <c r="AK541">
        <v>24</v>
      </c>
      <c r="AL541">
        <v>47</v>
      </c>
      <c r="AM541" t="str">
        <v>App</v>
      </c>
      <c r="AN541" t="str">
        <v>Reembolsada</v>
      </c>
      <c r="AO541">
        <v>4</v>
      </c>
    </row>
    <row r="542" spans="1:41" x14ac:dyDescent="0.3">
      <c r="A542" t="s">
        <v>576</v>
      </c>
      <c r="B542" s="8">
        <v>45864</v>
      </c>
      <c r="C542" s="2">
        <v>0.41666666666666669</v>
      </c>
      <c r="D542" t="s">
        <v>15</v>
      </c>
      <c r="E542" t="s">
        <v>16</v>
      </c>
      <c r="F542" t="s">
        <v>17</v>
      </c>
      <c r="G542">
        <v>2</v>
      </c>
      <c r="H542" s="6">
        <v>50984.57</v>
      </c>
      <c r="I542" s="6">
        <v>5730.29</v>
      </c>
      <c r="J542">
        <v>30</v>
      </c>
      <c r="K542">
        <v>48</v>
      </c>
      <c r="L542" t="s">
        <v>18</v>
      </c>
      <c r="M542" t="s">
        <v>19</v>
      </c>
      <c r="N542">
        <v>3</v>
      </c>
      <c r="O542" s="4"/>
      <c r="P542" s="4" t="str">
        <f>IF(Data_Set_2[[#This Row],[valor_bruto]]&gt;$W$13,"OUTLIER+","")</f>
        <v/>
      </c>
      <c r="Q542" s="4" t="str">
        <f>IF(Data_Set_2[[#This Row],[valor_bruto]]&lt;$W$14,"OUTLIER-","")</f>
        <v/>
      </c>
      <c r="R542" s="4"/>
      <c r="S542" s="4"/>
      <c r="AB542" t="str">
        <v>RES-100540</v>
      </c>
      <c r="AC542">
        <v>45864</v>
      </c>
      <c r="AD542">
        <v>0.41666666666666669</v>
      </c>
      <c r="AE542" t="str">
        <v>Laureles</v>
      </c>
      <c r="AF542" t="str">
        <v>Mesa</v>
      </c>
      <c r="AG542" t="str">
        <v>Comida rapida</v>
      </c>
      <c r="AH542">
        <v>2</v>
      </c>
      <c r="AI542">
        <v>50984.57</v>
      </c>
      <c r="AJ542">
        <v>5730.29</v>
      </c>
      <c r="AK542">
        <v>30</v>
      </c>
      <c r="AL542">
        <v>48</v>
      </c>
      <c r="AM542" t="str">
        <v>Tarjeta</v>
      </c>
      <c r="AN542" t="str">
        <v>Entregada</v>
      </c>
      <c r="AO542">
        <v>3</v>
      </c>
    </row>
    <row r="543" spans="1:41" x14ac:dyDescent="0.3">
      <c r="A543" t="s">
        <v>577</v>
      </c>
      <c r="B543" s="8">
        <v>45865</v>
      </c>
      <c r="C543" s="2">
        <v>0.46319444444444446</v>
      </c>
      <c r="D543" t="s">
        <v>21</v>
      </c>
      <c r="E543" t="s">
        <v>22</v>
      </c>
      <c r="F543" t="s">
        <v>23</v>
      </c>
      <c r="G543">
        <v>4</v>
      </c>
      <c r="H543" s="6">
        <v>49754.720000000001</v>
      </c>
      <c r="I543" s="6">
        <v>1158.4000000000001</v>
      </c>
      <c r="J543">
        <v>19</v>
      </c>
      <c r="K543">
        <v>26</v>
      </c>
      <c r="L543" t="s">
        <v>24</v>
      </c>
      <c r="M543" t="s">
        <v>25</v>
      </c>
      <c r="N543">
        <v>3</v>
      </c>
      <c r="O543" s="4"/>
      <c r="P543" s="4" t="str">
        <f>IF(Data_Set_2[[#This Row],[valor_bruto]]&gt;$W$13,"OUTLIER+","")</f>
        <v/>
      </c>
      <c r="Q543" s="4" t="str">
        <f>IF(Data_Set_2[[#This Row],[valor_bruto]]&lt;$W$14,"OUTLIER-","")</f>
        <v/>
      </c>
      <c r="R543" s="4"/>
      <c r="S543" s="4"/>
      <c r="AB543" t="str">
        <v>RES-100541</v>
      </c>
      <c r="AC543">
        <v>45865</v>
      </c>
      <c r="AD543">
        <v>0.46319444444444446</v>
      </c>
      <c r="AE543" t="str">
        <v>Poblado</v>
      </c>
      <c r="AF543" t="str">
        <v>Domicilio</v>
      </c>
      <c r="AG543" t="str">
        <v>Pasta</v>
      </c>
      <c r="AH543">
        <v>4</v>
      </c>
      <c r="AI543">
        <v>49754.720000000001</v>
      </c>
      <c r="AJ543">
        <v>1158.4000000000001</v>
      </c>
      <c r="AK543">
        <v>19</v>
      </c>
      <c r="AL543">
        <v>26</v>
      </c>
      <c r="AM543" t="str">
        <v>Efectivo</v>
      </c>
      <c r="AN543" t="str">
        <v>Cancelada</v>
      </c>
      <c r="AO543">
        <v>3</v>
      </c>
    </row>
    <row r="544" spans="1:41" x14ac:dyDescent="0.3">
      <c r="A544" t="s">
        <v>578</v>
      </c>
      <c r="B544" s="8">
        <v>45866</v>
      </c>
      <c r="C544" s="2">
        <v>0.50972222222222219</v>
      </c>
      <c r="D544" t="s">
        <v>27</v>
      </c>
      <c r="E544" t="s">
        <v>28</v>
      </c>
      <c r="F544" t="s">
        <v>29</v>
      </c>
      <c r="G544">
        <v>6</v>
      </c>
      <c r="H544" s="6">
        <v>37431.199999999997</v>
      </c>
      <c r="I544" s="6">
        <v>5053.6499999999996</v>
      </c>
      <c r="J544">
        <v>15</v>
      </c>
      <c r="K544">
        <v>48</v>
      </c>
      <c r="L544" t="s">
        <v>30</v>
      </c>
      <c r="M544" t="s">
        <v>31</v>
      </c>
      <c r="N544">
        <v>5</v>
      </c>
      <c r="O544" s="4"/>
      <c r="P544" s="4" t="str">
        <f>IF(Data_Set_2[[#This Row],[valor_bruto]]&gt;$W$13,"OUTLIER+","")</f>
        <v/>
      </c>
      <c r="Q544" s="4" t="str">
        <f>IF(Data_Set_2[[#This Row],[valor_bruto]]&lt;$W$14,"OUTLIER-","")</f>
        <v/>
      </c>
      <c r="R544" s="4"/>
      <c r="S544" s="4"/>
      <c r="AB544" t="str">
        <v>RES-100542</v>
      </c>
      <c r="AC544">
        <v>45866</v>
      </c>
      <c r="AD544">
        <v>0.50972222222222219</v>
      </c>
      <c r="AE544" t="str">
        <v>Centro</v>
      </c>
      <c r="AF544" t="str">
        <v>Recoge</v>
      </c>
      <c r="AG544" t="str">
        <v>Parrilla</v>
      </c>
      <c r="AH544">
        <v>6</v>
      </c>
      <c r="AI544">
        <v>37431.199999999997</v>
      </c>
      <c r="AJ544">
        <v>5053.6499999999996</v>
      </c>
      <c r="AK544">
        <v>15</v>
      </c>
      <c r="AL544">
        <v>48</v>
      </c>
      <c r="AM544" t="str">
        <v>App</v>
      </c>
      <c r="AN544" t="str">
        <v>Reembolsada</v>
      </c>
      <c r="AO544">
        <v>5</v>
      </c>
    </row>
    <row r="545" spans="1:41" x14ac:dyDescent="0.3">
      <c r="A545" t="s">
        <v>579</v>
      </c>
      <c r="B545" s="8">
        <v>45867</v>
      </c>
      <c r="C545" s="2">
        <v>0.55625000000000002</v>
      </c>
      <c r="D545" t="s">
        <v>33</v>
      </c>
      <c r="E545" t="s">
        <v>16</v>
      </c>
      <c r="F545" t="s">
        <v>34</v>
      </c>
      <c r="G545">
        <v>5</v>
      </c>
      <c r="H545" s="6">
        <v>55176.75</v>
      </c>
      <c r="I545" s="6">
        <v>6165.46</v>
      </c>
      <c r="J545">
        <v>15</v>
      </c>
      <c r="K545">
        <v>28</v>
      </c>
      <c r="L545" t="s">
        <v>18</v>
      </c>
      <c r="M545" t="s">
        <v>19</v>
      </c>
      <c r="N545">
        <v>4</v>
      </c>
      <c r="O545" s="4"/>
      <c r="P545" s="4" t="str">
        <f>IF(Data_Set_2[[#This Row],[valor_bruto]]&gt;$W$13,"OUTLIER+","")</f>
        <v/>
      </c>
      <c r="Q545" s="4" t="str">
        <f>IF(Data_Set_2[[#This Row],[valor_bruto]]&lt;$W$14,"OUTLIER-","")</f>
        <v/>
      </c>
      <c r="R545" s="4"/>
      <c r="S545" s="4"/>
      <c r="AB545" t="str">
        <v>RES-100543</v>
      </c>
      <c r="AC545">
        <v>45867</v>
      </c>
      <c r="AD545">
        <v>0.55625000000000002</v>
      </c>
      <c r="AE545" t="str">
        <v>Envigado</v>
      </c>
      <c r="AF545" t="str">
        <v>Mesa</v>
      </c>
      <c r="AG545" t="str">
        <v>Vegano</v>
      </c>
      <c r="AH545">
        <v>5</v>
      </c>
      <c r="AI545">
        <v>55176.75</v>
      </c>
      <c r="AJ545">
        <v>6165.46</v>
      </c>
      <c r="AK545">
        <v>15</v>
      </c>
      <c r="AL545">
        <v>28</v>
      </c>
      <c r="AM545" t="str">
        <v>Tarjeta</v>
      </c>
      <c r="AN545" t="str">
        <v>Entregada</v>
      </c>
      <c r="AO545">
        <v>4</v>
      </c>
    </row>
    <row r="546" spans="1:41" x14ac:dyDescent="0.3">
      <c r="A546" t="s">
        <v>580</v>
      </c>
      <c r="B546" s="8">
        <v>45868</v>
      </c>
      <c r="C546" s="2">
        <v>0.60277777777777775</v>
      </c>
      <c r="D546" t="s">
        <v>15</v>
      </c>
      <c r="E546" t="s">
        <v>22</v>
      </c>
      <c r="F546" t="s">
        <v>36</v>
      </c>
      <c r="G546">
        <v>2</v>
      </c>
      <c r="H546" s="6">
        <v>63533.48</v>
      </c>
      <c r="I546" s="6">
        <v>2266.19</v>
      </c>
      <c r="J546">
        <v>31</v>
      </c>
      <c r="K546">
        <v>44</v>
      </c>
      <c r="L546" t="s">
        <v>24</v>
      </c>
      <c r="M546" t="s">
        <v>25</v>
      </c>
      <c r="N546">
        <v>4</v>
      </c>
      <c r="O546" s="4"/>
      <c r="P546" s="4" t="str">
        <f>IF(Data_Set_2[[#This Row],[valor_bruto]]&gt;$W$13,"OUTLIER+","")</f>
        <v/>
      </c>
      <c r="Q546" s="4" t="str">
        <f>IF(Data_Set_2[[#This Row],[valor_bruto]]&lt;$W$14,"OUTLIER-","")</f>
        <v/>
      </c>
      <c r="R546" s="4"/>
      <c r="S546" s="4"/>
      <c r="AB546" t="str">
        <v>RES-100544</v>
      </c>
      <c r="AC546">
        <v>45868</v>
      </c>
      <c r="AD546">
        <v>0.60277777777777775</v>
      </c>
      <c r="AE546" t="str">
        <v>Laureles</v>
      </c>
      <c r="AF546" t="str">
        <v>Domicilio</v>
      </c>
      <c r="AG546" t="str">
        <v>Bebidas</v>
      </c>
      <c r="AH546">
        <v>2</v>
      </c>
      <c r="AI546">
        <v>63533.48</v>
      </c>
      <c r="AJ546">
        <v>2266.19</v>
      </c>
      <c r="AK546">
        <v>31</v>
      </c>
      <c r="AL546">
        <v>44</v>
      </c>
      <c r="AM546" t="str">
        <v>Efectivo</v>
      </c>
      <c r="AN546" t="str">
        <v>Cancelada</v>
      </c>
      <c r="AO546">
        <v>4</v>
      </c>
    </row>
    <row r="547" spans="1:41" x14ac:dyDescent="0.3">
      <c r="A547" t="s">
        <v>581</v>
      </c>
      <c r="B547" s="8">
        <v>45869</v>
      </c>
      <c r="C547" s="2">
        <v>0.64930555555555558</v>
      </c>
      <c r="D547" t="s">
        <v>21</v>
      </c>
      <c r="E547" t="s">
        <v>28</v>
      </c>
      <c r="F547" t="s">
        <v>17</v>
      </c>
      <c r="G547">
        <v>3</v>
      </c>
      <c r="H547" s="6">
        <v>68471.41</v>
      </c>
      <c r="I547" s="6">
        <v>6755.33</v>
      </c>
      <c r="J547">
        <v>16</v>
      </c>
      <c r="K547">
        <v>48</v>
      </c>
      <c r="L547" t="s">
        <v>30</v>
      </c>
      <c r="M547" t="s">
        <v>31</v>
      </c>
      <c r="N547">
        <v>4</v>
      </c>
      <c r="O547" s="4"/>
      <c r="P547" s="4" t="str">
        <f>IF(Data_Set_2[[#This Row],[valor_bruto]]&gt;$W$13,"OUTLIER+","")</f>
        <v/>
      </c>
      <c r="Q547" s="4" t="str">
        <f>IF(Data_Set_2[[#This Row],[valor_bruto]]&lt;$W$14,"OUTLIER-","")</f>
        <v/>
      </c>
      <c r="R547" s="4"/>
      <c r="S547" s="4"/>
      <c r="AB547" t="str">
        <v>RES-100545</v>
      </c>
      <c r="AC547">
        <v>45869</v>
      </c>
      <c r="AD547">
        <v>0.64930555555555558</v>
      </c>
      <c r="AE547" t="str">
        <v>Poblado</v>
      </c>
      <c r="AF547" t="str">
        <v>Recoge</v>
      </c>
      <c r="AG547" t="str">
        <v>Comida rapida</v>
      </c>
      <c r="AH547">
        <v>3</v>
      </c>
      <c r="AI547">
        <v>68471.41</v>
      </c>
      <c r="AJ547">
        <v>6755.33</v>
      </c>
      <c r="AK547">
        <v>16</v>
      </c>
      <c r="AL547">
        <v>48</v>
      </c>
      <c r="AM547" t="str">
        <v>App</v>
      </c>
      <c r="AN547" t="str">
        <v>Reembolsada</v>
      </c>
      <c r="AO547">
        <v>4</v>
      </c>
    </row>
    <row r="548" spans="1:41" x14ac:dyDescent="0.3">
      <c r="A548" t="s">
        <v>582</v>
      </c>
      <c r="B548" s="8">
        <v>45870</v>
      </c>
      <c r="C548" s="2">
        <v>0.6958333333333333</v>
      </c>
      <c r="D548" t="s">
        <v>27</v>
      </c>
      <c r="E548" t="s">
        <v>16</v>
      </c>
      <c r="F548" t="s">
        <v>23</v>
      </c>
      <c r="G548">
        <v>2</v>
      </c>
      <c r="H548" s="6">
        <v>28057.4</v>
      </c>
      <c r="I548" s="6">
        <v>535.37</v>
      </c>
      <c r="J548">
        <v>13</v>
      </c>
      <c r="K548">
        <v>33</v>
      </c>
      <c r="L548" t="s">
        <v>18</v>
      </c>
      <c r="M548" t="s">
        <v>19</v>
      </c>
      <c r="N548">
        <v>4</v>
      </c>
      <c r="O548" s="4"/>
      <c r="P548" s="4" t="str">
        <f>IF(Data_Set_2[[#This Row],[valor_bruto]]&gt;$W$13,"OUTLIER+","")</f>
        <v/>
      </c>
      <c r="Q548" s="4" t="str">
        <f>IF(Data_Set_2[[#This Row],[valor_bruto]]&lt;$W$14,"OUTLIER-","")</f>
        <v/>
      </c>
      <c r="R548" s="4"/>
      <c r="S548" s="4"/>
      <c r="AB548" t="str">
        <v>RES-100546</v>
      </c>
      <c r="AC548">
        <v>45870</v>
      </c>
      <c r="AD548">
        <v>0.6958333333333333</v>
      </c>
      <c r="AE548" t="str">
        <v>Centro</v>
      </c>
      <c r="AF548" t="str">
        <v>Mesa</v>
      </c>
      <c r="AG548" t="str">
        <v>Pasta</v>
      </c>
      <c r="AH548">
        <v>2</v>
      </c>
      <c r="AI548">
        <v>28057.4</v>
      </c>
      <c r="AJ548">
        <v>535.37</v>
      </c>
      <c r="AK548">
        <v>13</v>
      </c>
      <c r="AL548">
        <v>33</v>
      </c>
      <c r="AM548" t="str">
        <v>Tarjeta</v>
      </c>
      <c r="AN548" t="str">
        <v>Entregada</v>
      </c>
      <c r="AO548">
        <v>4</v>
      </c>
    </row>
    <row r="549" spans="1:41" x14ac:dyDescent="0.3">
      <c r="A549" t="s">
        <v>583</v>
      </c>
      <c r="B549" s="8">
        <v>45871</v>
      </c>
      <c r="C549" s="2">
        <v>0.74236111111111114</v>
      </c>
      <c r="D549" t="s">
        <v>33</v>
      </c>
      <c r="E549" t="s">
        <v>22</v>
      </c>
      <c r="F549" t="s">
        <v>29</v>
      </c>
      <c r="G549">
        <v>6</v>
      </c>
      <c r="H549" s="6">
        <v>35957.129999999997</v>
      </c>
      <c r="I549" s="6">
        <v>8162.44</v>
      </c>
      <c r="J549">
        <v>28</v>
      </c>
      <c r="K549">
        <v>27</v>
      </c>
      <c r="L549" t="s">
        <v>24</v>
      </c>
      <c r="M549" t="s">
        <v>25</v>
      </c>
      <c r="N549">
        <v>3</v>
      </c>
      <c r="O549" s="4"/>
      <c r="P549" s="4" t="str">
        <f>IF(Data_Set_2[[#This Row],[valor_bruto]]&gt;$W$13,"OUTLIER+","")</f>
        <v/>
      </c>
      <c r="Q549" s="4" t="str">
        <f>IF(Data_Set_2[[#This Row],[valor_bruto]]&lt;$W$14,"OUTLIER-","")</f>
        <v/>
      </c>
      <c r="R549" s="4"/>
      <c r="S549" s="4"/>
      <c r="AB549" t="str">
        <v>RES-100547</v>
      </c>
      <c r="AC549">
        <v>45871</v>
      </c>
      <c r="AD549">
        <v>0.74236111111111114</v>
      </c>
      <c r="AE549" t="str">
        <v>Envigado</v>
      </c>
      <c r="AF549" t="str">
        <v>Domicilio</v>
      </c>
      <c r="AG549" t="str">
        <v>Parrilla</v>
      </c>
      <c r="AH549">
        <v>6</v>
      </c>
      <c r="AI549">
        <v>35957.129999999997</v>
      </c>
      <c r="AJ549">
        <v>8162.44</v>
      </c>
      <c r="AK549">
        <v>28</v>
      </c>
      <c r="AL549">
        <v>27</v>
      </c>
      <c r="AM549" t="str">
        <v>Efectivo</v>
      </c>
      <c r="AN549" t="str">
        <v>Cancelada</v>
      </c>
      <c r="AO549">
        <v>3</v>
      </c>
    </row>
    <row r="550" spans="1:41" x14ac:dyDescent="0.3">
      <c r="A550" t="s">
        <v>584</v>
      </c>
      <c r="B550" s="8">
        <v>45724</v>
      </c>
      <c r="C550" s="2">
        <v>0.78888888888888886</v>
      </c>
      <c r="D550" t="s">
        <v>15</v>
      </c>
      <c r="E550" t="s">
        <v>28</v>
      </c>
      <c r="F550" t="s">
        <v>34</v>
      </c>
      <c r="G550">
        <v>5</v>
      </c>
      <c r="H550" s="6">
        <v>37159.67</v>
      </c>
      <c r="I550" s="6">
        <v>3443.47</v>
      </c>
      <c r="J550">
        <v>18</v>
      </c>
      <c r="K550">
        <v>46</v>
      </c>
      <c r="L550" t="s">
        <v>30</v>
      </c>
      <c r="M550" t="s">
        <v>31</v>
      </c>
      <c r="N550">
        <v>4</v>
      </c>
      <c r="O550" s="4"/>
      <c r="P550" s="4" t="str">
        <f>IF(Data_Set_2[[#This Row],[valor_bruto]]&gt;$W$13,"OUTLIER+","")</f>
        <v/>
      </c>
      <c r="Q550" s="4" t="str">
        <f>IF(Data_Set_2[[#This Row],[valor_bruto]]&lt;$W$14,"OUTLIER-","")</f>
        <v/>
      </c>
      <c r="R550" s="4"/>
      <c r="S550" s="4"/>
      <c r="AB550" t="str">
        <v>RES-100548</v>
      </c>
      <c r="AC550">
        <v>45724</v>
      </c>
      <c r="AD550">
        <v>0.78888888888888886</v>
      </c>
      <c r="AE550" t="str">
        <v>Laureles</v>
      </c>
      <c r="AF550" t="str">
        <v>Recoge</v>
      </c>
      <c r="AG550" t="str">
        <v>Vegano</v>
      </c>
      <c r="AH550">
        <v>5</v>
      </c>
      <c r="AI550">
        <v>37159.67</v>
      </c>
      <c r="AJ550">
        <v>3443.47</v>
      </c>
      <c r="AK550">
        <v>18</v>
      </c>
      <c r="AL550">
        <v>46</v>
      </c>
      <c r="AM550" t="str">
        <v>App</v>
      </c>
      <c r="AN550" t="str">
        <v>Reembolsada</v>
      </c>
      <c r="AO550">
        <v>4</v>
      </c>
    </row>
    <row r="551" spans="1:41" x14ac:dyDescent="0.3">
      <c r="A551" t="s">
        <v>585</v>
      </c>
      <c r="B551" s="8">
        <v>45873</v>
      </c>
      <c r="C551" s="2">
        <v>0.79374999999999996</v>
      </c>
      <c r="D551" t="s">
        <v>21</v>
      </c>
      <c r="E551" t="s">
        <v>16</v>
      </c>
      <c r="F551" t="s">
        <v>36</v>
      </c>
      <c r="G551">
        <v>6</v>
      </c>
      <c r="H551" s="6">
        <v>31799.19</v>
      </c>
      <c r="I551" s="6">
        <v>7682.72</v>
      </c>
      <c r="J551">
        <v>28</v>
      </c>
      <c r="K551">
        <v>42</v>
      </c>
      <c r="L551" t="s">
        <v>18</v>
      </c>
      <c r="M551" t="s">
        <v>19</v>
      </c>
      <c r="N551">
        <v>5</v>
      </c>
      <c r="O551" s="4"/>
      <c r="P551" s="4" t="str">
        <f>IF(Data_Set_2[[#This Row],[valor_bruto]]&gt;$W$13,"OUTLIER+","")</f>
        <v/>
      </c>
      <c r="Q551" s="4" t="str">
        <f>IF(Data_Set_2[[#This Row],[valor_bruto]]&lt;$W$14,"OUTLIER-","")</f>
        <v/>
      </c>
      <c r="R551" s="4"/>
      <c r="S551" s="4"/>
      <c r="AB551" t="str">
        <v>RES-100549</v>
      </c>
      <c r="AC551">
        <v>45873</v>
      </c>
      <c r="AD551">
        <v>0.79374999999999996</v>
      </c>
      <c r="AE551" t="str">
        <v>Poblado</v>
      </c>
      <c r="AF551" t="str">
        <v>Mesa</v>
      </c>
      <c r="AG551" t="str">
        <v>Bebidas</v>
      </c>
      <c r="AH551">
        <v>6</v>
      </c>
      <c r="AI551">
        <v>31799.19</v>
      </c>
      <c r="AJ551">
        <v>7682.72</v>
      </c>
      <c r="AK551">
        <v>28</v>
      </c>
      <c r="AL551">
        <v>42</v>
      </c>
      <c r="AM551" t="str">
        <v>Tarjeta</v>
      </c>
      <c r="AN551" t="str">
        <v>Entregada</v>
      </c>
      <c r="AO551">
        <v>5</v>
      </c>
    </row>
    <row r="552" spans="1:41" x14ac:dyDescent="0.3">
      <c r="A552" t="s">
        <v>586</v>
      </c>
      <c r="B552" s="8">
        <v>45874</v>
      </c>
      <c r="C552" s="2">
        <v>0.84027777777777779</v>
      </c>
      <c r="D552" t="s">
        <v>27</v>
      </c>
      <c r="E552" t="s">
        <v>22</v>
      </c>
      <c r="F552" t="s">
        <v>17</v>
      </c>
      <c r="G552">
        <v>6</v>
      </c>
      <c r="H552" s="6">
        <v>28761.77</v>
      </c>
      <c r="I552" s="6">
        <v>7342.45</v>
      </c>
      <c r="J552">
        <v>20</v>
      </c>
      <c r="K552">
        <v>27</v>
      </c>
      <c r="L552" t="s">
        <v>24</v>
      </c>
      <c r="M552" t="s">
        <v>25</v>
      </c>
      <c r="N552">
        <v>4</v>
      </c>
      <c r="O552" s="4"/>
      <c r="P552" s="4" t="str">
        <f>IF(Data_Set_2[[#This Row],[valor_bruto]]&gt;$W$13,"OUTLIER+","")</f>
        <v/>
      </c>
      <c r="Q552" s="4" t="str">
        <f>IF(Data_Set_2[[#This Row],[valor_bruto]]&lt;$W$14,"OUTLIER-","")</f>
        <v/>
      </c>
      <c r="R552" s="4"/>
      <c r="S552" s="4"/>
      <c r="AB552" t="str">
        <v>RES-100550</v>
      </c>
      <c r="AC552">
        <v>45874</v>
      </c>
      <c r="AD552">
        <v>0.84027777777777779</v>
      </c>
      <c r="AE552" t="str">
        <v>Centro</v>
      </c>
      <c r="AF552" t="str">
        <v>Domicilio</v>
      </c>
      <c r="AG552" t="str">
        <v>Comida rapida</v>
      </c>
      <c r="AH552">
        <v>6</v>
      </c>
      <c r="AI552">
        <v>28761.77</v>
      </c>
      <c r="AJ552">
        <v>7342.45</v>
      </c>
      <c r="AK552">
        <v>20</v>
      </c>
      <c r="AL552">
        <v>27</v>
      </c>
      <c r="AM552" t="str">
        <v>Efectivo</v>
      </c>
      <c r="AN552" t="str">
        <v>Cancelada</v>
      </c>
      <c r="AO552">
        <v>4</v>
      </c>
    </row>
    <row r="553" spans="1:41" x14ac:dyDescent="0.3">
      <c r="A553" t="s">
        <v>587</v>
      </c>
      <c r="B553" s="8">
        <v>45816</v>
      </c>
      <c r="C553" s="2">
        <v>0.88680555555555551</v>
      </c>
      <c r="D553" t="s">
        <v>33</v>
      </c>
      <c r="E553" t="s">
        <v>28</v>
      </c>
      <c r="F553" t="s">
        <v>23</v>
      </c>
      <c r="G553">
        <v>3</v>
      </c>
      <c r="H553" s="6">
        <v>61416.88</v>
      </c>
      <c r="I553" s="6">
        <v>8303.7999999999993</v>
      </c>
      <c r="J553">
        <v>23</v>
      </c>
      <c r="K553">
        <v>38</v>
      </c>
      <c r="L553" t="s">
        <v>30</v>
      </c>
      <c r="M553" t="s">
        <v>31</v>
      </c>
      <c r="N553">
        <v>4</v>
      </c>
      <c r="O553" s="4"/>
      <c r="P553" s="4" t="str">
        <f>IF(Data_Set_2[[#This Row],[valor_bruto]]&gt;$W$13,"OUTLIER+","")</f>
        <v/>
      </c>
      <c r="Q553" s="4" t="str">
        <f>IF(Data_Set_2[[#This Row],[valor_bruto]]&lt;$W$14,"OUTLIER-","")</f>
        <v/>
      </c>
      <c r="R553" s="4"/>
      <c r="S553" s="4"/>
      <c r="AB553" t="str">
        <v>RES-100551</v>
      </c>
      <c r="AC553">
        <v>45816</v>
      </c>
      <c r="AD553">
        <v>0.88680555555555551</v>
      </c>
      <c r="AE553" t="str">
        <v>Envigado</v>
      </c>
      <c r="AF553" t="str">
        <v>Recoge</v>
      </c>
      <c r="AG553" t="str">
        <v>Pasta</v>
      </c>
      <c r="AH553">
        <v>3</v>
      </c>
      <c r="AI553">
        <v>61416.88</v>
      </c>
      <c r="AJ553">
        <v>8303.7999999999993</v>
      </c>
      <c r="AK553">
        <v>23</v>
      </c>
      <c r="AL553">
        <v>38</v>
      </c>
      <c r="AM553" t="str">
        <v>App</v>
      </c>
      <c r="AN553" t="str">
        <v>Reembolsada</v>
      </c>
      <c r="AO553">
        <v>4</v>
      </c>
    </row>
    <row r="554" spans="1:41" x14ac:dyDescent="0.3">
      <c r="A554" t="s">
        <v>588</v>
      </c>
      <c r="B554" s="8">
        <v>45876</v>
      </c>
      <c r="C554" s="2">
        <v>0.43333333333333335</v>
      </c>
      <c r="D554" t="s">
        <v>15</v>
      </c>
      <c r="E554" t="s">
        <v>16</v>
      </c>
      <c r="F554" t="s">
        <v>29</v>
      </c>
      <c r="G554">
        <v>4</v>
      </c>
      <c r="H554" s="6">
        <v>48563.34</v>
      </c>
      <c r="I554" s="6">
        <v>2242.7600000000002</v>
      </c>
      <c r="J554">
        <v>29</v>
      </c>
      <c r="K554">
        <v>29</v>
      </c>
      <c r="L554" t="s">
        <v>18</v>
      </c>
      <c r="M554" t="s">
        <v>19</v>
      </c>
      <c r="N554">
        <v>5</v>
      </c>
      <c r="O554" s="4"/>
      <c r="P554" s="4" t="str">
        <f>IF(Data_Set_2[[#This Row],[valor_bruto]]&gt;$W$13,"OUTLIER+","")</f>
        <v/>
      </c>
      <c r="Q554" s="4" t="str">
        <f>IF(Data_Set_2[[#This Row],[valor_bruto]]&lt;$W$14,"OUTLIER-","")</f>
        <v/>
      </c>
      <c r="R554" s="4"/>
      <c r="S554" s="4"/>
      <c r="AB554" t="str">
        <v>RES-100552</v>
      </c>
      <c r="AC554">
        <v>45876</v>
      </c>
      <c r="AD554">
        <v>0.43333333333333335</v>
      </c>
      <c r="AE554" t="str">
        <v>Laureles</v>
      </c>
      <c r="AF554" t="str">
        <v>Mesa</v>
      </c>
      <c r="AG554" t="str">
        <v>Parrilla</v>
      </c>
      <c r="AH554">
        <v>4</v>
      </c>
      <c r="AI554">
        <v>48563.34</v>
      </c>
      <c r="AJ554">
        <v>2242.7600000000002</v>
      </c>
      <c r="AK554">
        <v>29</v>
      </c>
      <c r="AL554">
        <v>29</v>
      </c>
      <c r="AM554" t="str">
        <v>Tarjeta</v>
      </c>
      <c r="AN554" t="str">
        <v>Entregada</v>
      </c>
      <c r="AO554">
        <v>5</v>
      </c>
    </row>
    <row r="555" spans="1:41" x14ac:dyDescent="0.3">
      <c r="A555" t="s">
        <v>589</v>
      </c>
      <c r="B555" s="8">
        <v>45877</v>
      </c>
      <c r="C555" s="2">
        <v>0.47986111111111113</v>
      </c>
      <c r="D555" t="s">
        <v>21</v>
      </c>
      <c r="E555" t="s">
        <v>22</v>
      </c>
      <c r="F555" t="s">
        <v>34</v>
      </c>
      <c r="G555">
        <v>6</v>
      </c>
      <c r="H555" s="6">
        <v>53973.45</v>
      </c>
      <c r="I555" s="6">
        <v>5137.6899999999996</v>
      </c>
      <c r="J555">
        <v>13</v>
      </c>
      <c r="K555">
        <v>48</v>
      </c>
      <c r="L555" t="s">
        <v>24</v>
      </c>
      <c r="M555" t="s">
        <v>25</v>
      </c>
      <c r="N555">
        <f>VLOOKUP(Data_Set_2[[#This Row],[estado]],M2:N554,2,0)</f>
        <v>3</v>
      </c>
      <c r="O555" s="4"/>
      <c r="P555" s="4" t="str">
        <f>IF(Data_Set_2[[#This Row],[valor_bruto]]&gt;$W$13,"OUTLIER+","")</f>
        <v/>
      </c>
      <c r="Q555" s="4" t="str">
        <f>IF(Data_Set_2[[#This Row],[valor_bruto]]&lt;$W$14,"OUTLIER-","")</f>
        <v/>
      </c>
      <c r="R555" s="4"/>
      <c r="S555" s="4"/>
      <c r="AB555" t="str">
        <v>RES-100553</v>
      </c>
      <c r="AC555">
        <v>45877</v>
      </c>
      <c r="AD555">
        <v>0.47986111111111113</v>
      </c>
      <c r="AE555" t="str">
        <v>Poblado</v>
      </c>
      <c r="AF555" t="str">
        <v>Domicilio</v>
      </c>
      <c r="AG555" t="str">
        <v>Vegano</v>
      </c>
      <c r="AH555">
        <v>6</v>
      </c>
      <c r="AI555">
        <v>53973.45</v>
      </c>
      <c r="AJ555">
        <v>5137.6899999999996</v>
      </c>
      <c r="AK555">
        <v>13</v>
      </c>
      <c r="AL555">
        <v>48</v>
      </c>
      <c r="AM555" t="str">
        <v>Efectivo</v>
      </c>
      <c r="AN555" t="str">
        <v>Cancelada</v>
      </c>
      <c r="AO555">
        <v>3</v>
      </c>
    </row>
    <row r="556" spans="1:41" x14ac:dyDescent="0.3">
      <c r="A556" t="s">
        <v>590</v>
      </c>
      <c r="B556" s="8">
        <v>45908</v>
      </c>
      <c r="C556" s="2">
        <v>0.52638888888888891</v>
      </c>
      <c r="D556" t="s">
        <v>27</v>
      </c>
      <c r="E556" t="s">
        <v>28</v>
      </c>
      <c r="F556" t="s">
        <v>36</v>
      </c>
      <c r="G556">
        <v>5</v>
      </c>
      <c r="H556" s="6">
        <v>45486.98</v>
      </c>
      <c r="I556" s="6">
        <v>653.09</v>
      </c>
      <c r="J556">
        <v>18</v>
      </c>
      <c r="K556">
        <v>36</v>
      </c>
      <c r="L556" t="s">
        <v>30</v>
      </c>
      <c r="M556" t="s">
        <v>31</v>
      </c>
      <c r="N556">
        <v>3</v>
      </c>
      <c r="O556" s="4"/>
      <c r="P556" s="4" t="str">
        <f>IF(Data_Set_2[[#This Row],[valor_bruto]]&gt;$W$13,"OUTLIER+","")</f>
        <v/>
      </c>
      <c r="Q556" s="4" t="str">
        <f>IF(Data_Set_2[[#This Row],[valor_bruto]]&lt;$W$14,"OUTLIER-","")</f>
        <v/>
      </c>
      <c r="R556" s="4"/>
      <c r="S556" s="4"/>
      <c r="AB556" t="str">
        <v>RES-100554</v>
      </c>
      <c r="AC556">
        <v>45908</v>
      </c>
      <c r="AD556">
        <v>0.52638888888888891</v>
      </c>
      <c r="AE556" t="str">
        <v>Centro</v>
      </c>
      <c r="AF556" t="str">
        <v>Recoge</v>
      </c>
      <c r="AG556" t="str">
        <v>Bebidas</v>
      </c>
      <c r="AH556">
        <v>5</v>
      </c>
      <c r="AI556">
        <v>45486.98</v>
      </c>
      <c r="AJ556">
        <v>653.09</v>
      </c>
      <c r="AK556">
        <v>18</v>
      </c>
      <c r="AL556">
        <v>36</v>
      </c>
      <c r="AM556" t="str">
        <v>App</v>
      </c>
      <c r="AN556" t="str">
        <v>Reembolsada</v>
      </c>
      <c r="AO556">
        <v>3</v>
      </c>
    </row>
    <row r="557" spans="1:41" x14ac:dyDescent="0.3">
      <c r="A557" t="s">
        <v>591</v>
      </c>
      <c r="B557" s="8">
        <v>45879</v>
      </c>
      <c r="C557" s="2">
        <v>0.57291666666666663</v>
      </c>
      <c r="D557" t="s">
        <v>33</v>
      </c>
      <c r="E557" t="s">
        <v>16</v>
      </c>
      <c r="F557" t="s">
        <v>17</v>
      </c>
      <c r="G557">
        <v>6</v>
      </c>
      <c r="H557" s="6">
        <v>67784.149999999994</v>
      </c>
      <c r="I557" s="6">
        <v>6485.54</v>
      </c>
      <c r="J557">
        <v>26</v>
      </c>
      <c r="K557">
        <v>43</v>
      </c>
      <c r="L557" t="s">
        <v>18</v>
      </c>
      <c r="M557" t="s">
        <v>19</v>
      </c>
      <c r="N557">
        <v>4</v>
      </c>
      <c r="O557" s="4"/>
      <c r="P557" s="4" t="str">
        <f>IF(Data_Set_2[[#This Row],[valor_bruto]]&gt;$W$13,"OUTLIER+","")</f>
        <v/>
      </c>
      <c r="Q557" s="4" t="str">
        <f>IF(Data_Set_2[[#This Row],[valor_bruto]]&lt;$W$14,"OUTLIER-","")</f>
        <v/>
      </c>
      <c r="R557" s="4"/>
      <c r="S557" s="4"/>
      <c r="AB557" t="str">
        <v>RES-100555</v>
      </c>
      <c r="AC557">
        <v>45879</v>
      </c>
      <c r="AD557">
        <v>0.57291666666666663</v>
      </c>
      <c r="AE557" t="str">
        <v>Envigado</v>
      </c>
      <c r="AF557" t="str">
        <v>Mesa</v>
      </c>
      <c r="AG557" t="str">
        <v>Comida rapida</v>
      </c>
      <c r="AH557">
        <v>6</v>
      </c>
      <c r="AI557">
        <v>67784.149999999994</v>
      </c>
      <c r="AJ557">
        <v>6485.54</v>
      </c>
      <c r="AK557">
        <v>26</v>
      </c>
      <c r="AL557">
        <v>43</v>
      </c>
      <c r="AM557" t="str">
        <v>Tarjeta</v>
      </c>
      <c r="AN557" t="str">
        <v>Entregada</v>
      </c>
      <c r="AO557">
        <v>4</v>
      </c>
    </row>
    <row r="558" spans="1:41" x14ac:dyDescent="0.3">
      <c r="A558" t="s">
        <v>592</v>
      </c>
      <c r="B558" s="8">
        <v>45880</v>
      </c>
      <c r="C558" s="2">
        <v>0.61944444444444446</v>
      </c>
      <c r="D558" t="s">
        <v>15</v>
      </c>
      <c r="E558" t="s">
        <v>22</v>
      </c>
      <c r="F558" t="s">
        <v>23</v>
      </c>
      <c r="G558">
        <v>6</v>
      </c>
      <c r="H558" s="6">
        <v>32938.43</v>
      </c>
      <c r="I558" s="6">
        <v>7392.07</v>
      </c>
      <c r="J558">
        <v>23</v>
      </c>
      <c r="K558">
        <v>53</v>
      </c>
      <c r="L558" t="s">
        <v>24</v>
      </c>
      <c r="M558" t="s">
        <v>25</v>
      </c>
      <c r="N558">
        <v>4</v>
      </c>
      <c r="O558" s="4"/>
      <c r="P558" s="4" t="str">
        <f>IF(Data_Set_2[[#This Row],[valor_bruto]]&gt;$W$13,"OUTLIER+","")</f>
        <v/>
      </c>
      <c r="Q558" s="4" t="str">
        <f>IF(Data_Set_2[[#This Row],[valor_bruto]]&lt;$W$14,"OUTLIER-","")</f>
        <v/>
      </c>
      <c r="R558" s="4"/>
      <c r="S558" s="4"/>
      <c r="AB558" t="str">
        <v>RES-100556</v>
      </c>
      <c r="AC558">
        <v>45880</v>
      </c>
      <c r="AD558">
        <v>0.61944444444444446</v>
      </c>
      <c r="AE558" t="str">
        <v>Laureles</v>
      </c>
      <c r="AF558" t="str">
        <v>Domicilio</v>
      </c>
      <c r="AG558" t="str">
        <v>Pasta</v>
      </c>
      <c r="AH558">
        <v>6</v>
      </c>
      <c r="AI558">
        <v>32938.43</v>
      </c>
      <c r="AJ558">
        <v>7392.07</v>
      </c>
      <c r="AK558">
        <v>23</v>
      </c>
      <c r="AL558">
        <v>53</v>
      </c>
      <c r="AM558" t="str">
        <v>Efectivo</v>
      </c>
      <c r="AN558" t="str">
        <v>Cancelada</v>
      </c>
      <c r="AO558">
        <v>4</v>
      </c>
    </row>
    <row r="559" spans="1:41" x14ac:dyDescent="0.3">
      <c r="A559" t="s">
        <v>593</v>
      </c>
      <c r="B559" s="8">
        <v>45999</v>
      </c>
      <c r="C559" s="2">
        <v>0.66597222222222219</v>
      </c>
      <c r="D559" t="s">
        <v>21</v>
      </c>
      <c r="E559" t="s">
        <v>28</v>
      </c>
      <c r="F559" t="s">
        <v>29</v>
      </c>
      <c r="G559">
        <v>5</v>
      </c>
      <c r="H559" s="6">
        <v>35429.370000000003</v>
      </c>
      <c r="I559" s="6">
        <v>8356.02</v>
      </c>
      <c r="J559">
        <v>23</v>
      </c>
      <c r="K559">
        <v>23</v>
      </c>
      <c r="L559" t="s">
        <v>30</v>
      </c>
      <c r="M559" t="s">
        <v>31</v>
      </c>
      <c r="N559">
        <v>4</v>
      </c>
      <c r="O559" s="4"/>
      <c r="P559" s="4" t="str">
        <f>IF(Data_Set_2[[#This Row],[valor_bruto]]&gt;$W$13,"OUTLIER+","")</f>
        <v/>
      </c>
      <c r="Q559" s="4" t="str">
        <f>IF(Data_Set_2[[#This Row],[valor_bruto]]&lt;$W$14,"OUTLIER-","")</f>
        <v/>
      </c>
      <c r="R559" s="4"/>
      <c r="S559" s="4"/>
      <c r="AB559" t="str">
        <v>RES-100557</v>
      </c>
      <c r="AC559">
        <v>45999</v>
      </c>
      <c r="AD559">
        <v>0.66597222222222219</v>
      </c>
      <c r="AE559" t="str">
        <v>Poblado</v>
      </c>
      <c r="AF559" t="str">
        <v>Recoge</v>
      </c>
      <c r="AG559" t="str">
        <v>Parrilla</v>
      </c>
      <c r="AH559">
        <v>5</v>
      </c>
      <c r="AI559">
        <v>35429.370000000003</v>
      </c>
      <c r="AJ559">
        <v>8356.02</v>
      </c>
      <c r="AK559">
        <v>23</v>
      </c>
      <c r="AL559">
        <v>23</v>
      </c>
      <c r="AM559" t="str">
        <v>App</v>
      </c>
      <c r="AN559" t="str">
        <v>Reembolsada</v>
      </c>
      <c r="AO559">
        <v>4</v>
      </c>
    </row>
    <row r="560" spans="1:41" x14ac:dyDescent="0.3">
      <c r="A560" t="s">
        <v>594</v>
      </c>
      <c r="B560" s="8">
        <v>45882</v>
      </c>
      <c r="C560" s="2">
        <v>0.67083333333333328</v>
      </c>
      <c r="D560" t="s">
        <v>27</v>
      </c>
      <c r="E560" t="s">
        <v>16</v>
      </c>
      <c r="F560" t="s">
        <v>34</v>
      </c>
      <c r="G560">
        <v>6</v>
      </c>
      <c r="H560" s="6">
        <v>52925.13</v>
      </c>
      <c r="I560" s="6">
        <v>3323.57</v>
      </c>
      <c r="J560">
        <v>26</v>
      </c>
      <c r="K560">
        <v>25</v>
      </c>
      <c r="L560" t="s">
        <v>18</v>
      </c>
      <c r="M560" t="s">
        <v>19</v>
      </c>
      <c r="N560">
        <v>4</v>
      </c>
      <c r="O560" s="4"/>
      <c r="P560" s="4" t="str">
        <f>IF(Data_Set_2[[#This Row],[valor_bruto]]&gt;$W$13,"OUTLIER+","")</f>
        <v/>
      </c>
      <c r="Q560" s="4" t="str">
        <f>IF(Data_Set_2[[#This Row],[valor_bruto]]&lt;$W$14,"OUTLIER-","")</f>
        <v/>
      </c>
      <c r="R560" s="4"/>
      <c r="S560" s="4"/>
      <c r="AB560" t="str">
        <v>RES-100558</v>
      </c>
      <c r="AC560">
        <v>45882</v>
      </c>
      <c r="AD560">
        <v>0.67083333333333328</v>
      </c>
      <c r="AE560" t="str">
        <v>Centro</v>
      </c>
      <c r="AF560" t="str">
        <v>Mesa</v>
      </c>
      <c r="AG560" t="str">
        <v>Vegano</v>
      </c>
      <c r="AH560">
        <v>6</v>
      </c>
      <c r="AI560">
        <v>52925.13</v>
      </c>
      <c r="AJ560">
        <v>3323.57</v>
      </c>
      <c r="AK560">
        <v>26</v>
      </c>
      <c r="AL560">
        <v>25</v>
      </c>
      <c r="AM560" t="str">
        <v>Tarjeta</v>
      </c>
      <c r="AN560" t="str">
        <v>Entregada</v>
      </c>
      <c r="AO560">
        <v>4</v>
      </c>
    </row>
    <row r="561" spans="1:41" x14ac:dyDescent="0.3">
      <c r="A561" t="s">
        <v>595</v>
      </c>
      <c r="B561" s="8">
        <v>45883</v>
      </c>
      <c r="C561" s="2">
        <v>0.71736111111111112</v>
      </c>
      <c r="D561" t="s">
        <v>33</v>
      </c>
      <c r="E561" t="s">
        <v>22</v>
      </c>
      <c r="F561" t="s">
        <v>36</v>
      </c>
      <c r="G561">
        <v>5</v>
      </c>
      <c r="H561" s="6">
        <v>55164.83</v>
      </c>
      <c r="I561" s="6">
        <v>6195.42</v>
      </c>
      <c r="J561">
        <v>30</v>
      </c>
      <c r="K561">
        <v>23</v>
      </c>
      <c r="L561" t="s">
        <v>24</v>
      </c>
      <c r="M561" t="s">
        <v>25</v>
      </c>
      <c r="N561">
        <v>5</v>
      </c>
      <c r="O561" s="4"/>
      <c r="P561" s="4" t="str">
        <f>IF(Data_Set_2[[#This Row],[valor_bruto]]&gt;$W$13,"OUTLIER+","")</f>
        <v/>
      </c>
      <c r="Q561" s="4" t="str">
        <f>IF(Data_Set_2[[#This Row],[valor_bruto]]&lt;$W$14,"OUTLIER-","")</f>
        <v/>
      </c>
      <c r="R561" s="4"/>
      <c r="S561" s="4"/>
      <c r="AB561" t="str">
        <v>RES-100559</v>
      </c>
      <c r="AC561">
        <v>45883</v>
      </c>
      <c r="AD561">
        <v>0.71736111111111112</v>
      </c>
      <c r="AE561" t="str">
        <v>Envigado</v>
      </c>
      <c r="AF561" t="str">
        <v>Domicilio</v>
      </c>
      <c r="AG561" t="str">
        <v>Bebidas</v>
      </c>
      <c r="AH561">
        <v>5</v>
      </c>
      <c r="AI561">
        <v>55164.83</v>
      </c>
      <c r="AJ561">
        <v>6195.42</v>
      </c>
      <c r="AK561">
        <v>30</v>
      </c>
      <c r="AL561">
        <v>23</v>
      </c>
      <c r="AM561" t="str">
        <v>Efectivo</v>
      </c>
      <c r="AN561" t="str">
        <v>Cancelada</v>
      </c>
      <c r="AO561">
        <v>5</v>
      </c>
    </row>
    <row r="562" spans="1:41" x14ac:dyDescent="0.3">
      <c r="A562" t="s">
        <v>596</v>
      </c>
      <c r="B562" s="8">
        <v>45884</v>
      </c>
      <c r="C562" s="2">
        <v>0.76388888888888884</v>
      </c>
      <c r="D562" t="s">
        <v>15</v>
      </c>
      <c r="E562" t="s">
        <v>28</v>
      </c>
      <c r="F562" t="s">
        <v>17</v>
      </c>
      <c r="G562">
        <v>2</v>
      </c>
      <c r="H562" s="6">
        <v>60039.94</v>
      </c>
      <c r="I562" s="6">
        <v>2764.4</v>
      </c>
      <c r="J562">
        <v>29</v>
      </c>
      <c r="K562">
        <v>38</v>
      </c>
      <c r="L562" t="s">
        <v>30</v>
      </c>
      <c r="M562" t="s">
        <v>31</v>
      </c>
      <c r="N562">
        <v>4</v>
      </c>
      <c r="O562" s="4"/>
      <c r="P562" s="4" t="str">
        <f>IF(Data_Set_2[[#This Row],[valor_bruto]]&gt;$W$13,"OUTLIER+","")</f>
        <v/>
      </c>
      <c r="Q562" s="4" t="str">
        <f>IF(Data_Set_2[[#This Row],[valor_bruto]]&lt;$W$14,"OUTLIER-","")</f>
        <v/>
      </c>
      <c r="R562" s="4"/>
      <c r="S562" s="4"/>
      <c r="AB562" t="str">
        <v>RES-100560</v>
      </c>
      <c r="AC562">
        <v>45884</v>
      </c>
      <c r="AD562">
        <v>0.76388888888888884</v>
      </c>
      <c r="AE562" t="str">
        <v>Laureles</v>
      </c>
      <c r="AF562" t="str">
        <v>Recoge</v>
      </c>
      <c r="AG562" t="str">
        <v>Comida rapida</v>
      </c>
      <c r="AH562">
        <v>2</v>
      </c>
      <c r="AI562">
        <v>60039.94</v>
      </c>
      <c r="AJ562">
        <v>2764.4</v>
      </c>
      <c r="AK562">
        <v>29</v>
      </c>
      <c r="AL562">
        <v>38</v>
      </c>
      <c r="AM562" t="str">
        <v>App</v>
      </c>
      <c r="AN562" t="str">
        <v>Reembolsada</v>
      </c>
      <c r="AO562">
        <v>4</v>
      </c>
    </row>
    <row r="563" spans="1:41" x14ac:dyDescent="0.3">
      <c r="A563" t="s">
        <v>597</v>
      </c>
      <c r="B563" s="8">
        <v>45885</v>
      </c>
      <c r="C563" s="2">
        <v>0.81041666666666667</v>
      </c>
      <c r="D563" t="s">
        <v>21</v>
      </c>
      <c r="E563" t="s">
        <v>16</v>
      </c>
      <c r="F563" t="s">
        <v>23</v>
      </c>
      <c r="G563">
        <v>5</v>
      </c>
      <c r="H563" s="6">
        <v>38149.120000000003</v>
      </c>
      <c r="I563" s="6">
        <v>5594.17</v>
      </c>
      <c r="J563">
        <v>21</v>
      </c>
      <c r="K563" t="s">
        <v>598</v>
      </c>
      <c r="L563" t="s">
        <v>18</v>
      </c>
      <c r="M563" t="s">
        <v>19</v>
      </c>
      <c r="N563">
        <v>3</v>
      </c>
      <c r="O563" s="4"/>
      <c r="P563" s="4" t="str">
        <f>IF(Data_Set_2[[#This Row],[valor_bruto]]&gt;$W$13,"OUTLIER+","")</f>
        <v/>
      </c>
      <c r="Q563" s="4" t="str">
        <f>IF(Data_Set_2[[#This Row],[valor_bruto]]&lt;$W$14,"OUTLIER-","")</f>
        <v/>
      </c>
      <c r="R563" s="4"/>
      <c r="S563" s="4"/>
      <c r="AB563" t="str">
        <v>RES-100561</v>
      </c>
      <c r="AC563">
        <v>45885</v>
      </c>
      <c r="AD563">
        <v>0.81041666666666667</v>
      </c>
      <c r="AE563" t="str">
        <v>Poblado</v>
      </c>
      <c r="AF563" t="str">
        <v>Mesa</v>
      </c>
      <c r="AG563" t="str">
        <v>Pasta</v>
      </c>
      <c r="AH563">
        <v>5</v>
      </c>
      <c r="AI563">
        <v>38149.120000000003</v>
      </c>
      <c r="AJ563">
        <v>5594.17</v>
      </c>
      <c r="AK563">
        <v>21</v>
      </c>
      <c r="AL563" t="str">
        <v>4.2</v>
      </c>
      <c r="AM563" t="str">
        <v>Tarjeta</v>
      </c>
      <c r="AN563" t="str">
        <v>Entregada</v>
      </c>
      <c r="AO563">
        <v>3</v>
      </c>
    </row>
    <row r="564" spans="1:41" x14ac:dyDescent="0.3">
      <c r="A564" t="s">
        <v>599</v>
      </c>
      <c r="B564" s="8">
        <v>45886</v>
      </c>
      <c r="C564" s="2">
        <v>0.8569444444444444</v>
      </c>
      <c r="D564" t="s">
        <v>27</v>
      </c>
      <c r="E564" t="s">
        <v>22</v>
      </c>
      <c r="F564" t="s">
        <v>29</v>
      </c>
      <c r="G564">
        <v>5</v>
      </c>
      <c r="H564" s="6">
        <v>28427.24</v>
      </c>
      <c r="I564" s="6">
        <v>587.89</v>
      </c>
      <c r="J564">
        <v>14</v>
      </c>
      <c r="K564">
        <v>42</v>
      </c>
      <c r="L564" t="s">
        <v>24</v>
      </c>
      <c r="M564" t="s">
        <v>25</v>
      </c>
      <c r="N564">
        <v>3</v>
      </c>
      <c r="O564" s="4"/>
      <c r="P564" s="4" t="str">
        <f>IF(Data_Set_2[[#This Row],[valor_bruto]]&gt;$W$13,"OUTLIER+","")</f>
        <v/>
      </c>
      <c r="Q564" s="4" t="str">
        <f>IF(Data_Set_2[[#This Row],[valor_bruto]]&lt;$W$14,"OUTLIER-","")</f>
        <v/>
      </c>
      <c r="R564" s="4"/>
      <c r="S564" s="4"/>
      <c r="AB564" t="str">
        <v>RES-100562</v>
      </c>
      <c r="AC564">
        <v>45886</v>
      </c>
      <c r="AD564">
        <v>0.8569444444444444</v>
      </c>
      <c r="AE564" t="str">
        <v>Centro</v>
      </c>
      <c r="AF564" t="str">
        <v>Domicilio</v>
      </c>
      <c r="AG564" t="str">
        <v>Parrilla</v>
      </c>
      <c r="AH564">
        <v>5</v>
      </c>
      <c r="AI564">
        <v>28427.24</v>
      </c>
      <c r="AJ564">
        <v>587.89</v>
      </c>
      <c r="AK564">
        <v>14</v>
      </c>
      <c r="AL564">
        <v>42</v>
      </c>
      <c r="AM564" t="str">
        <v>Efectivo</v>
      </c>
      <c r="AN564" t="str">
        <v>Cancelada</v>
      </c>
      <c r="AO564">
        <v>3</v>
      </c>
    </row>
    <row r="565" spans="1:41" x14ac:dyDescent="0.3">
      <c r="A565" t="s">
        <v>600</v>
      </c>
      <c r="B565" s="8">
        <v>45887</v>
      </c>
      <c r="C565" s="2">
        <v>0.90347222222222223</v>
      </c>
      <c r="D565" t="s">
        <v>33</v>
      </c>
      <c r="E565" t="s">
        <v>28</v>
      </c>
      <c r="F565" t="s">
        <v>34</v>
      </c>
      <c r="G565">
        <v>4</v>
      </c>
      <c r="H565" s="6">
        <v>56187.18</v>
      </c>
      <c r="I565" s="6">
        <v>2040.83</v>
      </c>
      <c r="J565">
        <v>17</v>
      </c>
      <c r="K565">
        <v>35</v>
      </c>
      <c r="L565" t="s">
        <v>30</v>
      </c>
      <c r="M565" t="s">
        <v>31</v>
      </c>
      <c r="N565">
        <v>3</v>
      </c>
      <c r="O565" s="4"/>
      <c r="P565" s="4" t="str">
        <f>IF(Data_Set_2[[#This Row],[valor_bruto]]&gt;$W$13,"OUTLIER+","")</f>
        <v/>
      </c>
      <c r="Q565" s="4" t="str">
        <f>IF(Data_Set_2[[#This Row],[valor_bruto]]&lt;$W$14,"OUTLIER-","")</f>
        <v/>
      </c>
      <c r="R565" s="4"/>
      <c r="S565" s="4"/>
      <c r="AB565" t="str">
        <v>RES-100563</v>
      </c>
      <c r="AC565">
        <v>45887</v>
      </c>
      <c r="AD565">
        <v>0.90347222222222223</v>
      </c>
      <c r="AE565" t="str">
        <v>Envigado</v>
      </c>
      <c r="AF565" t="str">
        <v>Recoge</v>
      </c>
      <c r="AG565" t="str">
        <v>Vegano</v>
      </c>
      <c r="AH565">
        <v>4</v>
      </c>
      <c r="AI565">
        <v>56187.18</v>
      </c>
      <c r="AJ565">
        <v>2040.83</v>
      </c>
      <c r="AK565">
        <v>17</v>
      </c>
      <c r="AL565">
        <v>35</v>
      </c>
      <c r="AM565" t="str">
        <v>App</v>
      </c>
      <c r="AN565" t="str">
        <v>Reembolsada</v>
      </c>
      <c r="AO565">
        <v>3</v>
      </c>
    </row>
    <row r="566" spans="1:41" x14ac:dyDescent="0.3">
      <c r="A566" t="s">
        <v>601</v>
      </c>
      <c r="B566" s="8">
        <v>45888</v>
      </c>
      <c r="C566" s="2">
        <v>0.45</v>
      </c>
      <c r="D566" t="s">
        <v>15</v>
      </c>
      <c r="E566" t="s">
        <v>16</v>
      </c>
      <c r="F566" t="s">
        <v>36</v>
      </c>
      <c r="G566">
        <v>5</v>
      </c>
      <c r="H566" s="6">
        <v>47743.72</v>
      </c>
      <c r="I566" s="6">
        <v>5386.22</v>
      </c>
      <c r="J566">
        <v>25</v>
      </c>
      <c r="K566">
        <v>49</v>
      </c>
      <c r="L566" t="s">
        <v>18</v>
      </c>
      <c r="M566" t="s">
        <v>19</v>
      </c>
      <c r="N566">
        <v>4</v>
      </c>
      <c r="O566" s="4"/>
      <c r="P566" s="4" t="str">
        <f>IF(Data_Set_2[[#This Row],[valor_bruto]]&gt;$W$13,"OUTLIER+","")</f>
        <v/>
      </c>
      <c r="Q566" s="4" t="str">
        <f>IF(Data_Set_2[[#This Row],[valor_bruto]]&lt;$W$14,"OUTLIER-","")</f>
        <v/>
      </c>
      <c r="R566" s="4"/>
      <c r="S566" s="4"/>
      <c r="AB566" t="str">
        <v>RES-100564</v>
      </c>
      <c r="AC566">
        <v>45888</v>
      </c>
      <c r="AD566">
        <v>0.45</v>
      </c>
      <c r="AE566" t="str">
        <v>Laureles</v>
      </c>
      <c r="AF566" t="str">
        <v>Mesa</v>
      </c>
      <c r="AG566" t="str">
        <v>Bebidas</v>
      </c>
      <c r="AH566">
        <v>5</v>
      </c>
      <c r="AI566">
        <v>47743.72</v>
      </c>
      <c r="AJ566">
        <v>5386.22</v>
      </c>
      <c r="AK566">
        <v>25</v>
      </c>
      <c r="AL566">
        <v>49</v>
      </c>
      <c r="AM566" t="str">
        <v>Tarjeta</v>
      </c>
      <c r="AN566" t="str">
        <v>Entregada</v>
      </c>
      <c r="AO566">
        <v>4</v>
      </c>
    </row>
    <row r="567" spans="1:41" x14ac:dyDescent="0.3">
      <c r="A567" t="s">
        <v>602</v>
      </c>
      <c r="B567" s="8">
        <v>45889</v>
      </c>
      <c r="C567" s="2">
        <v>0.49652777777777779</v>
      </c>
      <c r="D567" t="s">
        <v>21</v>
      </c>
      <c r="E567" t="s">
        <v>22</v>
      </c>
      <c r="F567" t="s">
        <v>17</v>
      </c>
      <c r="G567">
        <v>6</v>
      </c>
      <c r="H567" s="6">
        <v>62470.91</v>
      </c>
      <c r="I567" s="6">
        <v>4749.58</v>
      </c>
      <c r="J567">
        <v>16</v>
      </c>
      <c r="K567">
        <v>23</v>
      </c>
      <c r="L567" t="s">
        <v>24</v>
      </c>
      <c r="M567" t="s">
        <v>25</v>
      </c>
      <c r="N567">
        <v>3</v>
      </c>
      <c r="O567" s="4"/>
      <c r="P567" s="4" t="str">
        <f>IF(Data_Set_2[[#This Row],[valor_bruto]]&gt;$W$13,"OUTLIER+","")</f>
        <v/>
      </c>
      <c r="Q567" s="4" t="str">
        <f>IF(Data_Set_2[[#This Row],[valor_bruto]]&lt;$W$14,"OUTLIER-","")</f>
        <v/>
      </c>
      <c r="R567" s="4"/>
      <c r="S567" s="4"/>
      <c r="AB567" t="str">
        <v>RES-100565</v>
      </c>
      <c r="AC567">
        <v>45889</v>
      </c>
      <c r="AD567">
        <v>0.49652777777777779</v>
      </c>
      <c r="AE567" t="str">
        <v>Poblado</v>
      </c>
      <c r="AF567" t="str">
        <v>Domicilio</v>
      </c>
      <c r="AG567" t="str">
        <v>Comida rapida</v>
      </c>
      <c r="AH567">
        <v>6</v>
      </c>
      <c r="AI567">
        <v>62470.91</v>
      </c>
      <c r="AJ567">
        <v>4749.58</v>
      </c>
      <c r="AK567">
        <v>16</v>
      </c>
      <c r="AL567">
        <v>23</v>
      </c>
      <c r="AM567" t="str">
        <v>Efectivo</v>
      </c>
      <c r="AN567" t="str">
        <v>Cancelada</v>
      </c>
      <c r="AO567">
        <v>3</v>
      </c>
    </row>
    <row r="568" spans="1:41" x14ac:dyDescent="0.3">
      <c r="A568" t="s">
        <v>603</v>
      </c>
      <c r="B568" s="8">
        <v>45890</v>
      </c>
      <c r="C568" s="2">
        <v>0.50138888888888888</v>
      </c>
      <c r="D568" t="s">
        <v>27</v>
      </c>
      <c r="E568" t="s">
        <v>28</v>
      </c>
      <c r="F568" t="s">
        <v>23</v>
      </c>
      <c r="G568">
        <v>5</v>
      </c>
      <c r="H568" s="6">
        <v>49266.726966101662</v>
      </c>
      <c r="I568" s="6">
        <v>7988.48</v>
      </c>
      <c r="J568">
        <v>14</v>
      </c>
      <c r="K568" t="s">
        <v>604</v>
      </c>
      <c r="L568" t="s">
        <v>30</v>
      </c>
      <c r="M568" t="s">
        <v>31</v>
      </c>
      <c r="N568">
        <v>3</v>
      </c>
      <c r="O568" s="4"/>
      <c r="P568" s="4" t="str">
        <f>IF(Data_Set_2[[#This Row],[valor_bruto]]&gt;$W$13,"OUTLIER+","")</f>
        <v/>
      </c>
      <c r="Q568" s="4" t="str">
        <f>IF(Data_Set_2[[#This Row],[valor_bruto]]&lt;$W$14,"OUTLIER-","")</f>
        <v/>
      </c>
      <c r="R568" s="4"/>
      <c r="S568" s="4"/>
      <c r="AB568" t="str">
        <v>RES-100566</v>
      </c>
      <c r="AC568">
        <v>45890</v>
      </c>
      <c r="AD568">
        <v>0.50138888888888888</v>
      </c>
      <c r="AE568" t="str">
        <v>Centro</v>
      </c>
      <c r="AF568" t="str">
        <v>Recoge</v>
      </c>
      <c r="AG568" t="str">
        <v>Pasta</v>
      </c>
      <c r="AH568">
        <v>5</v>
      </c>
      <c r="AI568">
        <v>49266.726966101662</v>
      </c>
      <c r="AJ568">
        <v>7988.48</v>
      </c>
      <c r="AK568">
        <v>14</v>
      </c>
      <c r="AL568" t="str">
        <v>5.55</v>
      </c>
      <c r="AM568" t="str">
        <v>App</v>
      </c>
      <c r="AN568" t="str">
        <v>Reembolsada</v>
      </c>
      <c r="AO568">
        <v>3</v>
      </c>
    </row>
    <row r="569" spans="1:41" x14ac:dyDescent="0.3">
      <c r="A569" t="s">
        <v>605</v>
      </c>
      <c r="B569" s="8">
        <v>45891</v>
      </c>
      <c r="C569" s="2">
        <v>0.54791666666666672</v>
      </c>
      <c r="D569" t="s">
        <v>33</v>
      </c>
      <c r="E569" t="s">
        <v>16</v>
      </c>
      <c r="F569" t="s">
        <v>29</v>
      </c>
      <c r="G569">
        <v>2</v>
      </c>
      <c r="H569" s="6">
        <v>33709.050000000003</v>
      </c>
      <c r="I569" s="6">
        <v>1837.67</v>
      </c>
      <c r="J569">
        <v>16</v>
      </c>
      <c r="K569">
        <v>48</v>
      </c>
      <c r="L569" t="s">
        <v>18</v>
      </c>
      <c r="M569" t="s">
        <v>19</v>
      </c>
      <c r="N569">
        <v>4</v>
      </c>
      <c r="O569" s="4"/>
      <c r="P569" s="4" t="str">
        <f>IF(Data_Set_2[[#This Row],[valor_bruto]]&gt;$W$13,"OUTLIER+","")</f>
        <v/>
      </c>
      <c r="Q569" s="4" t="str">
        <f>IF(Data_Set_2[[#This Row],[valor_bruto]]&lt;$W$14,"OUTLIER-","")</f>
        <v/>
      </c>
      <c r="R569" s="4"/>
      <c r="S569" s="4"/>
      <c r="AB569" t="str">
        <v>RES-100567</v>
      </c>
      <c r="AC569">
        <v>45891</v>
      </c>
      <c r="AD569">
        <v>0.54791666666666672</v>
      </c>
      <c r="AE569" t="str">
        <v>Envigado</v>
      </c>
      <c r="AF569" t="str">
        <v>Mesa</v>
      </c>
      <c r="AG569" t="str">
        <v>Parrilla</v>
      </c>
      <c r="AH569">
        <v>2</v>
      </c>
      <c r="AI569">
        <v>33709.050000000003</v>
      </c>
      <c r="AJ569">
        <v>1837.67</v>
      </c>
      <c r="AK569">
        <v>16</v>
      </c>
      <c r="AL569">
        <v>48</v>
      </c>
      <c r="AM569" t="str">
        <v>Tarjeta</v>
      </c>
      <c r="AN569" t="str">
        <v>Entregada</v>
      </c>
      <c r="AO569">
        <v>4</v>
      </c>
    </row>
    <row r="570" spans="1:41" x14ac:dyDescent="0.3">
      <c r="A570" t="s">
        <v>606</v>
      </c>
      <c r="B570" s="8">
        <v>45892</v>
      </c>
      <c r="C570" s="2">
        <v>0.59444444444444444</v>
      </c>
      <c r="D570" t="s">
        <v>15</v>
      </c>
      <c r="E570" t="s">
        <v>22</v>
      </c>
      <c r="F570" t="s">
        <v>34</v>
      </c>
      <c r="G570">
        <v>5</v>
      </c>
      <c r="H570" s="6">
        <v>26329.35</v>
      </c>
      <c r="I570" s="6">
        <v>3562.55</v>
      </c>
      <c r="J570">
        <v>17</v>
      </c>
      <c r="K570">
        <v>36</v>
      </c>
      <c r="L570" t="s">
        <v>24</v>
      </c>
      <c r="M570" t="s">
        <v>25</v>
      </c>
      <c r="N570">
        <v>5</v>
      </c>
      <c r="O570" s="4"/>
      <c r="P570" s="4" t="str">
        <f>IF(Data_Set_2[[#This Row],[valor_bruto]]&gt;$W$13,"OUTLIER+","")</f>
        <v/>
      </c>
      <c r="Q570" s="4" t="str">
        <f>IF(Data_Set_2[[#This Row],[valor_bruto]]&lt;$W$14,"OUTLIER-","")</f>
        <v/>
      </c>
      <c r="R570" s="4"/>
      <c r="S570" s="4"/>
      <c r="AB570" t="str">
        <v>RES-100568</v>
      </c>
      <c r="AC570">
        <v>45892</v>
      </c>
      <c r="AD570">
        <v>0.59444444444444444</v>
      </c>
      <c r="AE570" t="str">
        <v>Laureles</v>
      </c>
      <c r="AF570" t="str">
        <v>Domicilio</v>
      </c>
      <c r="AG570" t="str">
        <v>Vegano</v>
      </c>
      <c r="AH570">
        <v>5</v>
      </c>
      <c r="AI570">
        <v>26329.35</v>
      </c>
      <c r="AJ570">
        <v>3562.55</v>
      </c>
      <c r="AK570">
        <v>17</v>
      </c>
      <c r="AL570">
        <v>36</v>
      </c>
      <c r="AM570" t="str">
        <v>Efectivo</v>
      </c>
      <c r="AN570" t="str">
        <v>Cancelada</v>
      </c>
      <c r="AO570">
        <v>5</v>
      </c>
    </row>
    <row r="571" spans="1:41" x14ac:dyDescent="0.3">
      <c r="A571" t="s">
        <v>607</v>
      </c>
      <c r="B571" s="8">
        <v>45893</v>
      </c>
      <c r="C571" s="2">
        <v>0.64097222222222228</v>
      </c>
      <c r="D571" t="s">
        <v>21</v>
      </c>
      <c r="E571" t="s">
        <v>28</v>
      </c>
      <c r="F571" t="s">
        <v>36</v>
      </c>
      <c r="G571">
        <v>2</v>
      </c>
      <c r="H571" s="6">
        <v>58044.03</v>
      </c>
      <c r="I571" s="6">
        <v>755.76</v>
      </c>
      <c r="J571">
        <v>23</v>
      </c>
      <c r="K571">
        <v>24</v>
      </c>
      <c r="L571" t="s">
        <v>30</v>
      </c>
      <c r="M571" t="s">
        <v>31</v>
      </c>
      <c r="N571">
        <v>3</v>
      </c>
      <c r="O571" s="4"/>
      <c r="P571" s="4" t="str">
        <f>IF(Data_Set_2[[#This Row],[valor_bruto]]&gt;$W$13,"OUTLIER+","")</f>
        <v/>
      </c>
      <c r="Q571" s="4" t="str">
        <f>IF(Data_Set_2[[#This Row],[valor_bruto]]&lt;$W$14,"OUTLIER-","")</f>
        <v/>
      </c>
      <c r="R571" s="4"/>
      <c r="S571" s="4"/>
      <c r="AB571" t="str">
        <v>RES-100569</v>
      </c>
      <c r="AC571">
        <v>45893</v>
      </c>
      <c r="AD571">
        <v>0.64097222222222228</v>
      </c>
      <c r="AE571" t="str">
        <v>Poblado</v>
      </c>
      <c r="AF571" t="str">
        <v>Recoge</v>
      </c>
      <c r="AG571" t="str">
        <v>Bebidas</v>
      </c>
      <c r="AH571">
        <v>2</v>
      </c>
      <c r="AI571">
        <v>58044.03</v>
      </c>
      <c r="AJ571">
        <v>755.76</v>
      </c>
      <c r="AK571">
        <v>23</v>
      </c>
      <c r="AL571">
        <v>24</v>
      </c>
      <c r="AM571" t="str">
        <v>App</v>
      </c>
      <c r="AN571" t="str">
        <v>Reembolsada</v>
      </c>
      <c r="AO571">
        <v>3</v>
      </c>
    </row>
    <row r="572" spans="1:41" x14ac:dyDescent="0.3">
      <c r="A572" t="s">
        <v>608</v>
      </c>
      <c r="B572" s="8">
        <v>45894</v>
      </c>
      <c r="C572" s="2">
        <v>0.6875</v>
      </c>
      <c r="D572" t="s">
        <v>27</v>
      </c>
      <c r="E572" t="s">
        <v>16</v>
      </c>
      <c r="F572" t="s">
        <v>17</v>
      </c>
      <c r="G572">
        <v>3</v>
      </c>
      <c r="H572" s="6">
        <v>38120.230000000003</v>
      </c>
      <c r="I572" s="6">
        <v>2783.93</v>
      </c>
      <c r="J572">
        <v>19</v>
      </c>
      <c r="K572">
        <v>32</v>
      </c>
      <c r="L572" t="s">
        <v>18</v>
      </c>
      <c r="M572" t="s">
        <v>19</v>
      </c>
      <c r="N572">
        <v>4</v>
      </c>
      <c r="O572" s="4"/>
      <c r="P572" s="4" t="str">
        <f>IF(Data_Set_2[[#This Row],[valor_bruto]]&gt;$W$13,"OUTLIER+","")</f>
        <v/>
      </c>
      <c r="Q572" s="4" t="str">
        <f>IF(Data_Set_2[[#This Row],[valor_bruto]]&lt;$W$14,"OUTLIER-","")</f>
        <v/>
      </c>
      <c r="R572" s="4"/>
      <c r="S572" s="4"/>
      <c r="AB572" t="str">
        <v>RES-100570</v>
      </c>
      <c r="AC572">
        <v>45894</v>
      </c>
      <c r="AD572">
        <v>0.6875</v>
      </c>
      <c r="AE572" t="str">
        <v>Centro</v>
      </c>
      <c r="AF572" t="str">
        <v>Mesa</v>
      </c>
      <c r="AG572" t="str">
        <v>Comida rapida</v>
      </c>
      <c r="AH572">
        <v>3</v>
      </c>
      <c r="AI572">
        <v>38120.230000000003</v>
      </c>
      <c r="AJ572">
        <v>2783.93</v>
      </c>
      <c r="AK572">
        <v>19</v>
      </c>
      <c r="AL572">
        <v>32</v>
      </c>
      <c r="AM572" t="str">
        <v>Tarjeta</v>
      </c>
      <c r="AN572" t="str">
        <v>Entregada</v>
      </c>
      <c r="AO572">
        <v>4</v>
      </c>
    </row>
    <row r="573" spans="1:41" x14ac:dyDescent="0.3">
      <c r="A573" t="s">
        <v>609</v>
      </c>
      <c r="B573" s="8">
        <v>45895</v>
      </c>
      <c r="C573" s="2">
        <v>0.73402777777777772</v>
      </c>
      <c r="D573" t="s">
        <v>33</v>
      </c>
      <c r="E573" t="s">
        <v>22</v>
      </c>
      <c r="F573" t="s">
        <v>23</v>
      </c>
      <c r="G573">
        <v>2</v>
      </c>
      <c r="H573" s="6">
        <v>64650.09</v>
      </c>
      <c r="I573" s="6">
        <v>2801.41</v>
      </c>
      <c r="J573">
        <v>24</v>
      </c>
      <c r="K573">
        <v>48</v>
      </c>
      <c r="L573" t="s">
        <v>24</v>
      </c>
      <c r="M573" t="s">
        <v>25</v>
      </c>
      <c r="N573">
        <v>3</v>
      </c>
      <c r="O573" s="4"/>
      <c r="P573" s="4" t="str">
        <f>IF(Data_Set_2[[#This Row],[valor_bruto]]&gt;$W$13,"OUTLIER+","")</f>
        <v/>
      </c>
      <c r="Q573" s="4" t="str">
        <f>IF(Data_Set_2[[#This Row],[valor_bruto]]&lt;$W$14,"OUTLIER-","")</f>
        <v/>
      </c>
      <c r="R573" s="4"/>
      <c r="S573" s="4"/>
      <c r="AB573" t="str">
        <v>RES-100571</v>
      </c>
      <c r="AC573">
        <v>45895</v>
      </c>
      <c r="AD573">
        <v>0.73402777777777772</v>
      </c>
      <c r="AE573" t="str">
        <v>Envigado</v>
      </c>
      <c r="AF573" t="str">
        <v>Domicilio</v>
      </c>
      <c r="AG573" t="str">
        <v>Pasta</v>
      </c>
      <c r="AH573">
        <v>2</v>
      </c>
      <c r="AI573">
        <v>64650.09</v>
      </c>
      <c r="AJ573">
        <v>2801.41</v>
      </c>
      <c r="AK573">
        <v>24</v>
      </c>
      <c r="AL573">
        <v>48</v>
      </c>
      <c r="AM573" t="str">
        <v>Efectivo</v>
      </c>
      <c r="AN573" t="str">
        <v>Cancelada</v>
      </c>
      <c r="AO573">
        <v>3</v>
      </c>
    </row>
    <row r="574" spans="1:41" x14ac:dyDescent="0.3">
      <c r="A574" t="s">
        <v>610</v>
      </c>
      <c r="B574" s="8">
        <v>45896</v>
      </c>
      <c r="C574" s="2">
        <v>0.78055555555555556</v>
      </c>
      <c r="D574" t="s">
        <v>15</v>
      </c>
      <c r="E574" t="s">
        <v>28</v>
      </c>
      <c r="F574" t="s">
        <v>29</v>
      </c>
      <c r="G574">
        <v>5</v>
      </c>
      <c r="H574" s="6">
        <v>48238.3</v>
      </c>
      <c r="I574" s="6">
        <v>7648.53</v>
      </c>
      <c r="J574">
        <v>29</v>
      </c>
      <c r="K574">
        <v>35</v>
      </c>
      <c r="L574" t="s">
        <v>30</v>
      </c>
      <c r="M574" t="s">
        <v>31</v>
      </c>
      <c r="N574">
        <v>5</v>
      </c>
      <c r="O574" s="4"/>
      <c r="P574" s="4" t="str">
        <f>IF(Data_Set_2[[#This Row],[valor_bruto]]&gt;$W$13,"OUTLIER+","")</f>
        <v/>
      </c>
      <c r="Q574" s="4" t="str">
        <f>IF(Data_Set_2[[#This Row],[valor_bruto]]&lt;$W$14,"OUTLIER-","")</f>
        <v/>
      </c>
      <c r="R574" s="4"/>
      <c r="S574" s="4"/>
      <c r="AB574" t="str">
        <v>RES-100572</v>
      </c>
      <c r="AC574">
        <v>45896</v>
      </c>
      <c r="AD574">
        <v>0.78055555555555556</v>
      </c>
      <c r="AE574" t="str">
        <v>Laureles</v>
      </c>
      <c r="AF574" t="str">
        <v>Recoge</v>
      </c>
      <c r="AG574" t="str">
        <v>Parrilla</v>
      </c>
      <c r="AH574">
        <v>5</v>
      </c>
      <c r="AI574">
        <v>48238.3</v>
      </c>
      <c r="AJ574">
        <v>7648.53</v>
      </c>
      <c r="AK574">
        <v>29</v>
      </c>
      <c r="AL574">
        <v>35</v>
      </c>
      <c r="AM574" t="str">
        <v>App</v>
      </c>
      <c r="AN574" t="str">
        <v>Reembolsada</v>
      </c>
      <c r="AO574">
        <v>5</v>
      </c>
    </row>
    <row r="575" spans="1:41" x14ac:dyDescent="0.3">
      <c r="A575" t="s">
        <v>611</v>
      </c>
      <c r="B575" s="8">
        <v>45897</v>
      </c>
      <c r="C575" s="2">
        <v>0.82708333333333328</v>
      </c>
      <c r="D575" t="s">
        <v>21</v>
      </c>
      <c r="E575" t="s">
        <v>16</v>
      </c>
      <c r="F575" t="s">
        <v>34</v>
      </c>
      <c r="G575">
        <v>4</v>
      </c>
      <c r="H575" s="6">
        <v>43505.06</v>
      </c>
      <c r="I575" s="6">
        <v>1824.14</v>
      </c>
      <c r="J575">
        <v>26</v>
      </c>
      <c r="K575">
        <v>26</v>
      </c>
      <c r="L575" t="s">
        <v>18</v>
      </c>
      <c r="M575" t="s">
        <v>19</v>
      </c>
      <c r="N575">
        <v>3</v>
      </c>
      <c r="O575" s="4"/>
      <c r="P575" s="4" t="str">
        <f>IF(Data_Set_2[[#This Row],[valor_bruto]]&gt;$W$13,"OUTLIER+","")</f>
        <v/>
      </c>
      <c r="Q575" s="4" t="str">
        <f>IF(Data_Set_2[[#This Row],[valor_bruto]]&lt;$W$14,"OUTLIER-","")</f>
        <v/>
      </c>
      <c r="R575" s="4"/>
      <c r="S575" s="4"/>
      <c r="AB575" t="str">
        <v>RES-100573</v>
      </c>
      <c r="AC575">
        <v>45897</v>
      </c>
      <c r="AD575">
        <v>0.82708333333333328</v>
      </c>
      <c r="AE575" t="str">
        <v>Poblado</v>
      </c>
      <c r="AF575" t="str">
        <v>Mesa</v>
      </c>
      <c r="AG575" t="str">
        <v>Vegano</v>
      </c>
      <c r="AH575">
        <v>4</v>
      </c>
      <c r="AI575">
        <v>43505.06</v>
      </c>
      <c r="AJ575">
        <v>1824.14</v>
      </c>
      <c r="AK575">
        <v>26</v>
      </c>
      <c r="AL575">
        <v>26</v>
      </c>
      <c r="AM575" t="str">
        <v>Tarjeta</v>
      </c>
      <c r="AN575" t="str">
        <v>Entregada</v>
      </c>
      <c r="AO575">
        <v>3</v>
      </c>
    </row>
    <row r="576" spans="1:41" x14ac:dyDescent="0.3">
      <c r="A576" t="s">
        <v>612</v>
      </c>
      <c r="B576" s="8">
        <v>45898</v>
      </c>
      <c r="C576" s="2">
        <v>0.87361111111111112</v>
      </c>
      <c r="D576" t="s">
        <v>27</v>
      </c>
      <c r="E576" t="s">
        <v>22</v>
      </c>
      <c r="F576" t="s">
        <v>36</v>
      </c>
      <c r="G576">
        <v>3</v>
      </c>
      <c r="H576" s="6">
        <v>28177.11</v>
      </c>
      <c r="I576" s="6">
        <v>3042.8</v>
      </c>
      <c r="J576">
        <v>22</v>
      </c>
      <c r="K576">
        <v>37</v>
      </c>
      <c r="L576" t="s">
        <v>24</v>
      </c>
      <c r="M576" t="s">
        <v>25</v>
      </c>
      <c r="N576">
        <v>5</v>
      </c>
      <c r="O576" s="4"/>
      <c r="P576" s="4" t="str">
        <f>IF(Data_Set_2[[#This Row],[valor_bruto]]&gt;$W$13,"OUTLIER+","")</f>
        <v/>
      </c>
      <c r="Q576" s="4" t="str">
        <f>IF(Data_Set_2[[#This Row],[valor_bruto]]&lt;$W$14,"OUTLIER-","")</f>
        <v/>
      </c>
      <c r="R576" s="4"/>
      <c r="S576" s="4"/>
      <c r="AB576" t="str">
        <v>RES-100574</v>
      </c>
      <c r="AC576">
        <v>45898</v>
      </c>
      <c r="AD576">
        <v>0.87361111111111112</v>
      </c>
      <c r="AE576" t="str">
        <v>Centro</v>
      </c>
      <c r="AF576" t="str">
        <v>Domicilio</v>
      </c>
      <c r="AG576" t="str">
        <v>Bebidas</v>
      </c>
      <c r="AH576">
        <v>3</v>
      </c>
      <c r="AI576">
        <v>28177.11</v>
      </c>
      <c r="AJ576">
        <v>3042.8</v>
      </c>
      <c r="AK576">
        <v>22</v>
      </c>
      <c r="AL576">
        <v>37</v>
      </c>
      <c r="AM576" t="str">
        <v>Efectivo</v>
      </c>
      <c r="AN576" t="str">
        <v>Cancelada</v>
      </c>
      <c r="AO576">
        <v>5</v>
      </c>
    </row>
    <row r="577" spans="1:41" x14ac:dyDescent="0.3">
      <c r="A577" t="s">
        <v>613</v>
      </c>
      <c r="B577" s="8">
        <v>45899</v>
      </c>
      <c r="C577" s="2">
        <v>0.87847222222222221</v>
      </c>
      <c r="D577" t="s">
        <v>33</v>
      </c>
      <c r="E577" t="s">
        <v>28</v>
      </c>
      <c r="F577" t="s">
        <v>17</v>
      </c>
      <c r="G577">
        <v>4</v>
      </c>
      <c r="H577" s="6">
        <v>64514.25</v>
      </c>
      <c r="I577" s="6">
        <v>6168.58</v>
      </c>
      <c r="J577">
        <v>18</v>
      </c>
      <c r="K577">
        <v>42</v>
      </c>
      <c r="L577" t="s">
        <v>30</v>
      </c>
      <c r="M577" t="s">
        <v>31</v>
      </c>
      <c r="N577">
        <f>VLOOKUP(Data_Set_2[[#This Row],[estado]],M2:N576,2,0)</f>
        <v>5</v>
      </c>
      <c r="O577" s="4"/>
      <c r="P577" s="4" t="str">
        <f>IF(Data_Set_2[[#This Row],[valor_bruto]]&gt;$W$13,"OUTLIER+","")</f>
        <v/>
      </c>
      <c r="Q577" s="4" t="str">
        <f>IF(Data_Set_2[[#This Row],[valor_bruto]]&lt;$W$14,"OUTLIER-","")</f>
        <v/>
      </c>
      <c r="R577" s="4"/>
      <c r="S577" s="4"/>
      <c r="AB577" t="str">
        <v>RES-100575</v>
      </c>
      <c r="AC577">
        <v>45899</v>
      </c>
      <c r="AD577">
        <v>0.87847222222222221</v>
      </c>
      <c r="AE577" t="str">
        <v>Envigado</v>
      </c>
      <c r="AF577" t="str">
        <v>Recoge</v>
      </c>
      <c r="AG577" t="str">
        <v>Comida rapida</v>
      </c>
      <c r="AH577">
        <v>4</v>
      </c>
      <c r="AI577">
        <v>64514.25</v>
      </c>
      <c r="AJ577">
        <v>6168.58</v>
      </c>
      <c r="AK577">
        <v>18</v>
      </c>
      <c r="AL577">
        <v>42</v>
      </c>
      <c r="AM577" t="str">
        <v>App</v>
      </c>
      <c r="AN577" t="str">
        <v>Reembolsada</v>
      </c>
      <c r="AO577">
        <v>5</v>
      </c>
    </row>
    <row r="578" spans="1:41" x14ac:dyDescent="0.3">
      <c r="A578" t="s">
        <v>614</v>
      </c>
      <c r="B578" s="8">
        <v>45900</v>
      </c>
      <c r="C578" s="2">
        <v>0.42499999999999999</v>
      </c>
      <c r="D578" t="s">
        <v>15</v>
      </c>
      <c r="E578" t="s">
        <v>16</v>
      </c>
      <c r="F578" t="s">
        <v>23</v>
      </c>
      <c r="G578">
        <v>3</v>
      </c>
      <c r="H578" s="6">
        <v>58928.37</v>
      </c>
      <c r="I578" s="6">
        <v>6512.68</v>
      </c>
      <c r="J578">
        <v>25</v>
      </c>
      <c r="K578">
        <v>31</v>
      </c>
      <c r="L578" t="s">
        <v>18</v>
      </c>
      <c r="M578" t="s">
        <v>19</v>
      </c>
      <c r="N578">
        <v>3</v>
      </c>
      <c r="O578" s="4"/>
      <c r="P578" s="4" t="str">
        <f>IF(Data_Set_2[[#This Row],[valor_bruto]]&gt;$W$13,"OUTLIER+","")</f>
        <v/>
      </c>
      <c r="Q578" s="4" t="str">
        <f>IF(Data_Set_2[[#This Row],[valor_bruto]]&lt;$W$14,"OUTLIER-","")</f>
        <v/>
      </c>
      <c r="R578" s="4"/>
      <c r="S578" s="4"/>
      <c r="AB578" t="str">
        <v>RES-100576</v>
      </c>
      <c r="AC578">
        <v>45900</v>
      </c>
      <c r="AD578">
        <v>0.42499999999999999</v>
      </c>
      <c r="AE578" t="str">
        <v>Laureles</v>
      </c>
      <c r="AF578" t="str">
        <v>Mesa</v>
      </c>
      <c r="AG578" t="str">
        <v>Pasta</v>
      </c>
      <c r="AH578">
        <v>3</v>
      </c>
      <c r="AI578">
        <v>58928.37</v>
      </c>
      <c r="AJ578">
        <v>6512.68</v>
      </c>
      <c r="AK578">
        <v>25</v>
      </c>
      <c r="AL578">
        <v>31</v>
      </c>
      <c r="AM578" t="str">
        <v>Tarjeta</v>
      </c>
      <c r="AN578" t="str">
        <v>Entregada</v>
      </c>
      <c r="AO578">
        <v>3</v>
      </c>
    </row>
    <row r="579" spans="1:41" x14ac:dyDescent="0.3">
      <c r="A579" t="s">
        <v>615</v>
      </c>
      <c r="B579" s="8">
        <v>45901</v>
      </c>
      <c r="C579" s="2">
        <v>0.47152777777777777</v>
      </c>
      <c r="D579" t="s">
        <v>21</v>
      </c>
      <c r="E579" t="s">
        <v>22</v>
      </c>
      <c r="F579" t="s">
        <v>29</v>
      </c>
      <c r="G579">
        <v>3</v>
      </c>
      <c r="H579" s="6">
        <v>68696.39</v>
      </c>
      <c r="I579" s="6">
        <v>5626.54</v>
      </c>
      <c r="J579">
        <v>13</v>
      </c>
      <c r="K579">
        <v>44</v>
      </c>
      <c r="L579" t="s">
        <v>24</v>
      </c>
      <c r="M579" t="s">
        <v>25</v>
      </c>
      <c r="N579">
        <v>5</v>
      </c>
      <c r="O579" s="4"/>
      <c r="P579" s="4" t="str">
        <f>IF(Data_Set_2[[#This Row],[valor_bruto]]&gt;$W$13,"OUTLIER+","")</f>
        <v/>
      </c>
      <c r="Q579" s="4" t="str">
        <f>IF(Data_Set_2[[#This Row],[valor_bruto]]&lt;$W$14,"OUTLIER-","")</f>
        <v/>
      </c>
      <c r="R579" s="4"/>
      <c r="S579" s="4"/>
      <c r="AB579" t="str">
        <v>RES-100577</v>
      </c>
      <c r="AC579">
        <v>45901</v>
      </c>
      <c r="AD579">
        <v>0.47152777777777777</v>
      </c>
      <c r="AE579" t="str">
        <v>Poblado</v>
      </c>
      <c r="AF579" t="str">
        <v>Domicilio</v>
      </c>
      <c r="AG579" t="str">
        <v>Parrilla</v>
      </c>
      <c r="AH579">
        <v>3</v>
      </c>
      <c r="AI579">
        <v>68696.39</v>
      </c>
      <c r="AJ579">
        <v>5626.54</v>
      </c>
      <c r="AK579">
        <v>13</v>
      </c>
      <c r="AL579">
        <v>44</v>
      </c>
      <c r="AM579" t="str">
        <v>Efectivo</v>
      </c>
      <c r="AN579" t="str">
        <v>Cancelada</v>
      </c>
      <c r="AO579">
        <v>5</v>
      </c>
    </row>
    <row r="580" spans="1:41" x14ac:dyDescent="0.3">
      <c r="A580" t="s">
        <v>616</v>
      </c>
      <c r="B580" s="8">
        <v>45697</v>
      </c>
      <c r="C580" s="2">
        <v>0.5180555555555556</v>
      </c>
      <c r="D580" t="s">
        <v>27</v>
      </c>
      <c r="E580" t="s">
        <v>28</v>
      </c>
      <c r="F580" t="s">
        <v>34</v>
      </c>
      <c r="G580">
        <v>3</v>
      </c>
      <c r="H580" s="6">
        <v>69329.710000000006</v>
      </c>
      <c r="I580" s="6">
        <v>3773.08</v>
      </c>
      <c r="J580">
        <v>27</v>
      </c>
      <c r="K580">
        <v>52</v>
      </c>
      <c r="L580" t="s">
        <v>30</v>
      </c>
      <c r="M580" t="s">
        <v>31</v>
      </c>
      <c r="N580">
        <v>3</v>
      </c>
      <c r="O580" s="4"/>
      <c r="P580" s="4" t="str">
        <f>IF(Data_Set_2[[#This Row],[valor_bruto]]&gt;$W$13,"OUTLIER+","")</f>
        <v/>
      </c>
      <c r="Q580" s="4" t="str">
        <f>IF(Data_Set_2[[#This Row],[valor_bruto]]&lt;$W$14,"OUTLIER-","")</f>
        <v/>
      </c>
      <c r="R580" s="4"/>
      <c r="S580" s="4"/>
      <c r="AB580" t="str">
        <v>RES-100578</v>
      </c>
      <c r="AC580">
        <v>45697</v>
      </c>
      <c r="AD580">
        <v>0.5180555555555556</v>
      </c>
      <c r="AE580" t="str">
        <v>Centro</v>
      </c>
      <c r="AF580" t="str">
        <v>Recoge</v>
      </c>
      <c r="AG580" t="str">
        <v>Vegano</v>
      </c>
      <c r="AH580">
        <v>3</v>
      </c>
      <c r="AI580">
        <v>69329.710000000006</v>
      </c>
      <c r="AJ580">
        <v>3773.08</v>
      </c>
      <c r="AK580">
        <v>27</v>
      </c>
      <c r="AL580">
        <v>52</v>
      </c>
      <c r="AM580" t="str">
        <v>App</v>
      </c>
      <c r="AN580" t="str">
        <v>Reembolsada</v>
      </c>
      <c r="AO580">
        <v>3</v>
      </c>
    </row>
    <row r="581" spans="1:41" x14ac:dyDescent="0.3">
      <c r="A581" t="s">
        <v>617</v>
      </c>
      <c r="B581" s="8">
        <v>45903</v>
      </c>
      <c r="C581" s="2">
        <v>0.56458333333333333</v>
      </c>
      <c r="D581" t="s">
        <v>33</v>
      </c>
      <c r="E581" t="s">
        <v>16</v>
      </c>
      <c r="F581" t="s">
        <v>36</v>
      </c>
      <c r="G581">
        <v>6</v>
      </c>
      <c r="H581" s="6">
        <v>27136.959999999999</v>
      </c>
      <c r="I581" s="6">
        <v>7336.07</v>
      </c>
      <c r="J581">
        <v>24</v>
      </c>
      <c r="K581">
        <v>45</v>
      </c>
      <c r="L581" t="s">
        <v>18</v>
      </c>
      <c r="M581" t="s">
        <v>19</v>
      </c>
      <c r="N581">
        <v>3</v>
      </c>
      <c r="O581" s="4"/>
      <c r="P581" s="4" t="str">
        <f>IF(Data_Set_2[[#This Row],[valor_bruto]]&gt;$W$13,"OUTLIER+","")</f>
        <v/>
      </c>
      <c r="Q581" s="4" t="str">
        <f>IF(Data_Set_2[[#This Row],[valor_bruto]]&lt;$W$14,"OUTLIER-","")</f>
        <v/>
      </c>
      <c r="R581" s="4"/>
      <c r="S581" s="4"/>
      <c r="AB581" t="str">
        <v>RES-100579</v>
      </c>
      <c r="AC581">
        <v>45903</v>
      </c>
      <c r="AD581">
        <v>0.56458333333333333</v>
      </c>
      <c r="AE581" t="str">
        <v>Envigado</v>
      </c>
      <c r="AF581" t="str">
        <v>Mesa</v>
      </c>
      <c r="AG581" t="str">
        <v>Bebidas</v>
      </c>
      <c r="AH581">
        <v>6</v>
      </c>
      <c r="AI581">
        <v>27136.959999999999</v>
      </c>
      <c r="AJ581">
        <v>7336.07</v>
      </c>
      <c r="AK581">
        <v>24</v>
      </c>
      <c r="AL581">
        <v>45</v>
      </c>
      <c r="AM581" t="str">
        <v>Tarjeta</v>
      </c>
      <c r="AN581" t="str">
        <v>Entregada</v>
      </c>
      <c r="AO581">
        <v>3</v>
      </c>
    </row>
    <row r="582" spans="1:41" x14ac:dyDescent="0.3">
      <c r="A582" t="s">
        <v>618</v>
      </c>
      <c r="B582" s="8">
        <v>45904</v>
      </c>
      <c r="C582" s="2">
        <v>0.61111111111111116</v>
      </c>
      <c r="D582" t="s">
        <v>15</v>
      </c>
      <c r="E582" t="s">
        <v>22</v>
      </c>
      <c r="F582" t="s">
        <v>17</v>
      </c>
      <c r="G582">
        <v>5</v>
      </c>
      <c r="H582" s="6">
        <v>66845</v>
      </c>
      <c r="I582" s="6">
        <v>6387.09</v>
      </c>
      <c r="J582">
        <v>17</v>
      </c>
      <c r="K582">
        <v>46</v>
      </c>
      <c r="L582" t="s">
        <v>24</v>
      </c>
      <c r="M582" t="s">
        <v>25</v>
      </c>
      <c r="N582">
        <v>3</v>
      </c>
      <c r="O582" s="4"/>
      <c r="P582" s="4" t="str">
        <f>IF(Data_Set_2[[#This Row],[valor_bruto]]&gt;$W$13,"OUTLIER+","")</f>
        <v/>
      </c>
      <c r="Q582" s="4" t="str">
        <f>IF(Data_Set_2[[#This Row],[valor_bruto]]&lt;$W$14,"OUTLIER-","")</f>
        <v/>
      </c>
      <c r="R582" s="4"/>
      <c r="S582" s="4"/>
      <c r="AB582" t="str">
        <v>RES-100580</v>
      </c>
      <c r="AC582">
        <v>45904</v>
      </c>
      <c r="AD582">
        <v>0.61111111111111116</v>
      </c>
      <c r="AE582" t="str">
        <v>Laureles</v>
      </c>
      <c r="AF582" t="str">
        <v>Domicilio</v>
      </c>
      <c r="AG582" t="str">
        <v>Comida rapida</v>
      </c>
      <c r="AH582">
        <v>5</v>
      </c>
      <c r="AI582">
        <v>66845</v>
      </c>
      <c r="AJ582">
        <v>6387.09</v>
      </c>
      <c r="AK582">
        <v>17</v>
      </c>
      <c r="AL582">
        <v>46</v>
      </c>
      <c r="AM582" t="str">
        <v>Efectivo</v>
      </c>
      <c r="AN582" t="str">
        <v>Cancelada</v>
      </c>
      <c r="AO582">
        <v>3</v>
      </c>
    </row>
    <row r="583" spans="1:41" x14ac:dyDescent="0.3">
      <c r="A583" t="s">
        <v>619</v>
      </c>
      <c r="B583" s="8">
        <v>45786</v>
      </c>
      <c r="C583" s="2">
        <v>0.65763888888888888</v>
      </c>
      <c r="D583" t="s">
        <v>21</v>
      </c>
      <c r="E583" t="s">
        <v>28</v>
      </c>
      <c r="F583" t="s">
        <v>23</v>
      </c>
      <c r="G583">
        <v>4</v>
      </c>
      <c r="H583" s="6">
        <v>46951.35</v>
      </c>
      <c r="I583" s="6">
        <v>6921.85</v>
      </c>
      <c r="J583">
        <v>21</v>
      </c>
      <c r="K583">
        <v>33</v>
      </c>
      <c r="L583" t="s">
        <v>30</v>
      </c>
      <c r="M583" t="s">
        <v>31</v>
      </c>
      <c r="N583">
        <v>4</v>
      </c>
      <c r="O583" s="4"/>
      <c r="P583" s="4" t="str">
        <f>IF(Data_Set_2[[#This Row],[valor_bruto]]&gt;$W$13,"OUTLIER+","")</f>
        <v/>
      </c>
      <c r="Q583" s="4" t="str">
        <f>IF(Data_Set_2[[#This Row],[valor_bruto]]&lt;$W$14,"OUTLIER-","")</f>
        <v/>
      </c>
      <c r="R583" s="4"/>
      <c r="S583" s="4"/>
      <c r="AB583" t="str">
        <v>RES-100581</v>
      </c>
      <c r="AC583">
        <v>45786</v>
      </c>
      <c r="AD583">
        <v>0.65763888888888888</v>
      </c>
      <c r="AE583" t="str">
        <v>Poblado</v>
      </c>
      <c r="AF583" t="str">
        <v>Recoge</v>
      </c>
      <c r="AG583" t="str">
        <v>Pasta</v>
      </c>
      <c r="AH583">
        <v>4</v>
      </c>
      <c r="AI583">
        <v>46951.35</v>
      </c>
      <c r="AJ583">
        <v>6921.85</v>
      </c>
      <c r="AK583">
        <v>21</v>
      </c>
      <c r="AL583">
        <v>33</v>
      </c>
      <c r="AM583" t="str">
        <v>App</v>
      </c>
      <c r="AN583" t="str">
        <v>Reembolsada</v>
      </c>
      <c r="AO583">
        <v>4</v>
      </c>
    </row>
    <row r="584" spans="1:41" x14ac:dyDescent="0.3">
      <c r="A584" t="s">
        <v>620</v>
      </c>
      <c r="B584" s="8">
        <v>45906</v>
      </c>
      <c r="C584" s="2">
        <v>0.70416666666666672</v>
      </c>
      <c r="D584" t="s">
        <v>27</v>
      </c>
      <c r="E584" t="s">
        <v>16</v>
      </c>
      <c r="F584" t="s">
        <v>29</v>
      </c>
      <c r="G584">
        <v>5</v>
      </c>
      <c r="H584" s="6">
        <v>69260.789999999994</v>
      </c>
      <c r="I584" s="6">
        <v>5972.13</v>
      </c>
      <c r="J584">
        <v>28</v>
      </c>
      <c r="K584">
        <v>48</v>
      </c>
      <c r="L584" t="s">
        <v>18</v>
      </c>
      <c r="M584" t="s">
        <v>19</v>
      </c>
      <c r="N584">
        <v>4</v>
      </c>
      <c r="O584" s="4"/>
      <c r="P584" s="4" t="str">
        <f>IF(Data_Set_2[[#This Row],[valor_bruto]]&gt;$W$13,"OUTLIER+","")</f>
        <v/>
      </c>
      <c r="Q584" s="4" t="str">
        <f>IF(Data_Set_2[[#This Row],[valor_bruto]]&lt;$W$14,"OUTLIER-","")</f>
        <v/>
      </c>
      <c r="R584" s="4"/>
      <c r="S584" s="4"/>
      <c r="AB584" t="str">
        <v>RES-100582</v>
      </c>
      <c r="AC584">
        <v>45906</v>
      </c>
      <c r="AD584">
        <v>0.70416666666666672</v>
      </c>
      <c r="AE584" t="str">
        <v>Centro</v>
      </c>
      <c r="AF584" t="str">
        <v>Mesa</v>
      </c>
      <c r="AG584" t="str">
        <v>Parrilla</v>
      </c>
      <c r="AH584">
        <v>5</v>
      </c>
      <c r="AI584">
        <v>69260.789999999994</v>
      </c>
      <c r="AJ584">
        <v>5972.13</v>
      </c>
      <c r="AK584">
        <v>28</v>
      </c>
      <c r="AL584">
        <v>48</v>
      </c>
      <c r="AM584" t="str">
        <v>Tarjeta</v>
      </c>
      <c r="AN584" t="str">
        <v>Entregada</v>
      </c>
      <c r="AO584">
        <v>4</v>
      </c>
    </row>
    <row r="585" spans="1:41" x14ac:dyDescent="0.3">
      <c r="A585" t="s">
        <v>621</v>
      </c>
      <c r="B585" s="8">
        <v>45907</v>
      </c>
      <c r="C585" s="2">
        <v>0.70902777777777781</v>
      </c>
      <c r="D585" t="s">
        <v>33</v>
      </c>
      <c r="E585" t="s">
        <v>22</v>
      </c>
      <c r="F585" t="s">
        <v>34</v>
      </c>
      <c r="G585">
        <v>5</v>
      </c>
      <c r="H585" s="6">
        <v>38293.769999999997</v>
      </c>
      <c r="I585" s="6">
        <v>1398.14</v>
      </c>
      <c r="J585">
        <v>28</v>
      </c>
      <c r="K585">
        <v>29</v>
      </c>
      <c r="L585" t="s">
        <v>24</v>
      </c>
      <c r="M585" t="s">
        <v>25</v>
      </c>
      <c r="N585">
        <v>3</v>
      </c>
      <c r="O585" s="4"/>
      <c r="P585" s="4" t="str">
        <f>IF(Data_Set_2[[#This Row],[valor_bruto]]&gt;$W$13,"OUTLIER+","")</f>
        <v/>
      </c>
      <c r="Q585" s="4" t="str">
        <f>IF(Data_Set_2[[#This Row],[valor_bruto]]&lt;$W$14,"OUTLIER-","")</f>
        <v/>
      </c>
      <c r="R585" s="4"/>
      <c r="S585" s="4"/>
      <c r="AB585" t="str">
        <v>RES-100583</v>
      </c>
      <c r="AC585">
        <v>45907</v>
      </c>
      <c r="AD585">
        <v>0.70902777777777781</v>
      </c>
      <c r="AE585" t="str">
        <v>Envigado</v>
      </c>
      <c r="AF585" t="str">
        <v>Domicilio</v>
      </c>
      <c r="AG585" t="str">
        <v>Vegano</v>
      </c>
      <c r="AH585">
        <v>5</v>
      </c>
      <c r="AI585">
        <v>38293.769999999997</v>
      </c>
      <c r="AJ585">
        <v>1398.14</v>
      </c>
      <c r="AK585">
        <v>28</v>
      </c>
      <c r="AL585">
        <v>29</v>
      </c>
      <c r="AM585" t="str">
        <v>Efectivo</v>
      </c>
      <c r="AN585" t="str">
        <v>Cancelada</v>
      </c>
      <c r="AO585">
        <v>3</v>
      </c>
    </row>
    <row r="586" spans="1:41" x14ac:dyDescent="0.3">
      <c r="A586" t="s">
        <v>622</v>
      </c>
      <c r="B586" s="8">
        <v>45878</v>
      </c>
      <c r="C586" s="2">
        <v>0.75555555555555554</v>
      </c>
      <c r="D586" t="s">
        <v>15</v>
      </c>
      <c r="E586" t="s">
        <v>28</v>
      </c>
      <c r="F586" t="s">
        <v>36</v>
      </c>
      <c r="G586">
        <v>2</v>
      </c>
      <c r="H586" s="6">
        <v>52384.639999999999</v>
      </c>
      <c r="I586" s="6">
        <v>4626.45</v>
      </c>
      <c r="J586">
        <v>17</v>
      </c>
      <c r="K586">
        <v>29</v>
      </c>
      <c r="L586" t="s">
        <v>30</v>
      </c>
      <c r="M586" t="s">
        <v>31</v>
      </c>
      <c r="N586">
        <v>3</v>
      </c>
      <c r="O586" s="4"/>
      <c r="P586" s="4" t="str">
        <f>IF(Data_Set_2[[#This Row],[valor_bruto]]&gt;$W$13,"OUTLIER+","")</f>
        <v/>
      </c>
      <c r="Q586" s="4" t="str">
        <f>IF(Data_Set_2[[#This Row],[valor_bruto]]&lt;$W$14,"OUTLIER-","")</f>
        <v/>
      </c>
      <c r="R586" s="4"/>
      <c r="S586" s="4"/>
      <c r="AB586" t="str">
        <v>RES-100584</v>
      </c>
      <c r="AC586">
        <v>45878</v>
      </c>
      <c r="AD586">
        <v>0.75555555555555554</v>
      </c>
      <c r="AE586" t="str">
        <v>Laureles</v>
      </c>
      <c r="AF586" t="str">
        <v>Recoge</v>
      </c>
      <c r="AG586" t="str">
        <v>Bebidas</v>
      </c>
      <c r="AH586">
        <v>2</v>
      </c>
      <c r="AI586">
        <v>52384.639999999999</v>
      </c>
      <c r="AJ586">
        <v>4626.45</v>
      </c>
      <c r="AK586">
        <v>17</v>
      </c>
      <c r="AL586">
        <v>29</v>
      </c>
      <c r="AM586" t="str">
        <v>App</v>
      </c>
      <c r="AN586" t="str">
        <v>Reembolsada</v>
      </c>
      <c r="AO586">
        <v>3</v>
      </c>
    </row>
    <row r="587" spans="1:41" x14ac:dyDescent="0.3">
      <c r="A587" t="s">
        <v>623</v>
      </c>
      <c r="B587" s="8">
        <v>45909</v>
      </c>
      <c r="C587" s="2">
        <v>0.80208333333333337</v>
      </c>
      <c r="D587" t="s">
        <v>21</v>
      </c>
      <c r="E587" t="s">
        <v>16</v>
      </c>
      <c r="F587" t="s">
        <v>17</v>
      </c>
      <c r="G587">
        <v>3</v>
      </c>
      <c r="H587" s="6">
        <v>51459.45</v>
      </c>
      <c r="I587" s="6">
        <v>8114.99</v>
      </c>
      <c r="J587">
        <v>30</v>
      </c>
      <c r="K587">
        <v>44</v>
      </c>
      <c r="L587" t="s">
        <v>18</v>
      </c>
      <c r="M587" t="s">
        <v>19</v>
      </c>
      <c r="N587">
        <v>5</v>
      </c>
      <c r="O587" s="4"/>
      <c r="P587" s="4" t="str">
        <f>IF(Data_Set_2[[#This Row],[valor_bruto]]&gt;$W$13,"OUTLIER+","")</f>
        <v/>
      </c>
      <c r="Q587" s="4" t="str">
        <f>IF(Data_Set_2[[#This Row],[valor_bruto]]&lt;$W$14,"OUTLIER-","")</f>
        <v/>
      </c>
      <c r="R587" s="4"/>
      <c r="S587" s="4"/>
      <c r="AB587" t="str">
        <v>RES-100585</v>
      </c>
      <c r="AC587">
        <v>45909</v>
      </c>
      <c r="AD587">
        <v>0.80208333333333337</v>
      </c>
      <c r="AE587" t="str">
        <v>Poblado</v>
      </c>
      <c r="AF587" t="str">
        <v>Mesa</v>
      </c>
      <c r="AG587" t="str">
        <v>Comida rapida</v>
      </c>
      <c r="AH587">
        <v>3</v>
      </c>
      <c r="AI587">
        <v>51459.45</v>
      </c>
      <c r="AJ587">
        <v>8114.99</v>
      </c>
      <c r="AK587">
        <v>30</v>
      </c>
      <c r="AL587">
        <v>44</v>
      </c>
      <c r="AM587" t="str">
        <v>Tarjeta</v>
      </c>
      <c r="AN587" t="str">
        <v>Entregada</v>
      </c>
      <c r="AO587">
        <v>5</v>
      </c>
    </row>
    <row r="588" spans="1:41" x14ac:dyDescent="0.3">
      <c r="A588" t="s">
        <v>624</v>
      </c>
      <c r="B588" s="8">
        <v>45910</v>
      </c>
      <c r="C588" s="2">
        <v>0.84861111111111109</v>
      </c>
      <c r="D588" t="s">
        <v>27</v>
      </c>
      <c r="E588" t="s">
        <v>22</v>
      </c>
      <c r="F588" t="s">
        <v>23</v>
      </c>
      <c r="G588">
        <v>3</v>
      </c>
      <c r="H588" s="6">
        <v>33193.58</v>
      </c>
      <c r="I588" s="6">
        <v>5004.6099999999997</v>
      </c>
      <c r="J588">
        <v>27</v>
      </c>
      <c r="K588">
        <v>52</v>
      </c>
      <c r="L588" t="s">
        <v>24</v>
      </c>
      <c r="M588" t="s">
        <v>25</v>
      </c>
      <c r="N588">
        <v>3</v>
      </c>
      <c r="O588" s="4"/>
      <c r="P588" s="4" t="str">
        <f>IF(Data_Set_2[[#This Row],[valor_bruto]]&gt;$W$13,"OUTLIER+","")</f>
        <v/>
      </c>
      <c r="Q588" s="4" t="str">
        <f>IF(Data_Set_2[[#This Row],[valor_bruto]]&lt;$W$14,"OUTLIER-","")</f>
        <v/>
      </c>
      <c r="R588" s="4"/>
      <c r="S588" s="4"/>
      <c r="AB588" t="str">
        <v>RES-100586</v>
      </c>
      <c r="AC588">
        <v>45910</v>
      </c>
      <c r="AD588">
        <v>0.84861111111111109</v>
      </c>
      <c r="AE588" t="str">
        <v>Centro</v>
      </c>
      <c r="AF588" t="str">
        <v>Domicilio</v>
      </c>
      <c r="AG588" t="str">
        <v>Pasta</v>
      </c>
      <c r="AH588">
        <v>3</v>
      </c>
      <c r="AI588">
        <v>33193.58</v>
      </c>
      <c r="AJ588">
        <v>5004.6099999999997</v>
      </c>
      <c r="AK588">
        <v>27</v>
      </c>
      <c r="AL588">
        <v>52</v>
      </c>
      <c r="AM588" t="str">
        <v>Efectivo</v>
      </c>
      <c r="AN588" t="str">
        <v>Cancelada</v>
      </c>
      <c r="AO588">
        <v>3</v>
      </c>
    </row>
    <row r="589" spans="1:41" x14ac:dyDescent="0.3">
      <c r="A589" t="s">
        <v>625</v>
      </c>
      <c r="B589" s="8">
        <v>45970</v>
      </c>
      <c r="C589" s="2">
        <v>0.89513888888888893</v>
      </c>
      <c r="D589" t="s">
        <v>33</v>
      </c>
      <c r="E589" t="s">
        <v>28</v>
      </c>
      <c r="F589" t="s">
        <v>29</v>
      </c>
      <c r="G589">
        <v>6</v>
      </c>
      <c r="H589" s="6">
        <v>59959.43</v>
      </c>
      <c r="I589" s="6">
        <v>5412.12</v>
      </c>
      <c r="J589">
        <v>14</v>
      </c>
      <c r="K589">
        <v>48</v>
      </c>
      <c r="L589" t="s">
        <v>30</v>
      </c>
      <c r="M589" t="s">
        <v>31</v>
      </c>
      <c r="N589">
        <f>VLOOKUP(Data_Set_2[[#This Row],[estado]],M2:N588,2,0)</f>
        <v>5</v>
      </c>
      <c r="O589" s="4"/>
      <c r="P589" s="4" t="str">
        <f>IF(Data_Set_2[[#This Row],[valor_bruto]]&gt;$W$13,"OUTLIER+","")</f>
        <v/>
      </c>
      <c r="Q589" s="4" t="str">
        <f>IF(Data_Set_2[[#This Row],[valor_bruto]]&lt;$W$14,"OUTLIER-","")</f>
        <v/>
      </c>
      <c r="R589" s="4"/>
      <c r="S589" s="4"/>
      <c r="AB589" t="str">
        <v>RES-100587</v>
      </c>
      <c r="AC589">
        <v>45970</v>
      </c>
      <c r="AD589">
        <v>0.89513888888888893</v>
      </c>
      <c r="AE589" t="str">
        <v>Envigado</v>
      </c>
      <c r="AF589" t="str">
        <v>Recoge</v>
      </c>
      <c r="AG589" t="str">
        <v>Parrilla</v>
      </c>
      <c r="AH589">
        <v>6</v>
      </c>
      <c r="AI589">
        <v>59959.43</v>
      </c>
      <c r="AJ589">
        <v>5412.12</v>
      </c>
      <c r="AK589">
        <v>14</v>
      </c>
      <c r="AL589">
        <v>48</v>
      </c>
      <c r="AM589" t="str">
        <v>App</v>
      </c>
      <c r="AN589" t="str">
        <v>Reembolsada</v>
      </c>
      <c r="AO589">
        <v>5</v>
      </c>
    </row>
    <row r="590" spans="1:41" x14ac:dyDescent="0.3">
      <c r="A590" t="s">
        <v>626</v>
      </c>
      <c r="B590" s="8">
        <v>45912</v>
      </c>
      <c r="C590" s="2">
        <v>0.44166666666666665</v>
      </c>
      <c r="D590" t="s">
        <v>15</v>
      </c>
      <c r="E590" t="s">
        <v>16</v>
      </c>
      <c r="F590" t="s">
        <v>34</v>
      </c>
      <c r="G590">
        <v>3</v>
      </c>
      <c r="H590" s="6">
        <v>30605.07</v>
      </c>
      <c r="I590" s="6">
        <v>6118.18</v>
      </c>
      <c r="J590">
        <v>25</v>
      </c>
      <c r="K590">
        <v>51</v>
      </c>
      <c r="L590" t="s">
        <v>18</v>
      </c>
      <c r="M590" t="s">
        <v>19</v>
      </c>
      <c r="N590">
        <v>3</v>
      </c>
      <c r="O590" s="4"/>
      <c r="P590" s="4" t="str">
        <f>IF(Data_Set_2[[#This Row],[valor_bruto]]&gt;$W$13,"OUTLIER+","")</f>
        <v/>
      </c>
      <c r="Q590" s="4" t="str">
        <f>IF(Data_Set_2[[#This Row],[valor_bruto]]&lt;$W$14,"OUTLIER-","")</f>
        <v/>
      </c>
      <c r="R590" s="4"/>
      <c r="S590" s="4"/>
      <c r="AB590" t="str">
        <v>RES-100588</v>
      </c>
      <c r="AC590">
        <v>45912</v>
      </c>
      <c r="AD590">
        <v>0.44166666666666665</v>
      </c>
      <c r="AE590" t="str">
        <v>Laureles</v>
      </c>
      <c r="AF590" t="str">
        <v>Mesa</v>
      </c>
      <c r="AG590" t="str">
        <v>Vegano</v>
      </c>
      <c r="AH590">
        <v>3</v>
      </c>
      <c r="AI590">
        <v>30605.07</v>
      </c>
      <c r="AJ590">
        <v>6118.18</v>
      </c>
      <c r="AK590">
        <v>25</v>
      </c>
      <c r="AL590">
        <v>51</v>
      </c>
      <c r="AM590" t="str">
        <v>Tarjeta</v>
      </c>
      <c r="AN590" t="str">
        <v>Entregada</v>
      </c>
      <c r="AO590">
        <v>3</v>
      </c>
    </row>
    <row r="591" spans="1:41" x14ac:dyDescent="0.3">
      <c r="A591" t="s">
        <v>627</v>
      </c>
      <c r="B591" s="8">
        <v>45913</v>
      </c>
      <c r="C591" s="2">
        <v>0.48819444444444443</v>
      </c>
      <c r="D591" t="s">
        <v>21</v>
      </c>
      <c r="E591" t="s">
        <v>22</v>
      </c>
      <c r="F591" t="s">
        <v>36</v>
      </c>
      <c r="G591">
        <v>3</v>
      </c>
      <c r="H591" s="6">
        <v>39339.61</v>
      </c>
      <c r="I591" s="6">
        <v>8196.16</v>
      </c>
      <c r="J591">
        <v>24</v>
      </c>
      <c r="K591">
        <v>27</v>
      </c>
      <c r="L591" t="s">
        <v>24</v>
      </c>
      <c r="M591" t="s">
        <v>25</v>
      </c>
      <c r="N591">
        <v>4</v>
      </c>
      <c r="O591" s="4"/>
      <c r="P591" s="4" t="str">
        <f>IF(Data_Set_2[[#This Row],[valor_bruto]]&gt;$W$13,"OUTLIER+","")</f>
        <v/>
      </c>
      <c r="Q591" s="4" t="str">
        <f>IF(Data_Set_2[[#This Row],[valor_bruto]]&lt;$W$14,"OUTLIER-","")</f>
        <v/>
      </c>
      <c r="R591" s="4"/>
      <c r="S591" s="4"/>
      <c r="AB591" t="str">
        <v>RES-100589</v>
      </c>
      <c r="AC591">
        <v>45913</v>
      </c>
      <c r="AD591">
        <v>0.48819444444444443</v>
      </c>
      <c r="AE591" t="str">
        <v>Poblado</v>
      </c>
      <c r="AF591" t="str">
        <v>Domicilio</v>
      </c>
      <c r="AG591" t="str">
        <v>Bebidas</v>
      </c>
      <c r="AH591">
        <v>3</v>
      </c>
      <c r="AI591">
        <v>39339.61</v>
      </c>
      <c r="AJ591">
        <v>8196.16</v>
      </c>
      <c r="AK591">
        <v>24</v>
      </c>
      <c r="AL591">
        <v>27</v>
      </c>
      <c r="AM591" t="str">
        <v>Efectivo</v>
      </c>
      <c r="AN591" t="str">
        <v>Cancelada</v>
      </c>
      <c r="AO591">
        <v>4</v>
      </c>
    </row>
    <row r="592" spans="1:41" x14ac:dyDescent="0.3">
      <c r="A592" t="s">
        <v>628</v>
      </c>
      <c r="B592" s="8">
        <v>45914</v>
      </c>
      <c r="C592" s="2">
        <v>0.53472222222222221</v>
      </c>
      <c r="D592" t="s">
        <v>27</v>
      </c>
      <c r="E592" t="s">
        <v>28</v>
      </c>
      <c r="F592" t="s">
        <v>17</v>
      </c>
      <c r="G592">
        <v>3</v>
      </c>
      <c r="H592" s="6">
        <v>34349.919999999998</v>
      </c>
      <c r="I592" s="6">
        <v>1048.3</v>
      </c>
      <c r="J592">
        <v>18</v>
      </c>
      <c r="K592">
        <v>28</v>
      </c>
      <c r="L592" t="s">
        <v>30</v>
      </c>
      <c r="M592" t="s">
        <v>31</v>
      </c>
      <c r="N592">
        <v>5</v>
      </c>
      <c r="O592" s="4"/>
      <c r="P592" s="4" t="str">
        <f>IF(Data_Set_2[[#This Row],[valor_bruto]]&gt;$W$13,"OUTLIER+","")</f>
        <v/>
      </c>
      <c r="Q592" s="4" t="str">
        <f>IF(Data_Set_2[[#This Row],[valor_bruto]]&lt;$W$14,"OUTLIER-","")</f>
        <v/>
      </c>
      <c r="R592" s="4"/>
      <c r="S592" s="4"/>
      <c r="AB592" t="str">
        <v>RES-100590</v>
      </c>
      <c r="AC592">
        <v>45914</v>
      </c>
      <c r="AD592">
        <v>0.53472222222222221</v>
      </c>
      <c r="AE592" t="str">
        <v>Centro</v>
      </c>
      <c r="AF592" t="str">
        <v>Recoge</v>
      </c>
      <c r="AG592" t="str">
        <v>Comida rapida</v>
      </c>
      <c r="AH592">
        <v>3</v>
      </c>
      <c r="AI592">
        <v>34349.919999999998</v>
      </c>
      <c r="AJ592">
        <v>1048.3</v>
      </c>
      <c r="AK592">
        <v>18</v>
      </c>
      <c r="AL592">
        <v>28</v>
      </c>
      <c r="AM592" t="str">
        <v>App</v>
      </c>
      <c r="AN592" t="str">
        <v>Reembolsada</v>
      </c>
      <c r="AO592">
        <v>5</v>
      </c>
    </row>
    <row r="593" spans="1:41" x14ac:dyDescent="0.3">
      <c r="A593" t="s">
        <v>629</v>
      </c>
      <c r="B593" s="8">
        <v>45915</v>
      </c>
      <c r="C593" s="2">
        <v>0.58125000000000004</v>
      </c>
      <c r="D593" t="s">
        <v>33</v>
      </c>
      <c r="E593" t="s">
        <v>16</v>
      </c>
      <c r="F593" t="s">
        <v>23</v>
      </c>
      <c r="G593">
        <v>3</v>
      </c>
      <c r="H593" s="6">
        <v>42731.96</v>
      </c>
      <c r="I593" s="6">
        <v>2167.14</v>
      </c>
      <c r="J593">
        <v>16</v>
      </c>
      <c r="K593">
        <v>46</v>
      </c>
      <c r="L593" t="s">
        <v>18</v>
      </c>
      <c r="M593" t="s">
        <v>19</v>
      </c>
      <c r="N593">
        <v>4</v>
      </c>
      <c r="O593" s="4"/>
      <c r="P593" s="4" t="str">
        <f>IF(Data_Set_2[[#This Row],[valor_bruto]]&gt;$W$13,"OUTLIER+","")</f>
        <v/>
      </c>
      <c r="Q593" s="4" t="str">
        <f>IF(Data_Set_2[[#This Row],[valor_bruto]]&lt;$W$14,"OUTLIER-","")</f>
        <v/>
      </c>
      <c r="R593" s="4"/>
      <c r="S593" s="4"/>
      <c r="AB593" t="str">
        <v>RES-100591</v>
      </c>
      <c r="AC593">
        <v>45915</v>
      </c>
      <c r="AD593">
        <v>0.58125000000000004</v>
      </c>
      <c r="AE593" t="str">
        <v>Envigado</v>
      </c>
      <c r="AF593" t="str">
        <v>Mesa</v>
      </c>
      <c r="AG593" t="str">
        <v>Pasta</v>
      </c>
      <c r="AH593">
        <v>3</v>
      </c>
      <c r="AI593">
        <v>42731.96</v>
      </c>
      <c r="AJ593">
        <v>2167.14</v>
      </c>
      <c r="AK593">
        <v>16</v>
      </c>
      <c r="AL593">
        <v>46</v>
      </c>
      <c r="AM593" t="str">
        <v>Tarjeta</v>
      </c>
      <c r="AN593" t="str">
        <v>Entregada</v>
      </c>
      <c r="AO593">
        <v>4</v>
      </c>
    </row>
    <row r="594" spans="1:41" x14ac:dyDescent="0.3">
      <c r="A594" t="s">
        <v>630</v>
      </c>
      <c r="B594" s="8">
        <v>45916</v>
      </c>
      <c r="C594" s="2">
        <v>0.58611111111111114</v>
      </c>
      <c r="D594" t="s">
        <v>15</v>
      </c>
      <c r="E594" t="s">
        <v>22</v>
      </c>
      <c r="F594" t="s">
        <v>29</v>
      </c>
      <c r="G594">
        <v>5</v>
      </c>
      <c r="H594" s="6">
        <v>57252.55</v>
      </c>
      <c r="I594" s="6">
        <v>776.53</v>
      </c>
      <c r="J594">
        <v>15</v>
      </c>
      <c r="K594">
        <v>35</v>
      </c>
      <c r="L594" t="s">
        <v>24</v>
      </c>
      <c r="M594" t="s">
        <v>25</v>
      </c>
      <c r="N594">
        <v>5</v>
      </c>
      <c r="O594" s="4"/>
      <c r="P594" s="4" t="str">
        <f>IF(Data_Set_2[[#This Row],[valor_bruto]]&gt;$W$13,"OUTLIER+","")</f>
        <v/>
      </c>
      <c r="Q594" s="4" t="str">
        <f>IF(Data_Set_2[[#This Row],[valor_bruto]]&lt;$W$14,"OUTLIER-","")</f>
        <v/>
      </c>
      <c r="R594" s="4"/>
      <c r="S594" s="4"/>
      <c r="AB594" t="str">
        <v>RES-100592</v>
      </c>
      <c r="AC594">
        <v>45916</v>
      </c>
      <c r="AD594">
        <v>0.58611111111111114</v>
      </c>
      <c r="AE594" t="str">
        <v>Laureles</v>
      </c>
      <c r="AF594" t="str">
        <v>Domicilio</v>
      </c>
      <c r="AG594" t="str">
        <v>Parrilla</v>
      </c>
      <c r="AH594">
        <v>5</v>
      </c>
      <c r="AI594">
        <v>57252.55</v>
      </c>
      <c r="AJ594">
        <v>776.53</v>
      </c>
      <c r="AK594">
        <v>15</v>
      </c>
      <c r="AL594">
        <v>35</v>
      </c>
      <c r="AM594" t="str">
        <v>Efectivo</v>
      </c>
      <c r="AN594" t="str">
        <v>Cancelada</v>
      </c>
      <c r="AO594">
        <v>5</v>
      </c>
    </row>
    <row r="595" spans="1:41" x14ac:dyDescent="0.3">
      <c r="A595" t="s">
        <v>631</v>
      </c>
      <c r="B595" s="8">
        <v>45917</v>
      </c>
      <c r="C595" s="2">
        <v>0.63263888888888886</v>
      </c>
      <c r="D595" t="s">
        <v>21</v>
      </c>
      <c r="E595" t="s">
        <v>28</v>
      </c>
      <c r="F595" t="s">
        <v>34</v>
      </c>
      <c r="G595">
        <v>2</v>
      </c>
      <c r="H595" s="6">
        <v>46033.45</v>
      </c>
      <c r="I595" s="6">
        <v>1267.78</v>
      </c>
      <c r="J595">
        <v>22</v>
      </c>
      <c r="K595">
        <v>52</v>
      </c>
      <c r="L595" t="s">
        <v>30</v>
      </c>
      <c r="M595" t="s">
        <v>31</v>
      </c>
      <c r="N595">
        <v>5</v>
      </c>
      <c r="O595" s="4"/>
      <c r="P595" s="4" t="str">
        <f>IF(Data_Set_2[[#This Row],[valor_bruto]]&gt;$W$13,"OUTLIER+","")</f>
        <v/>
      </c>
      <c r="Q595" s="4" t="str">
        <f>IF(Data_Set_2[[#This Row],[valor_bruto]]&lt;$W$14,"OUTLIER-","")</f>
        <v/>
      </c>
      <c r="R595" s="4"/>
      <c r="S595" s="4"/>
      <c r="AB595" t="str">
        <v>RES-100593</v>
      </c>
      <c r="AC595">
        <v>45917</v>
      </c>
      <c r="AD595">
        <v>0.63263888888888886</v>
      </c>
      <c r="AE595" t="str">
        <v>Poblado</v>
      </c>
      <c r="AF595" t="str">
        <v>Recoge</v>
      </c>
      <c r="AG595" t="str">
        <v>Vegano</v>
      </c>
      <c r="AH595">
        <v>2</v>
      </c>
      <c r="AI595">
        <v>46033.45</v>
      </c>
      <c r="AJ595">
        <v>1267.78</v>
      </c>
      <c r="AK595">
        <v>22</v>
      </c>
      <c r="AL595">
        <v>52</v>
      </c>
      <c r="AM595" t="str">
        <v>App</v>
      </c>
      <c r="AN595" t="str">
        <v>Reembolsada</v>
      </c>
      <c r="AO595">
        <v>5</v>
      </c>
    </row>
    <row r="596" spans="1:41" x14ac:dyDescent="0.3">
      <c r="A596" t="s">
        <v>632</v>
      </c>
      <c r="B596" s="8">
        <v>45918</v>
      </c>
      <c r="C596" s="2">
        <v>0.6791666666666667</v>
      </c>
      <c r="D596" t="s">
        <v>27</v>
      </c>
      <c r="E596" t="s">
        <v>16</v>
      </c>
      <c r="F596" t="s">
        <v>36</v>
      </c>
      <c r="G596">
        <v>6</v>
      </c>
      <c r="H596" s="6">
        <v>64521.61</v>
      </c>
      <c r="I596" s="6">
        <v>4094.06</v>
      </c>
      <c r="J596">
        <v>21</v>
      </c>
      <c r="K596">
        <v>43</v>
      </c>
      <c r="L596" t="s">
        <v>18</v>
      </c>
      <c r="M596" t="s">
        <v>19</v>
      </c>
      <c r="N596">
        <v>3</v>
      </c>
      <c r="O596" s="4"/>
      <c r="P596" s="4" t="str">
        <f>IF(Data_Set_2[[#This Row],[valor_bruto]]&gt;$W$13,"OUTLIER+","")</f>
        <v/>
      </c>
      <c r="Q596" s="4" t="str">
        <f>IF(Data_Set_2[[#This Row],[valor_bruto]]&lt;$W$14,"OUTLIER-","")</f>
        <v/>
      </c>
      <c r="R596" s="4"/>
      <c r="S596" s="4"/>
      <c r="AB596" t="str">
        <v>RES-100594</v>
      </c>
      <c r="AC596">
        <v>45918</v>
      </c>
      <c r="AD596">
        <v>0.6791666666666667</v>
      </c>
      <c r="AE596" t="str">
        <v>Centro</v>
      </c>
      <c r="AF596" t="str">
        <v>Mesa</v>
      </c>
      <c r="AG596" t="str">
        <v>Bebidas</v>
      </c>
      <c r="AH596">
        <v>6</v>
      </c>
      <c r="AI596">
        <v>64521.61</v>
      </c>
      <c r="AJ596">
        <v>4094.06</v>
      </c>
      <c r="AK596">
        <v>21</v>
      </c>
      <c r="AL596">
        <v>43</v>
      </c>
      <c r="AM596" t="str">
        <v>Tarjeta</v>
      </c>
      <c r="AN596" t="str">
        <v>Entregada</v>
      </c>
      <c r="AO596">
        <v>3</v>
      </c>
    </row>
    <row r="597" spans="1:41" x14ac:dyDescent="0.3">
      <c r="A597" t="s">
        <v>633</v>
      </c>
      <c r="B597" s="8">
        <v>45919</v>
      </c>
      <c r="C597" s="2">
        <v>0.72569444444444442</v>
      </c>
      <c r="D597" t="s">
        <v>33</v>
      </c>
      <c r="E597" t="s">
        <v>22</v>
      </c>
      <c r="F597" t="s">
        <v>17</v>
      </c>
      <c r="G597">
        <v>4</v>
      </c>
      <c r="H597" s="6">
        <v>48433.36</v>
      </c>
      <c r="I597" s="6">
        <v>8383.73</v>
      </c>
      <c r="J597">
        <v>17</v>
      </c>
      <c r="K597">
        <v>27</v>
      </c>
      <c r="L597" t="s">
        <v>24</v>
      </c>
      <c r="M597" t="s">
        <v>25</v>
      </c>
      <c r="N597">
        <v>4</v>
      </c>
      <c r="O597" s="4"/>
      <c r="P597" s="4" t="str">
        <f>IF(Data_Set_2[[#This Row],[valor_bruto]]&gt;$W$13,"OUTLIER+","")</f>
        <v/>
      </c>
      <c r="Q597" s="4" t="str">
        <f>IF(Data_Set_2[[#This Row],[valor_bruto]]&lt;$W$14,"OUTLIER-","")</f>
        <v/>
      </c>
      <c r="R597" s="4"/>
      <c r="S597" s="4"/>
      <c r="AB597" t="str">
        <v>RES-100595</v>
      </c>
      <c r="AC597">
        <v>45919</v>
      </c>
      <c r="AD597">
        <v>0.72569444444444442</v>
      </c>
      <c r="AE597" t="str">
        <v>Envigado</v>
      </c>
      <c r="AF597" t="str">
        <v>Domicilio</v>
      </c>
      <c r="AG597" t="str">
        <v>Comida rapida</v>
      </c>
      <c r="AH597">
        <v>4</v>
      </c>
      <c r="AI597">
        <v>48433.36</v>
      </c>
      <c r="AJ597">
        <v>8383.73</v>
      </c>
      <c r="AK597">
        <v>17</v>
      </c>
      <c r="AL597">
        <v>27</v>
      </c>
      <c r="AM597" t="str">
        <v>Efectivo</v>
      </c>
      <c r="AN597" t="str">
        <v>Cancelada</v>
      </c>
      <c r="AO597">
        <v>4</v>
      </c>
    </row>
    <row r="598" spans="1:41" x14ac:dyDescent="0.3">
      <c r="A598" t="s">
        <v>634</v>
      </c>
      <c r="B598" s="8">
        <v>45920</v>
      </c>
      <c r="C598" s="2">
        <v>0.77222222222222225</v>
      </c>
      <c r="D598" t="s">
        <v>15</v>
      </c>
      <c r="E598" t="s">
        <v>28</v>
      </c>
      <c r="F598" t="s">
        <v>23</v>
      </c>
      <c r="G598">
        <v>4</v>
      </c>
      <c r="H598" s="6">
        <v>64104.72</v>
      </c>
      <c r="I598" s="6">
        <v>6431.52</v>
      </c>
      <c r="J598">
        <v>20</v>
      </c>
      <c r="K598">
        <v>31</v>
      </c>
      <c r="L598" t="s">
        <v>30</v>
      </c>
      <c r="M598" t="s">
        <v>31</v>
      </c>
      <c r="N598">
        <v>3</v>
      </c>
      <c r="O598" s="4"/>
      <c r="P598" s="4" t="str">
        <f>IF(Data_Set_2[[#This Row],[valor_bruto]]&gt;$W$13,"OUTLIER+","")</f>
        <v/>
      </c>
      <c r="Q598" s="4" t="str">
        <f>IF(Data_Set_2[[#This Row],[valor_bruto]]&lt;$W$14,"OUTLIER-","")</f>
        <v/>
      </c>
      <c r="R598" s="4"/>
      <c r="S598" s="4"/>
      <c r="AB598" t="str">
        <v>RES-100596</v>
      </c>
      <c r="AC598">
        <v>45920</v>
      </c>
      <c r="AD598">
        <v>0.77222222222222225</v>
      </c>
      <c r="AE598" t="str">
        <v>Laureles</v>
      </c>
      <c r="AF598" t="str">
        <v>Recoge</v>
      </c>
      <c r="AG598" t="str">
        <v>Pasta</v>
      </c>
      <c r="AH598">
        <v>4</v>
      </c>
      <c r="AI598">
        <v>64104.72</v>
      </c>
      <c r="AJ598">
        <v>6431.52</v>
      </c>
      <c r="AK598">
        <v>20</v>
      </c>
      <c r="AL598">
        <v>31</v>
      </c>
      <c r="AM598" t="str">
        <v>App</v>
      </c>
      <c r="AN598" t="str">
        <v>Reembolsada</v>
      </c>
      <c r="AO598">
        <v>3</v>
      </c>
    </row>
    <row r="599" spans="1:41" x14ac:dyDescent="0.3">
      <c r="A599" t="s">
        <v>635</v>
      </c>
      <c r="B599" s="8">
        <v>45921</v>
      </c>
      <c r="C599" s="2">
        <v>0.81874999999999998</v>
      </c>
      <c r="D599" t="s">
        <v>21</v>
      </c>
      <c r="E599" t="s">
        <v>16</v>
      </c>
      <c r="F599" t="s">
        <v>29</v>
      </c>
      <c r="G599">
        <v>6</v>
      </c>
      <c r="H599" s="6">
        <v>42247.27</v>
      </c>
      <c r="I599" s="6">
        <v>1389.4</v>
      </c>
      <c r="J599">
        <v>17</v>
      </c>
      <c r="K599">
        <v>36</v>
      </c>
      <c r="L599" t="s">
        <v>18</v>
      </c>
      <c r="M599" t="s">
        <v>19</v>
      </c>
      <c r="N599">
        <v>5</v>
      </c>
      <c r="O599" s="4"/>
      <c r="P599" s="4" t="str">
        <f>IF(Data_Set_2[[#This Row],[valor_bruto]]&gt;$W$13,"OUTLIER+","")</f>
        <v/>
      </c>
      <c r="Q599" s="4" t="str">
        <f>IF(Data_Set_2[[#This Row],[valor_bruto]]&lt;$W$14,"OUTLIER-","")</f>
        <v/>
      </c>
      <c r="R599" s="4"/>
      <c r="S599" s="4"/>
      <c r="AB599" t="str">
        <v>RES-100597</v>
      </c>
      <c r="AC599">
        <v>45921</v>
      </c>
      <c r="AD599">
        <v>0.81874999999999998</v>
      </c>
      <c r="AE599" t="str">
        <v>Poblado</v>
      </c>
      <c r="AF599" t="str">
        <v>Mesa</v>
      </c>
      <c r="AG599" t="str">
        <v>Parrilla</v>
      </c>
      <c r="AH599">
        <v>6</v>
      </c>
      <c r="AI599">
        <v>42247.27</v>
      </c>
      <c r="AJ599">
        <v>1389.4</v>
      </c>
      <c r="AK599">
        <v>17</v>
      </c>
      <c r="AL599">
        <v>36</v>
      </c>
      <c r="AM599" t="str">
        <v>Tarjeta</v>
      </c>
      <c r="AN599" t="str">
        <v>Entregada</v>
      </c>
      <c r="AO599">
        <v>5</v>
      </c>
    </row>
    <row r="600" spans="1:41" x14ac:dyDescent="0.3">
      <c r="A600" t="s">
        <v>636</v>
      </c>
      <c r="B600" s="8">
        <v>45922</v>
      </c>
      <c r="C600" s="2">
        <v>0.86527777777777781</v>
      </c>
      <c r="D600" t="s">
        <v>27</v>
      </c>
      <c r="E600" t="s">
        <v>22</v>
      </c>
      <c r="F600" t="s">
        <v>34</v>
      </c>
      <c r="G600">
        <v>3</v>
      </c>
      <c r="H600" s="6">
        <v>49175.05</v>
      </c>
      <c r="I600" s="6">
        <v>6739.1</v>
      </c>
      <c r="J600">
        <v>28</v>
      </c>
      <c r="K600">
        <v>38</v>
      </c>
      <c r="L600" t="s">
        <v>24</v>
      </c>
      <c r="M600" t="s">
        <v>25</v>
      </c>
      <c r="N600">
        <v>5</v>
      </c>
      <c r="O600" s="4"/>
      <c r="P600" s="4" t="str">
        <f>IF(Data_Set_2[[#This Row],[valor_bruto]]&gt;$W$13,"OUTLIER+","")</f>
        <v/>
      </c>
      <c r="Q600" s="4" t="str">
        <f>IF(Data_Set_2[[#This Row],[valor_bruto]]&lt;$W$14,"OUTLIER-","")</f>
        <v/>
      </c>
      <c r="R600" s="4"/>
      <c r="S600" s="4"/>
      <c r="AB600" t="str">
        <v>RES-100598</v>
      </c>
      <c r="AC600">
        <v>45922</v>
      </c>
      <c r="AD600">
        <v>0.86527777777777781</v>
      </c>
      <c r="AE600" t="str">
        <v>Centro</v>
      </c>
      <c r="AF600" t="str">
        <v>Domicilio</v>
      </c>
      <c r="AG600" t="str">
        <v>Vegano</v>
      </c>
      <c r="AH600">
        <v>3</v>
      </c>
      <c r="AI600">
        <v>49175.05</v>
      </c>
      <c r="AJ600">
        <v>6739.1</v>
      </c>
      <c r="AK600">
        <v>28</v>
      </c>
      <c r="AL600">
        <v>38</v>
      </c>
      <c r="AM600" t="str">
        <v>Efectivo</v>
      </c>
      <c r="AN600" t="str">
        <v>Cancelada</v>
      </c>
      <c r="AO600">
        <v>5</v>
      </c>
    </row>
    <row r="601" spans="1:41" x14ac:dyDescent="0.3">
      <c r="A601" t="s">
        <v>637</v>
      </c>
      <c r="B601" s="8">
        <v>45923</v>
      </c>
      <c r="C601" s="2">
        <v>0.91180555555555554</v>
      </c>
      <c r="D601" t="s">
        <v>33</v>
      </c>
      <c r="E601" t="s">
        <v>28</v>
      </c>
      <c r="F601" t="s">
        <v>36</v>
      </c>
      <c r="G601">
        <v>6</v>
      </c>
      <c r="H601" s="6">
        <v>47574.080000000002</v>
      </c>
      <c r="I601" s="6">
        <v>1622.2</v>
      </c>
      <c r="J601">
        <v>22</v>
      </c>
      <c r="K601">
        <v>28</v>
      </c>
      <c r="L601" t="s">
        <v>30</v>
      </c>
      <c r="M601" t="s">
        <v>31</v>
      </c>
      <c r="N601">
        <v>5</v>
      </c>
      <c r="O601" s="4"/>
      <c r="P601" s="4" t="str">
        <f>IF(Data_Set_2[[#This Row],[valor_bruto]]&gt;$W$13,"OUTLIER+","")</f>
        <v/>
      </c>
      <c r="Q601" s="4" t="str">
        <f>IF(Data_Set_2[[#This Row],[valor_bruto]]&lt;$W$14,"OUTLIER-","")</f>
        <v/>
      </c>
      <c r="R601" s="4"/>
      <c r="S601" s="4"/>
      <c r="AB601" t="str">
        <v>RES-100599</v>
      </c>
      <c r="AC601">
        <v>45923</v>
      </c>
      <c r="AD601">
        <v>0.91180555555555554</v>
      </c>
      <c r="AE601" t="str">
        <v>Envigado</v>
      </c>
      <c r="AF601" t="str">
        <v>Recoge</v>
      </c>
      <c r="AG601" t="str">
        <v>Bebidas</v>
      </c>
      <c r="AH601">
        <v>6</v>
      </c>
      <c r="AI601">
        <v>47574.080000000002</v>
      </c>
      <c r="AJ601">
        <v>1622.2</v>
      </c>
      <c r="AK601">
        <v>22</v>
      </c>
      <c r="AL601">
        <v>28</v>
      </c>
      <c r="AM601" t="str">
        <v>App</v>
      </c>
      <c r="AN601" t="str">
        <v>Reembolsada</v>
      </c>
      <c r="AO601">
        <v>5</v>
      </c>
    </row>
    <row r="602" spans="1:41" x14ac:dyDescent="0.3">
      <c r="A602" t="s">
        <v>638</v>
      </c>
      <c r="B602" s="8">
        <v>45924</v>
      </c>
      <c r="C602" s="2">
        <v>0.41666666666666669</v>
      </c>
      <c r="D602" t="s">
        <v>15</v>
      </c>
      <c r="E602" t="s">
        <v>16</v>
      </c>
      <c r="F602" t="s">
        <v>17</v>
      </c>
      <c r="G602">
        <v>2</v>
      </c>
      <c r="H602" s="6">
        <v>48715.76</v>
      </c>
      <c r="I602" s="6">
        <v>1712.46</v>
      </c>
      <c r="J602">
        <v>27</v>
      </c>
      <c r="K602">
        <v>26</v>
      </c>
      <c r="L602" t="s">
        <v>18</v>
      </c>
      <c r="M602" t="s">
        <v>19</v>
      </c>
      <c r="N602">
        <v>3</v>
      </c>
      <c r="O602" s="4"/>
      <c r="P602" s="4" t="str">
        <f>IF(Data_Set_2[[#This Row],[valor_bruto]]&gt;$W$13,"OUTLIER+","")</f>
        <v/>
      </c>
      <c r="Q602" s="4" t="str">
        <f>IF(Data_Set_2[[#This Row],[valor_bruto]]&lt;$W$14,"OUTLIER-","")</f>
        <v/>
      </c>
      <c r="R602" s="4"/>
      <c r="S602" s="4"/>
      <c r="AB602" t="str">
        <v>RES-100600</v>
      </c>
      <c r="AC602">
        <v>45924</v>
      </c>
      <c r="AD602">
        <v>0.41666666666666669</v>
      </c>
      <c r="AE602" t="str">
        <v>Laureles</v>
      </c>
      <c r="AF602" t="str">
        <v>Mesa</v>
      </c>
      <c r="AG602" t="str">
        <v>Comida rapida</v>
      </c>
      <c r="AH602">
        <v>2</v>
      </c>
      <c r="AI602">
        <v>48715.76</v>
      </c>
      <c r="AJ602">
        <v>1712.46</v>
      </c>
      <c r="AK602">
        <v>27</v>
      </c>
      <c r="AL602">
        <v>26</v>
      </c>
      <c r="AM602" t="str">
        <v>Tarjeta</v>
      </c>
      <c r="AN602" t="str">
        <v>Entregada</v>
      </c>
      <c r="AO602">
        <v>3</v>
      </c>
    </row>
    <row r="603" spans="1:41" x14ac:dyDescent="0.3">
      <c r="A603" t="s">
        <v>639</v>
      </c>
      <c r="B603" s="8">
        <v>45925</v>
      </c>
      <c r="C603" s="2">
        <v>0.46319444444444446</v>
      </c>
      <c r="D603" t="s">
        <v>21</v>
      </c>
      <c r="E603" t="s">
        <v>22</v>
      </c>
      <c r="F603" t="s">
        <v>23</v>
      </c>
      <c r="G603">
        <v>3</v>
      </c>
      <c r="H603" s="6">
        <v>40395.440000000002</v>
      </c>
      <c r="I603" s="6">
        <v>8090.96</v>
      </c>
      <c r="J603">
        <v>30</v>
      </c>
      <c r="K603">
        <v>31</v>
      </c>
      <c r="L603" t="s">
        <v>24</v>
      </c>
      <c r="M603" t="s">
        <v>25</v>
      </c>
      <c r="N603">
        <v>3</v>
      </c>
      <c r="O603" s="4"/>
      <c r="P603" s="4" t="str">
        <f>IF(Data_Set_2[[#This Row],[valor_bruto]]&gt;$W$13,"OUTLIER+","")</f>
        <v/>
      </c>
      <c r="Q603" s="4" t="str">
        <f>IF(Data_Set_2[[#This Row],[valor_bruto]]&lt;$W$14,"OUTLIER-","")</f>
        <v/>
      </c>
      <c r="R603" s="4"/>
      <c r="S603" s="4"/>
      <c r="AB603" t="str">
        <v>RES-100601</v>
      </c>
      <c r="AC603">
        <v>45925</v>
      </c>
      <c r="AD603">
        <v>0.46319444444444446</v>
      </c>
      <c r="AE603" t="str">
        <v>Poblado</v>
      </c>
      <c r="AF603" t="str">
        <v>Domicilio</v>
      </c>
      <c r="AG603" t="str">
        <v>Pasta</v>
      </c>
      <c r="AH603">
        <v>3</v>
      </c>
      <c r="AI603">
        <v>40395.440000000002</v>
      </c>
      <c r="AJ603">
        <v>8090.96</v>
      </c>
      <c r="AK603">
        <v>30</v>
      </c>
      <c r="AL603">
        <v>31</v>
      </c>
      <c r="AM603" t="str">
        <v>Efectivo</v>
      </c>
      <c r="AN603" t="str">
        <v>Cancelada</v>
      </c>
      <c r="AO603">
        <v>3</v>
      </c>
    </row>
    <row r="604" spans="1:41" x14ac:dyDescent="0.3">
      <c r="A604" t="s">
        <v>640</v>
      </c>
      <c r="B604" s="8">
        <v>45926</v>
      </c>
      <c r="C604" s="2">
        <v>0.50972222222222219</v>
      </c>
      <c r="D604" t="s">
        <v>27</v>
      </c>
      <c r="E604" t="s">
        <v>28</v>
      </c>
      <c r="F604" t="s">
        <v>29</v>
      </c>
      <c r="G604">
        <v>3</v>
      </c>
      <c r="H604" s="6">
        <v>68641.320000000007</v>
      </c>
      <c r="I604" s="6">
        <v>6785.22</v>
      </c>
      <c r="J604">
        <v>26</v>
      </c>
      <c r="K604">
        <v>46</v>
      </c>
      <c r="L604" t="s">
        <v>30</v>
      </c>
      <c r="M604" t="s">
        <v>31</v>
      </c>
      <c r="N604">
        <v>3</v>
      </c>
      <c r="O604" s="4"/>
      <c r="P604" s="4" t="str">
        <f>IF(Data_Set_2[[#This Row],[valor_bruto]]&gt;$W$13,"OUTLIER+","")</f>
        <v/>
      </c>
      <c r="Q604" s="4" t="str">
        <f>IF(Data_Set_2[[#This Row],[valor_bruto]]&lt;$W$14,"OUTLIER-","")</f>
        <v/>
      </c>
      <c r="R604" s="4"/>
      <c r="S604" s="4"/>
      <c r="AB604" t="str">
        <v>RES-100602</v>
      </c>
      <c r="AC604">
        <v>45926</v>
      </c>
      <c r="AD604">
        <v>0.50972222222222219</v>
      </c>
      <c r="AE604" t="str">
        <v>Centro</v>
      </c>
      <c r="AF604" t="str">
        <v>Recoge</v>
      </c>
      <c r="AG604" t="str">
        <v>Parrilla</v>
      </c>
      <c r="AH604">
        <v>3</v>
      </c>
      <c r="AI604">
        <v>68641.320000000007</v>
      </c>
      <c r="AJ604">
        <v>6785.22</v>
      </c>
      <c r="AK604">
        <v>26</v>
      </c>
      <c r="AL604">
        <v>46</v>
      </c>
      <c r="AM604" t="str">
        <v>App</v>
      </c>
      <c r="AN604" t="str">
        <v>Reembolsada</v>
      </c>
      <c r="AO604">
        <v>3</v>
      </c>
    </row>
    <row r="605" spans="1:41" x14ac:dyDescent="0.3">
      <c r="A605" t="s">
        <v>641</v>
      </c>
      <c r="B605" s="8">
        <v>45927</v>
      </c>
      <c r="C605" s="2">
        <v>0.55625000000000002</v>
      </c>
      <c r="D605" t="s">
        <v>33</v>
      </c>
      <c r="E605" t="s">
        <v>16</v>
      </c>
      <c r="F605" t="s">
        <v>34</v>
      </c>
      <c r="G605">
        <v>2</v>
      </c>
      <c r="H605" s="6">
        <v>60117.66</v>
      </c>
      <c r="I605" s="6">
        <v>4176.66</v>
      </c>
      <c r="J605">
        <v>21</v>
      </c>
      <c r="K605">
        <v>37</v>
      </c>
      <c r="L605" t="s">
        <v>18</v>
      </c>
      <c r="M605" t="s">
        <v>19</v>
      </c>
      <c r="N605">
        <v>3</v>
      </c>
      <c r="O605" s="4"/>
      <c r="P605" s="4" t="str">
        <f>IF(Data_Set_2[[#This Row],[valor_bruto]]&gt;$W$13,"OUTLIER+","")</f>
        <v/>
      </c>
      <c r="Q605" s="4" t="str">
        <f>IF(Data_Set_2[[#This Row],[valor_bruto]]&lt;$W$14,"OUTLIER-","")</f>
        <v/>
      </c>
      <c r="R605" s="4"/>
      <c r="S605" s="4"/>
      <c r="AB605" t="str">
        <v>RES-100603</v>
      </c>
      <c r="AC605">
        <v>45927</v>
      </c>
      <c r="AD605">
        <v>0.55625000000000002</v>
      </c>
      <c r="AE605" t="str">
        <v>Envigado</v>
      </c>
      <c r="AF605" t="str">
        <v>Mesa</v>
      </c>
      <c r="AG605" t="str">
        <v>Vegano</v>
      </c>
      <c r="AH605">
        <v>2</v>
      </c>
      <c r="AI605">
        <v>60117.66</v>
      </c>
      <c r="AJ605">
        <v>4176.66</v>
      </c>
      <c r="AK605">
        <v>21</v>
      </c>
      <c r="AL605">
        <v>37</v>
      </c>
      <c r="AM605" t="str">
        <v>Tarjeta</v>
      </c>
      <c r="AN605" t="str">
        <v>Entregada</v>
      </c>
      <c r="AO605">
        <v>3</v>
      </c>
    </row>
    <row r="606" spans="1:41" x14ac:dyDescent="0.3">
      <c r="A606" t="s">
        <v>642</v>
      </c>
      <c r="B606" s="8">
        <v>45928</v>
      </c>
      <c r="C606" s="2">
        <v>0.60277777777777775</v>
      </c>
      <c r="D606" t="s">
        <v>15</v>
      </c>
      <c r="E606" t="s">
        <v>22</v>
      </c>
      <c r="F606" t="s">
        <v>36</v>
      </c>
      <c r="G606">
        <v>4</v>
      </c>
      <c r="H606" s="6">
        <v>42321.55</v>
      </c>
      <c r="I606" s="6">
        <v>4894.79</v>
      </c>
      <c r="J606">
        <v>16</v>
      </c>
      <c r="K606">
        <v>38</v>
      </c>
      <c r="L606" t="s">
        <v>24</v>
      </c>
      <c r="M606" t="s">
        <v>25</v>
      </c>
      <c r="N606">
        <v>5</v>
      </c>
      <c r="O606" s="4"/>
      <c r="P606" s="4" t="str">
        <f>IF(Data_Set_2[[#This Row],[valor_bruto]]&gt;$W$13,"OUTLIER+","")</f>
        <v/>
      </c>
      <c r="Q606" s="4" t="str">
        <f>IF(Data_Set_2[[#This Row],[valor_bruto]]&lt;$W$14,"OUTLIER-","")</f>
        <v/>
      </c>
      <c r="R606" s="4"/>
      <c r="S606" s="4"/>
      <c r="AB606" t="str">
        <v>RES-100604</v>
      </c>
      <c r="AC606">
        <v>45928</v>
      </c>
      <c r="AD606">
        <v>0.60277777777777775</v>
      </c>
      <c r="AE606" t="str">
        <v>Laureles</v>
      </c>
      <c r="AF606" t="str">
        <v>Domicilio</v>
      </c>
      <c r="AG606" t="str">
        <v>Bebidas</v>
      </c>
      <c r="AH606">
        <v>4</v>
      </c>
      <c r="AI606">
        <v>42321.55</v>
      </c>
      <c r="AJ606">
        <v>4894.79</v>
      </c>
      <c r="AK606">
        <v>16</v>
      </c>
      <c r="AL606">
        <v>38</v>
      </c>
      <c r="AM606" t="str">
        <v>Efectivo</v>
      </c>
      <c r="AN606" t="str">
        <v>Cancelada</v>
      </c>
      <c r="AO606">
        <v>5</v>
      </c>
    </row>
    <row r="607" spans="1:41" x14ac:dyDescent="0.3">
      <c r="A607" t="s">
        <v>643</v>
      </c>
      <c r="B607" s="8">
        <v>45929</v>
      </c>
      <c r="C607" s="2">
        <v>0.64930555555555558</v>
      </c>
      <c r="D607" t="s">
        <v>21</v>
      </c>
      <c r="E607" t="s">
        <v>28</v>
      </c>
      <c r="F607" t="s">
        <v>17</v>
      </c>
      <c r="G607">
        <v>5</v>
      </c>
      <c r="H607" s="6">
        <v>38056.980000000003</v>
      </c>
      <c r="I607" s="6">
        <v>7379.89</v>
      </c>
      <c r="J607">
        <v>20</v>
      </c>
      <c r="K607">
        <v>40</v>
      </c>
      <c r="L607" t="s">
        <v>30</v>
      </c>
      <c r="M607" t="s">
        <v>31</v>
      </c>
      <c r="N607">
        <v>3</v>
      </c>
      <c r="O607" s="4"/>
      <c r="P607" s="4" t="str">
        <f>IF(Data_Set_2[[#This Row],[valor_bruto]]&gt;$W$13,"OUTLIER+","")</f>
        <v/>
      </c>
      <c r="Q607" s="4" t="str">
        <f>IF(Data_Set_2[[#This Row],[valor_bruto]]&lt;$W$14,"OUTLIER-","")</f>
        <v/>
      </c>
      <c r="R607" s="4"/>
      <c r="S607" s="4"/>
      <c r="AB607" t="str">
        <v>RES-100605</v>
      </c>
      <c r="AC607">
        <v>45929</v>
      </c>
      <c r="AD607">
        <v>0.64930555555555558</v>
      </c>
      <c r="AE607" t="str">
        <v>Poblado</v>
      </c>
      <c r="AF607" t="str">
        <v>Recoge</v>
      </c>
      <c r="AG607" t="str">
        <v>Comida rapida</v>
      </c>
      <c r="AH607">
        <v>5</v>
      </c>
      <c r="AI607">
        <v>38056.980000000003</v>
      </c>
      <c r="AJ607">
        <v>7379.89</v>
      </c>
      <c r="AK607">
        <v>20</v>
      </c>
      <c r="AL607">
        <v>40</v>
      </c>
      <c r="AM607" t="str">
        <v>App</v>
      </c>
      <c r="AN607" t="str">
        <v>Reembolsada</v>
      </c>
      <c r="AO607">
        <v>3</v>
      </c>
    </row>
    <row r="608" spans="1:41" x14ac:dyDescent="0.3">
      <c r="A608" t="s">
        <v>644</v>
      </c>
      <c r="B608" s="8">
        <v>45930</v>
      </c>
      <c r="C608" s="2">
        <v>0.6958333333333333</v>
      </c>
      <c r="D608" t="s">
        <v>27</v>
      </c>
      <c r="E608" t="s">
        <v>16</v>
      </c>
      <c r="F608" t="s">
        <v>23</v>
      </c>
      <c r="G608">
        <v>3</v>
      </c>
      <c r="H608" s="6">
        <v>33571.51</v>
      </c>
      <c r="I608" s="6">
        <v>1393.53</v>
      </c>
      <c r="J608">
        <v>24</v>
      </c>
      <c r="K608">
        <v>44</v>
      </c>
      <c r="L608" t="s">
        <v>18</v>
      </c>
      <c r="M608" t="s">
        <v>19</v>
      </c>
      <c r="N608">
        <v>5</v>
      </c>
      <c r="O608" s="4"/>
      <c r="P608" s="4" t="str">
        <f>IF(Data_Set_2[[#This Row],[valor_bruto]]&gt;$W$13,"OUTLIER+","")</f>
        <v/>
      </c>
      <c r="Q608" s="4" t="str">
        <f>IF(Data_Set_2[[#This Row],[valor_bruto]]&lt;$W$14,"OUTLIER-","")</f>
        <v/>
      </c>
      <c r="R608" s="4"/>
      <c r="S608" s="4"/>
      <c r="AB608" t="str">
        <v>RES-100606</v>
      </c>
      <c r="AC608">
        <v>45930</v>
      </c>
      <c r="AD608">
        <v>0.6958333333333333</v>
      </c>
      <c r="AE608" t="str">
        <v>Centro</v>
      </c>
      <c r="AF608" t="str">
        <v>Mesa</v>
      </c>
      <c r="AG608" t="str">
        <v>Pasta</v>
      </c>
      <c r="AH608">
        <v>3</v>
      </c>
      <c r="AI608">
        <v>33571.51</v>
      </c>
      <c r="AJ608">
        <v>1393.53</v>
      </c>
      <c r="AK608">
        <v>24</v>
      </c>
      <c r="AL608">
        <v>44</v>
      </c>
      <c r="AM608" t="str">
        <v>Tarjeta</v>
      </c>
      <c r="AN608" t="str">
        <v>Entregada</v>
      </c>
      <c r="AO608">
        <v>5</v>
      </c>
    </row>
    <row r="609" spans="1:41" x14ac:dyDescent="0.3">
      <c r="A609" t="s">
        <v>645</v>
      </c>
      <c r="B609" s="8">
        <v>45931</v>
      </c>
      <c r="C609" s="2">
        <v>0.74236111111111114</v>
      </c>
      <c r="D609" t="s">
        <v>33</v>
      </c>
      <c r="E609" t="s">
        <v>22</v>
      </c>
      <c r="F609" t="s">
        <v>29</v>
      </c>
      <c r="G609">
        <v>4</v>
      </c>
      <c r="H609" s="6">
        <v>43200.12</v>
      </c>
      <c r="I609" s="6">
        <v>3017.14</v>
      </c>
      <c r="J609">
        <v>27</v>
      </c>
      <c r="K609">
        <v>29</v>
      </c>
      <c r="L609" t="s">
        <v>24</v>
      </c>
      <c r="M609" t="s">
        <v>25</v>
      </c>
      <c r="N609">
        <v>3</v>
      </c>
      <c r="O609" s="4"/>
      <c r="P609" s="4" t="str">
        <f>IF(Data_Set_2[[#This Row],[valor_bruto]]&gt;$W$13,"OUTLIER+","")</f>
        <v/>
      </c>
      <c r="Q609" s="4" t="str">
        <f>IF(Data_Set_2[[#This Row],[valor_bruto]]&lt;$W$14,"OUTLIER-","")</f>
        <v/>
      </c>
      <c r="R609" s="4"/>
      <c r="S609" s="4"/>
      <c r="AB609" t="str">
        <v>RES-100607</v>
      </c>
      <c r="AC609">
        <v>45931</v>
      </c>
      <c r="AD609">
        <v>0.74236111111111114</v>
      </c>
      <c r="AE609" t="str">
        <v>Envigado</v>
      </c>
      <c r="AF609" t="str">
        <v>Domicilio</v>
      </c>
      <c r="AG609" t="str">
        <v>Parrilla</v>
      </c>
      <c r="AH609">
        <v>4</v>
      </c>
      <c r="AI609">
        <v>43200.12</v>
      </c>
      <c r="AJ609">
        <v>3017.14</v>
      </c>
      <c r="AK609">
        <v>27</v>
      </c>
      <c r="AL609">
        <v>29</v>
      </c>
      <c r="AM609" t="str">
        <v>Efectivo</v>
      </c>
      <c r="AN609" t="str">
        <v>Cancelada</v>
      </c>
      <c r="AO609">
        <v>3</v>
      </c>
    </row>
    <row r="610" spans="1:41" x14ac:dyDescent="0.3">
      <c r="A610" t="s">
        <v>646</v>
      </c>
      <c r="B610" s="8">
        <v>45698</v>
      </c>
      <c r="C610" s="2">
        <v>0.78888888888888886</v>
      </c>
      <c r="D610" t="s">
        <v>15</v>
      </c>
      <c r="E610" t="s">
        <v>28</v>
      </c>
      <c r="F610" t="s">
        <v>34</v>
      </c>
      <c r="G610">
        <v>4</v>
      </c>
      <c r="H610" s="6">
        <v>26708.26</v>
      </c>
      <c r="I610" s="6">
        <v>538.49</v>
      </c>
      <c r="J610">
        <v>27</v>
      </c>
      <c r="K610">
        <v>36</v>
      </c>
      <c r="L610" t="s">
        <v>30</v>
      </c>
      <c r="M610" t="s">
        <v>31</v>
      </c>
      <c r="N610">
        <v>3</v>
      </c>
      <c r="O610" s="4"/>
      <c r="P610" s="4" t="str">
        <f>IF(Data_Set_2[[#This Row],[valor_bruto]]&gt;$W$13,"OUTLIER+","")</f>
        <v/>
      </c>
      <c r="Q610" s="4" t="str">
        <f>IF(Data_Set_2[[#This Row],[valor_bruto]]&lt;$W$14,"OUTLIER-","")</f>
        <v/>
      </c>
      <c r="R610" s="4"/>
      <c r="S610" s="4"/>
      <c r="AB610" t="str">
        <v>RES-100608</v>
      </c>
      <c r="AC610">
        <v>45698</v>
      </c>
      <c r="AD610">
        <v>0.78888888888888886</v>
      </c>
      <c r="AE610" t="str">
        <v>Laureles</v>
      </c>
      <c r="AF610" t="str">
        <v>Recoge</v>
      </c>
      <c r="AG610" t="str">
        <v>Vegano</v>
      </c>
      <c r="AH610">
        <v>4</v>
      </c>
      <c r="AI610">
        <v>26708.26</v>
      </c>
      <c r="AJ610">
        <v>538.49</v>
      </c>
      <c r="AK610">
        <v>27</v>
      </c>
      <c r="AL610">
        <v>36</v>
      </c>
      <c r="AM610" t="str">
        <v>App</v>
      </c>
      <c r="AN610" t="str">
        <v>Reembolsada</v>
      </c>
      <c r="AO610">
        <v>3</v>
      </c>
    </row>
    <row r="611" spans="1:41" x14ac:dyDescent="0.3">
      <c r="A611" t="s">
        <v>647</v>
      </c>
      <c r="B611" s="8">
        <v>45933</v>
      </c>
      <c r="C611" s="2">
        <v>0.79374999999999996</v>
      </c>
      <c r="D611" t="s">
        <v>21</v>
      </c>
      <c r="E611" t="s">
        <v>16</v>
      </c>
      <c r="F611" t="s">
        <v>36</v>
      </c>
      <c r="G611">
        <v>6</v>
      </c>
      <c r="H611" s="6">
        <v>27182.18</v>
      </c>
      <c r="I611" s="6">
        <v>7829.17</v>
      </c>
      <c r="J611">
        <v>25</v>
      </c>
      <c r="K611">
        <v>27</v>
      </c>
      <c r="L611" t="s">
        <v>18</v>
      </c>
      <c r="M611" t="s">
        <v>19</v>
      </c>
      <c r="N611">
        <v>4</v>
      </c>
      <c r="O611" s="4"/>
      <c r="P611" s="4" t="str">
        <f>IF(Data_Set_2[[#This Row],[valor_bruto]]&gt;$W$13,"OUTLIER+","")</f>
        <v/>
      </c>
      <c r="Q611" s="4" t="str">
        <f>IF(Data_Set_2[[#This Row],[valor_bruto]]&lt;$W$14,"OUTLIER-","")</f>
        <v/>
      </c>
      <c r="R611" s="4"/>
      <c r="S611" s="4"/>
      <c r="AB611" t="str">
        <v>RES-100609</v>
      </c>
      <c r="AC611">
        <v>45933</v>
      </c>
      <c r="AD611">
        <v>0.79374999999999996</v>
      </c>
      <c r="AE611" t="str">
        <v>Poblado</v>
      </c>
      <c r="AF611" t="str">
        <v>Mesa</v>
      </c>
      <c r="AG611" t="str">
        <v>Bebidas</v>
      </c>
      <c r="AH611">
        <v>6</v>
      </c>
      <c r="AI611">
        <v>27182.18</v>
      </c>
      <c r="AJ611">
        <v>7829.17</v>
      </c>
      <c r="AK611">
        <v>25</v>
      </c>
      <c r="AL611">
        <v>27</v>
      </c>
      <c r="AM611" t="str">
        <v>Tarjeta</v>
      </c>
      <c r="AN611" t="str">
        <v>Entregada</v>
      </c>
      <c r="AO611">
        <v>4</v>
      </c>
    </row>
    <row r="612" spans="1:41" x14ac:dyDescent="0.3">
      <c r="A612" t="s">
        <v>648</v>
      </c>
      <c r="B612" s="8">
        <v>45934</v>
      </c>
      <c r="C612" s="2">
        <v>0.84027777777777779</v>
      </c>
      <c r="D612" t="s">
        <v>27</v>
      </c>
      <c r="E612" t="s">
        <v>22</v>
      </c>
      <c r="F612" t="s">
        <v>17</v>
      </c>
      <c r="G612">
        <v>5</v>
      </c>
      <c r="H612" s="6">
        <v>34726.86</v>
      </c>
      <c r="I612" s="6">
        <v>2056.37</v>
      </c>
      <c r="J612">
        <v>23</v>
      </c>
      <c r="K612">
        <v>51</v>
      </c>
      <c r="L612" t="s">
        <v>24</v>
      </c>
      <c r="M612" t="s">
        <v>25</v>
      </c>
      <c r="N612">
        <v>5</v>
      </c>
      <c r="O612" s="4"/>
      <c r="P612" s="4" t="str">
        <f>IF(Data_Set_2[[#This Row],[valor_bruto]]&gt;$W$13,"OUTLIER+","")</f>
        <v/>
      </c>
      <c r="Q612" s="4" t="str">
        <f>IF(Data_Set_2[[#This Row],[valor_bruto]]&lt;$W$14,"OUTLIER-","")</f>
        <v/>
      </c>
      <c r="R612" s="4"/>
      <c r="S612" s="4"/>
      <c r="AB612" t="str">
        <v>RES-100610</v>
      </c>
      <c r="AC612">
        <v>45934</v>
      </c>
      <c r="AD612">
        <v>0.84027777777777779</v>
      </c>
      <c r="AE612" t="str">
        <v>Centro</v>
      </c>
      <c r="AF612" t="str">
        <v>Domicilio</v>
      </c>
      <c r="AG612" t="str">
        <v>Comida rapida</v>
      </c>
      <c r="AH612">
        <v>5</v>
      </c>
      <c r="AI612">
        <v>34726.86</v>
      </c>
      <c r="AJ612">
        <v>2056.37</v>
      </c>
      <c r="AK612">
        <v>23</v>
      </c>
      <c r="AL612">
        <v>51</v>
      </c>
      <c r="AM612" t="str">
        <v>Efectivo</v>
      </c>
      <c r="AN612" t="str">
        <v>Cancelada</v>
      </c>
      <c r="AO612">
        <v>5</v>
      </c>
    </row>
    <row r="613" spans="1:41" x14ac:dyDescent="0.3">
      <c r="A613" t="s">
        <v>649</v>
      </c>
      <c r="B613" s="8">
        <v>45787</v>
      </c>
      <c r="C613" s="2">
        <v>0.88680555555555551</v>
      </c>
      <c r="D613" t="s">
        <v>33</v>
      </c>
      <c r="E613" t="s">
        <v>28</v>
      </c>
      <c r="F613" t="s">
        <v>23</v>
      </c>
      <c r="G613">
        <v>4</v>
      </c>
      <c r="H613" s="6">
        <v>47803.67</v>
      </c>
      <c r="I613" s="6">
        <v>4272.37</v>
      </c>
      <c r="J613">
        <v>25</v>
      </c>
      <c r="K613">
        <v>47</v>
      </c>
      <c r="L613" t="s">
        <v>30</v>
      </c>
      <c r="M613" t="s">
        <v>31</v>
      </c>
      <c r="N613">
        <v>4</v>
      </c>
      <c r="O613" s="4"/>
      <c r="P613" s="4" t="str">
        <f>IF(Data_Set_2[[#This Row],[valor_bruto]]&gt;$W$13,"OUTLIER+","")</f>
        <v/>
      </c>
      <c r="Q613" s="4" t="str">
        <f>IF(Data_Set_2[[#This Row],[valor_bruto]]&lt;$W$14,"OUTLIER-","")</f>
        <v/>
      </c>
      <c r="R613" s="4"/>
      <c r="S613" s="4"/>
      <c r="AB613" t="str">
        <v>RES-100611</v>
      </c>
      <c r="AC613">
        <v>45787</v>
      </c>
      <c r="AD613">
        <v>0.88680555555555551</v>
      </c>
      <c r="AE613" t="str">
        <v>Envigado</v>
      </c>
      <c r="AF613" t="str">
        <v>Recoge</v>
      </c>
      <c r="AG613" t="str">
        <v>Pasta</v>
      </c>
      <c r="AH613">
        <v>4</v>
      </c>
      <c r="AI613">
        <v>47803.67</v>
      </c>
      <c r="AJ613">
        <v>4272.37</v>
      </c>
      <c r="AK613">
        <v>25</v>
      </c>
      <c r="AL613">
        <v>47</v>
      </c>
      <c r="AM613" t="str">
        <v>App</v>
      </c>
      <c r="AN613" t="str">
        <v>Reembolsada</v>
      </c>
      <c r="AO613">
        <v>4</v>
      </c>
    </row>
    <row r="614" spans="1:41" x14ac:dyDescent="0.3">
      <c r="A614" t="s">
        <v>650</v>
      </c>
      <c r="B614" s="8">
        <v>45936</v>
      </c>
      <c r="C614" s="2">
        <v>0.43333333333333335</v>
      </c>
      <c r="D614" t="s">
        <v>15</v>
      </c>
      <c r="E614" t="s">
        <v>16</v>
      </c>
      <c r="F614" t="s">
        <v>29</v>
      </c>
      <c r="G614">
        <v>2</v>
      </c>
      <c r="H614" s="6">
        <v>39119.550000000003</v>
      </c>
      <c r="I614" s="6">
        <v>6282.36</v>
      </c>
      <c r="J614">
        <v>22</v>
      </c>
      <c r="K614">
        <v>30</v>
      </c>
      <c r="L614" t="s">
        <v>18</v>
      </c>
      <c r="M614" t="s">
        <v>19</v>
      </c>
      <c r="N614">
        <v>4</v>
      </c>
      <c r="O614" s="4"/>
      <c r="P614" s="4" t="str">
        <f>IF(Data_Set_2[[#This Row],[valor_bruto]]&gt;$W$13,"OUTLIER+","")</f>
        <v/>
      </c>
      <c r="Q614" s="4" t="str">
        <f>IF(Data_Set_2[[#This Row],[valor_bruto]]&lt;$W$14,"OUTLIER-","")</f>
        <v/>
      </c>
      <c r="R614" s="4"/>
      <c r="S614" s="4"/>
      <c r="AB614" t="str">
        <v>RES-100612</v>
      </c>
      <c r="AC614">
        <v>45936</v>
      </c>
      <c r="AD614">
        <v>0.43333333333333335</v>
      </c>
      <c r="AE614" t="str">
        <v>Laureles</v>
      </c>
      <c r="AF614" t="str">
        <v>Mesa</v>
      </c>
      <c r="AG614" t="str">
        <v>Parrilla</v>
      </c>
      <c r="AH614">
        <v>2</v>
      </c>
      <c r="AI614">
        <v>39119.550000000003</v>
      </c>
      <c r="AJ614">
        <v>6282.36</v>
      </c>
      <c r="AK614">
        <v>22</v>
      </c>
      <c r="AL614">
        <v>30</v>
      </c>
      <c r="AM614" t="str">
        <v>Tarjeta</v>
      </c>
      <c r="AN614" t="str">
        <v>Entregada</v>
      </c>
      <c r="AO614">
        <v>4</v>
      </c>
    </row>
    <row r="615" spans="1:41" x14ac:dyDescent="0.3">
      <c r="A615" t="s">
        <v>651</v>
      </c>
      <c r="B615" s="8">
        <v>45937</v>
      </c>
      <c r="C615" s="2">
        <v>0.47986111111111113</v>
      </c>
      <c r="D615" t="s">
        <v>21</v>
      </c>
      <c r="E615" t="s">
        <v>22</v>
      </c>
      <c r="F615" t="s">
        <v>34</v>
      </c>
      <c r="G615">
        <v>6</v>
      </c>
      <c r="H615" s="6">
        <v>43510.99</v>
      </c>
      <c r="I615" s="6">
        <v>7982.56</v>
      </c>
      <c r="J615">
        <v>15</v>
      </c>
      <c r="K615">
        <v>42</v>
      </c>
      <c r="L615" t="s">
        <v>24</v>
      </c>
      <c r="M615" t="s">
        <v>25</v>
      </c>
      <c r="N615">
        <v>3</v>
      </c>
      <c r="O615" s="4"/>
      <c r="P615" s="4" t="str">
        <f>IF(Data_Set_2[[#This Row],[valor_bruto]]&gt;$W$13,"OUTLIER+","")</f>
        <v/>
      </c>
      <c r="Q615" s="4" t="str">
        <f>IF(Data_Set_2[[#This Row],[valor_bruto]]&lt;$W$14,"OUTLIER-","")</f>
        <v/>
      </c>
      <c r="R615" s="4"/>
      <c r="S615" s="4"/>
      <c r="AB615" t="str">
        <v>RES-100613</v>
      </c>
      <c r="AC615">
        <v>45937</v>
      </c>
      <c r="AD615">
        <v>0.47986111111111113</v>
      </c>
      <c r="AE615" t="str">
        <v>Poblado</v>
      </c>
      <c r="AF615" t="str">
        <v>Domicilio</v>
      </c>
      <c r="AG615" t="str">
        <v>Vegano</v>
      </c>
      <c r="AH615">
        <v>6</v>
      </c>
      <c r="AI615">
        <v>43510.99</v>
      </c>
      <c r="AJ615">
        <v>7982.56</v>
      </c>
      <c r="AK615">
        <v>15</v>
      </c>
      <c r="AL615">
        <v>42</v>
      </c>
      <c r="AM615" t="str">
        <v>Efectivo</v>
      </c>
      <c r="AN615" t="str">
        <v>Cancelada</v>
      </c>
      <c r="AO615">
        <v>3</v>
      </c>
    </row>
    <row r="616" spans="1:41" x14ac:dyDescent="0.3">
      <c r="A616" t="s">
        <v>652</v>
      </c>
      <c r="B616" s="8">
        <v>45879</v>
      </c>
      <c r="C616" s="2">
        <v>0.52638888888888891</v>
      </c>
      <c r="D616" t="s">
        <v>27</v>
      </c>
      <c r="E616" t="s">
        <v>28</v>
      </c>
      <c r="F616" t="s">
        <v>36</v>
      </c>
      <c r="G616">
        <v>5</v>
      </c>
      <c r="H616" s="6">
        <v>62856.31</v>
      </c>
      <c r="I616" s="6">
        <v>4096.07</v>
      </c>
      <c r="J616">
        <v>19</v>
      </c>
      <c r="K616">
        <v>30</v>
      </c>
      <c r="L616" t="s">
        <v>30</v>
      </c>
      <c r="M616" t="s">
        <v>31</v>
      </c>
      <c r="N616">
        <v>4</v>
      </c>
      <c r="O616" s="4"/>
      <c r="P616" s="4" t="str">
        <f>IF(Data_Set_2[[#This Row],[valor_bruto]]&gt;$W$13,"OUTLIER+","")</f>
        <v/>
      </c>
      <c r="Q616" s="4" t="str">
        <f>IF(Data_Set_2[[#This Row],[valor_bruto]]&lt;$W$14,"OUTLIER-","")</f>
        <v/>
      </c>
      <c r="R616" s="4"/>
      <c r="S616" s="4"/>
      <c r="AB616" t="str">
        <v>RES-100614</v>
      </c>
      <c r="AC616">
        <v>45879</v>
      </c>
      <c r="AD616">
        <v>0.52638888888888891</v>
      </c>
      <c r="AE616" t="str">
        <v>Centro</v>
      </c>
      <c r="AF616" t="str">
        <v>Recoge</v>
      </c>
      <c r="AG616" t="str">
        <v>Bebidas</v>
      </c>
      <c r="AH616">
        <v>5</v>
      </c>
      <c r="AI616">
        <v>62856.31</v>
      </c>
      <c r="AJ616">
        <v>4096.07</v>
      </c>
      <c r="AK616">
        <v>19</v>
      </c>
      <c r="AL616">
        <v>30</v>
      </c>
      <c r="AM616" t="str">
        <v>App</v>
      </c>
      <c r="AN616" t="str">
        <v>Reembolsada</v>
      </c>
      <c r="AO616">
        <v>4</v>
      </c>
    </row>
    <row r="617" spans="1:41" x14ac:dyDescent="0.3">
      <c r="A617" t="s">
        <v>653</v>
      </c>
      <c r="B617" s="8">
        <v>45939</v>
      </c>
      <c r="C617" s="2">
        <v>0.57291666666666663</v>
      </c>
      <c r="D617" t="s">
        <v>33</v>
      </c>
      <c r="E617" t="s">
        <v>16</v>
      </c>
      <c r="F617" t="s">
        <v>17</v>
      </c>
      <c r="G617">
        <v>2</v>
      </c>
      <c r="H617" s="6">
        <v>67590.31</v>
      </c>
      <c r="I617" s="6">
        <v>6047.2</v>
      </c>
      <c r="J617">
        <v>17</v>
      </c>
      <c r="K617">
        <v>36</v>
      </c>
      <c r="L617" t="s">
        <v>18</v>
      </c>
      <c r="M617" t="s">
        <v>19</v>
      </c>
      <c r="N617">
        <v>5</v>
      </c>
      <c r="O617" s="4"/>
      <c r="P617" s="4" t="str">
        <f>IF(Data_Set_2[[#This Row],[valor_bruto]]&gt;$W$13,"OUTLIER+","")</f>
        <v/>
      </c>
      <c r="Q617" s="4" t="str">
        <f>IF(Data_Set_2[[#This Row],[valor_bruto]]&lt;$W$14,"OUTLIER-","")</f>
        <v/>
      </c>
      <c r="R617" s="4"/>
      <c r="S617" s="4"/>
      <c r="AB617" t="str">
        <v>RES-100615</v>
      </c>
      <c r="AC617">
        <v>45939</v>
      </c>
      <c r="AD617">
        <v>0.57291666666666663</v>
      </c>
      <c r="AE617" t="str">
        <v>Envigado</v>
      </c>
      <c r="AF617" t="str">
        <v>Mesa</v>
      </c>
      <c r="AG617" t="str">
        <v>Comida rapida</v>
      </c>
      <c r="AH617">
        <v>2</v>
      </c>
      <c r="AI617">
        <v>67590.31</v>
      </c>
      <c r="AJ617">
        <v>6047.2</v>
      </c>
      <c r="AK617">
        <v>17</v>
      </c>
      <c r="AL617">
        <v>36</v>
      </c>
      <c r="AM617" t="str">
        <v>Tarjeta</v>
      </c>
      <c r="AN617" t="str">
        <v>Entregada</v>
      </c>
      <c r="AO617">
        <v>5</v>
      </c>
    </row>
    <row r="618" spans="1:41" x14ac:dyDescent="0.3">
      <c r="A618" t="s">
        <v>654</v>
      </c>
      <c r="B618" s="8">
        <v>45940</v>
      </c>
      <c r="C618" s="2">
        <v>0.61944444444444446</v>
      </c>
      <c r="D618" t="s">
        <v>15</v>
      </c>
      <c r="E618" t="s">
        <v>22</v>
      </c>
      <c r="F618" t="s">
        <v>23</v>
      </c>
      <c r="G618">
        <v>4</v>
      </c>
      <c r="H618" s="6">
        <v>44828.63</v>
      </c>
      <c r="I618" s="6">
        <v>5051.5600000000004</v>
      </c>
      <c r="J618">
        <v>18</v>
      </c>
      <c r="K618">
        <v>48</v>
      </c>
      <c r="L618" t="s">
        <v>24</v>
      </c>
      <c r="M618" t="s">
        <v>25</v>
      </c>
      <c r="N618">
        <v>4</v>
      </c>
      <c r="O618" s="4"/>
      <c r="P618" s="4" t="str">
        <f>IF(Data_Set_2[[#This Row],[valor_bruto]]&gt;$W$13,"OUTLIER+","")</f>
        <v/>
      </c>
      <c r="Q618" s="4" t="str">
        <f>IF(Data_Set_2[[#This Row],[valor_bruto]]&lt;$W$14,"OUTLIER-","")</f>
        <v/>
      </c>
      <c r="R618" s="4"/>
      <c r="S618" s="4"/>
      <c r="AB618" t="str">
        <v>RES-100616</v>
      </c>
      <c r="AC618">
        <v>45940</v>
      </c>
      <c r="AD618">
        <v>0.61944444444444446</v>
      </c>
      <c r="AE618" t="str">
        <v>Laureles</v>
      </c>
      <c r="AF618" t="str">
        <v>Domicilio</v>
      </c>
      <c r="AG618" t="str">
        <v>Pasta</v>
      </c>
      <c r="AH618">
        <v>4</v>
      </c>
      <c r="AI618">
        <v>44828.63</v>
      </c>
      <c r="AJ618">
        <v>5051.5600000000004</v>
      </c>
      <c r="AK618">
        <v>18</v>
      </c>
      <c r="AL618">
        <v>48</v>
      </c>
      <c r="AM618" t="str">
        <v>Efectivo</v>
      </c>
      <c r="AN618" t="str">
        <v>Cancelada</v>
      </c>
      <c r="AO618">
        <v>4</v>
      </c>
    </row>
    <row r="619" spans="1:41" x14ac:dyDescent="0.3">
      <c r="A619" t="s">
        <v>655</v>
      </c>
      <c r="B619" s="8">
        <v>45971</v>
      </c>
      <c r="C619" s="2">
        <v>0.66597222222222219</v>
      </c>
      <c r="D619" t="s">
        <v>21</v>
      </c>
      <c r="E619" t="s">
        <v>28</v>
      </c>
      <c r="F619" t="s">
        <v>29</v>
      </c>
      <c r="G619">
        <v>3</v>
      </c>
      <c r="H619" s="6">
        <v>60848.38</v>
      </c>
      <c r="I619" s="6">
        <v>5445.61</v>
      </c>
      <c r="J619">
        <v>31</v>
      </c>
      <c r="K619">
        <v>46</v>
      </c>
      <c r="L619" t="s">
        <v>30</v>
      </c>
      <c r="M619" t="s">
        <v>31</v>
      </c>
      <c r="N619">
        <v>4</v>
      </c>
      <c r="O619" s="4"/>
      <c r="P619" s="4" t="str">
        <f>IF(Data_Set_2[[#This Row],[valor_bruto]]&gt;$W$13,"OUTLIER+","")</f>
        <v/>
      </c>
      <c r="Q619" s="4" t="str">
        <f>IF(Data_Set_2[[#This Row],[valor_bruto]]&lt;$W$14,"OUTLIER-","")</f>
        <v/>
      </c>
      <c r="R619" s="4"/>
      <c r="S619" s="4"/>
      <c r="AB619" t="str">
        <v>RES-100617</v>
      </c>
      <c r="AC619">
        <v>45971</v>
      </c>
      <c r="AD619">
        <v>0.66597222222222219</v>
      </c>
      <c r="AE619" t="str">
        <v>Poblado</v>
      </c>
      <c r="AF619" t="str">
        <v>Recoge</v>
      </c>
      <c r="AG619" t="str">
        <v>Parrilla</v>
      </c>
      <c r="AH619">
        <v>3</v>
      </c>
      <c r="AI619">
        <v>60848.38</v>
      </c>
      <c r="AJ619">
        <v>5445.61</v>
      </c>
      <c r="AK619">
        <v>31</v>
      </c>
      <c r="AL619">
        <v>46</v>
      </c>
      <c r="AM619" t="str">
        <v>App</v>
      </c>
      <c r="AN619" t="str">
        <v>Reembolsada</v>
      </c>
      <c r="AO619">
        <v>4</v>
      </c>
    </row>
    <row r="620" spans="1:41" x14ac:dyDescent="0.3">
      <c r="A620" t="s">
        <v>656</v>
      </c>
      <c r="B620" s="8">
        <v>45942</v>
      </c>
      <c r="C620" s="2">
        <v>0.67083333333333328</v>
      </c>
      <c r="D620" t="s">
        <v>27</v>
      </c>
      <c r="E620" t="s">
        <v>16</v>
      </c>
      <c r="F620" t="s">
        <v>34</v>
      </c>
      <c r="G620">
        <v>4</v>
      </c>
      <c r="H620" s="6">
        <v>59782.59</v>
      </c>
      <c r="I620" s="6">
        <v>4659.99</v>
      </c>
      <c r="J620">
        <v>30</v>
      </c>
      <c r="K620">
        <v>27</v>
      </c>
      <c r="L620" t="s">
        <v>18</v>
      </c>
      <c r="M620" t="s">
        <v>19</v>
      </c>
      <c r="N620">
        <v>4</v>
      </c>
      <c r="O620" s="4"/>
      <c r="P620" s="4" t="str">
        <f>IF(Data_Set_2[[#This Row],[valor_bruto]]&gt;$W$13,"OUTLIER+","")</f>
        <v/>
      </c>
      <c r="Q620" s="4" t="str">
        <f>IF(Data_Set_2[[#This Row],[valor_bruto]]&lt;$W$14,"OUTLIER-","")</f>
        <v/>
      </c>
      <c r="R620" s="4"/>
      <c r="S620" s="4"/>
      <c r="AB620" t="str">
        <v>RES-100618</v>
      </c>
      <c r="AC620">
        <v>45942</v>
      </c>
      <c r="AD620">
        <v>0.67083333333333328</v>
      </c>
      <c r="AE620" t="str">
        <v>Centro</v>
      </c>
      <c r="AF620" t="str">
        <v>Mesa</v>
      </c>
      <c r="AG620" t="str">
        <v>Vegano</v>
      </c>
      <c r="AH620">
        <v>4</v>
      </c>
      <c r="AI620">
        <v>59782.59</v>
      </c>
      <c r="AJ620">
        <v>4659.99</v>
      </c>
      <c r="AK620">
        <v>30</v>
      </c>
      <c r="AL620">
        <v>27</v>
      </c>
      <c r="AM620" t="str">
        <v>Tarjeta</v>
      </c>
      <c r="AN620" t="str">
        <v>Entregada</v>
      </c>
      <c r="AO620">
        <v>4</v>
      </c>
    </row>
    <row r="621" spans="1:41" x14ac:dyDescent="0.3">
      <c r="A621" t="s">
        <v>657</v>
      </c>
      <c r="B621" s="8">
        <v>45943</v>
      </c>
      <c r="C621" s="2">
        <v>0.71736111111111112</v>
      </c>
      <c r="D621" t="s">
        <v>33</v>
      </c>
      <c r="E621" t="s">
        <v>22</v>
      </c>
      <c r="F621" t="s">
        <v>36</v>
      </c>
      <c r="G621">
        <v>3</v>
      </c>
      <c r="H621" s="6">
        <v>26305.13</v>
      </c>
      <c r="I621" s="6">
        <v>677.54</v>
      </c>
      <c r="J621">
        <v>27</v>
      </c>
      <c r="K621">
        <v>36</v>
      </c>
      <c r="L621" t="s">
        <v>24</v>
      </c>
      <c r="M621" t="s">
        <v>25</v>
      </c>
      <c r="N621">
        <v>5</v>
      </c>
      <c r="O621" s="4"/>
      <c r="P621" s="4" t="str">
        <f>IF(Data_Set_2[[#This Row],[valor_bruto]]&gt;$W$13,"OUTLIER+","")</f>
        <v/>
      </c>
      <c r="Q621" s="4" t="str">
        <f>IF(Data_Set_2[[#This Row],[valor_bruto]]&lt;$W$14,"OUTLIER-","")</f>
        <v/>
      </c>
      <c r="R621" s="4"/>
      <c r="S621" s="4"/>
      <c r="AB621" t="str">
        <v>RES-100619</v>
      </c>
      <c r="AC621">
        <v>45943</v>
      </c>
      <c r="AD621">
        <v>0.71736111111111112</v>
      </c>
      <c r="AE621" t="str">
        <v>Envigado</v>
      </c>
      <c r="AF621" t="str">
        <v>Domicilio</v>
      </c>
      <c r="AG621" t="str">
        <v>Bebidas</v>
      </c>
      <c r="AH621">
        <v>3</v>
      </c>
      <c r="AI621">
        <v>26305.13</v>
      </c>
      <c r="AJ621">
        <v>677.54</v>
      </c>
      <c r="AK621">
        <v>27</v>
      </c>
      <c r="AL621">
        <v>36</v>
      </c>
      <c r="AM621" t="str">
        <v>Efectivo</v>
      </c>
      <c r="AN621" t="str">
        <v>Cancelada</v>
      </c>
      <c r="AO621">
        <v>5</v>
      </c>
    </row>
    <row r="622" spans="1:41" x14ac:dyDescent="0.3">
      <c r="A622" t="s">
        <v>658</v>
      </c>
      <c r="B622" s="8">
        <v>45944</v>
      </c>
      <c r="C622" s="2">
        <v>0.76388888888888884</v>
      </c>
      <c r="D622" t="s">
        <v>15</v>
      </c>
      <c r="E622" t="s">
        <v>28</v>
      </c>
      <c r="F622" t="s">
        <v>17</v>
      </c>
      <c r="G622">
        <v>6</v>
      </c>
      <c r="H622" s="6">
        <v>30738.53</v>
      </c>
      <c r="I622" s="6">
        <v>2422.92</v>
      </c>
      <c r="J622">
        <v>18</v>
      </c>
      <c r="K622">
        <v>36</v>
      </c>
      <c r="L622" t="s">
        <v>30</v>
      </c>
      <c r="M622" t="s">
        <v>31</v>
      </c>
      <c r="N622">
        <v>4</v>
      </c>
      <c r="O622" s="4"/>
      <c r="P622" s="4" t="str">
        <f>IF(Data_Set_2[[#This Row],[valor_bruto]]&gt;$W$13,"OUTLIER+","")</f>
        <v/>
      </c>
      <c r="Q622" s="4" t="str">
        <f>IF(Data_Set_2[[#This Row],[valor_bruto]]&lt;$W$14,"OUTLIER-","")</f>
        <v/>
      </c>
      <c r="R622" s="4"/>
      <c r="S622" s="4"/>
      <c r="AB622" t="str">
        <v>RES-100620</v>
      </c>
      <c r="AC622">
        <v>45944</v>
      </c>
      <c r="AD622">
        <v>0.76388888888888884</v>
      </c>
      <c r="AE622" t="str">
        <v>Laureles</v>
      </c>
      <c r="AF622" t="str">
        <v>Recoge</v>
      </c>
      <c r="AG622" t="str">
        <v>Comida rapida</v>
      </c>
      <c r="AH622">
        <v>6</v>
      </c>
      <c r="AI622">
        <v>30738.53</v>
      </c>
      <c r="AJ622">
        <v>2422.92</v>
      </c>
      <c r="AK622">
        <v>18</v>
      </c>
      <c r="AL622">
        <v>36</v>
      </c>
      <c r="AM622" t="str">
        <v>App</v>
      </c>
      <c r="AN622" t="str">
        <v>Reembolsada</v>
      </c>
      <c r="AO622">
        <v>4</v>
      </c>
    </row>
    <row r="623" spans="1:41" x14ac:dyDescent="0.3">
      <c r="A623" t="s">
        <v>659</v>
      </c>
      <c r="B623" s="8">
        <v>45945</v>
      </c>
      <c r="C623" s="2">
        <v>0.81041666666666667</v>
      </c>
      <c r="D623" t="s">
        <v>21</v>
      </c>
      <c r="E623" t="s">
        <v>16</v>
      </c>
      <c r="F623" t="s">
        <v>23</v>
      </c>
      <c r="G623">
        <v>5</v>
      </c>
      <c r="H623" s="6">
        <v>54811.61</v>
      </c>
      <c r="I623" s="6">
        <v>4714.3</v>
      </c>
      <c r="J623">
        <v>14</v>
      </c>
      <c r="K623">
        <v>25</v>
      </c>
      <c r="L623" t="s">
        <v>18</v>
      </c>
      <c r="M623" t="s">
        <v>19</v>
      </c>
      <c r="N623">
        <v>4</v>
      </c>
      <c r="O623" s="4"/>
      <c r="P623" s="4" t="str">
        <f>IF(Data_Set_2[[#This Row],[valor_bruto]]&gt;$W$13,"OUTLIER+","")</f>
        <v/>
      </c>
      <c r="Q623" s="4" t="str">
        <f>IF(Data_Set_2[[#This Row],[valor_bruto]]&lt;$W$14,"OUTLIER-","")</f>
        <v/>
      </c>
      <c r="R623" s="4"/>
      <c r="S623" s="4"/>
      <c r="AB623" t="str">
        <v>RES-100621</v>
      </c>
      <c r="AC623">
        <v>45945</v>
      </c>
      <c r="AD623">
        <v>0.81041666666666667</v>
      </c>
      <c r="AE623" t="str">
        <v>Poblado</v>
      </c>
      <c r="AF623" t="str">
        <v>Mesa</v>
      </c>
      <c r="AG623" t="str">
        <v>Pasta</v>
      </c>
      <c r="AH623">
        <v>5</v>
      </c>
      <c r="AI623">
        <v>54811.61</v>
      </c>
      <c r="AJ623">
        <v>4714.3</v>
      </c>
      <c r="AK623">
        <v>14</v>
      </c>
      <c r="AL623">
        <v>25</v>
      </c>
      <c r="AM623" t="str">
        <v>Tarjeta</v>
      </c>
      <c r="AN623" t="str">
        <v>Entregada</v>
      </c>
      <c r="AO623">
        <v>4</v>
      </c>
    </row>
    <row r="624" spans="1:41" x14ac:dyDescent="0.3">
      <c r="A624" t="s">
        <v>660</v>
      </c>
      <c r="B624" s="8">
        <v>45946</v>
      </c>
      <c r="C624" s="2">
        <v>0.8569444444444444</v>
      </c>
      <c r="D624" t="s">
        <v>27</v>
      </c>
      <c r="E624" t="s">
        <v>22</v>
      </c>
      <c r="F624" t="s">
        <v>29</v>
      </c>
      <c r="G624">
        <v>2</v>
      </c>
      <c r="H624" s="6">
        <v>28610.54</v>
      </c>
      <c r="I624" s="6">
        <v>1295.6199999999999</v>
      </c>
      <c r="J624">
        <v>25</v>
      </c>
      <c r="K624">
        <v>30</v>
      </c>
      <c r="L624" t="s">
        <v>24</v>
      </c>
      <c r="M624" t="s">
        <v>25</v>
      </c>
      <c r="N624">
        <v>4</v>
      </c>
      <c r="O624" s="4"/>
      <c r="P624" s="4" t="str">
        <f>IF(Data_Set_2[[#This Row],[valor_bruto]]&gt;$W$13,"OUTLIER+","")</f>
        <v/>
      </c>
      <c r="Q624" s="4" t="str">
        <f>IF(Data_Set_2[[#This Row],[valor_bruto]]&lt;$W$14,"OUTLIER-","")</f>
        <v/>
      </c>
      <c r="R624" s="4"/>
      <c r="S624" s="4"/>
      <c r="AB624" t="str">
        <v>RES-100622</v>
      </c>
      <c r="AC624">
        <v>45946</v>
      </c>
      <c r="AD624">
        <v>0.8569444444444444</v>
      </c>
      <c r="AE624" t="str">
        <v>Centro</v>
      </c>
      <c r="AF624" t="str">
        <v>Domicilio</v>
      </c>
      <c r="AG624" t="str">
        <v>Parrilla</v>
      </c>
      <c r="AH624">
        <v>2</v>
      </c>
      <c r="AI624">
        <v>28610.54</v>
      </c>
      <c r="AJ624">
        <v>1295.6199999999999</v>
      </c>
      <c r="AK624">
        <v>25</v>
      </c>
      <c r="AL624">
        <v>30</v>
      </c>
      <c r="AM624" t="str">
        <v>Efectivo</v>
      </c>
      <c r="AN624" t="str">
        <v>Cancelada</v>
      </c>
      <c r="AO624">
        <v>4</v>
      </c>
    </row>
    <row r="625" spans="1:41" x14ac:dyDescent="0.3">
      <c r="A625" t="s">
        <v>661</v>
      </c>
      <c r="B625" s="8">
        <v>45947</v>
      </c>
      <c r="C625" s="2">
        <v>0.90347222222222223</v>
      </c>
      <c r="D625" t="s">
        <v>33</v>
      </c>
      <c r="E625" t="s">
        <v>28</v>
      </c>
      <c r="F625" t="s">
        <v>34</v>
      </c>
      <c r="G625">
        <v>5</v>
      </c>
      <c r="H625" s="6">
        <v>59227.59</v>
      </c>
      <c r="I625" s="6">
        <v>3462.67</v>
      </c>
      <c r="J625">
        <v>17</v>
      </c>
      <c r="K625">
        <v>51</v>
      </c>
      <c r="L625" t="s">
        <v>30</v>
      </c>
      <c r="M625" t="s">
        <v>31</v>
      </c>
      <c r="N625">
        <v>4</v>
      </c>
      <c r="O625" s="4"/>
      <c r="P625" s="4" t="str">
        <f>IF(Data_Set_2[[#This Row],[valor_bruto]]&gt;$W$13,"OUTLIER+","")</f>
        <v/>
      </c>
      <c r="Q625" s="4" t="str">
        <f>IF(Data_Set_2[[#This Row],[valor_bruto]]&lt;$W$14,"OUTLIER-","")</f>
        <v/>
      </c>
      <c r="R625" s="4"/>
      <c r="S625" s="4"/>
      <c r="AB625" t="str">
        <v>RES-100623</v>
      </c>
      <c r="AC625">
        <v>45947</v>
      </c>
      <c r="AD625">
        <v>0.90347222222222223</v>
      </c>
      <c r="AE625" t="str">
        <v>Envigado</v>
      </c>
      <c r="AF625" t="str">
        <v>Recoge</v>
      </c>
      <c r="AG625" t="str">
        <v>Vegano</v>
      </c>
      <c r="AH625">
        <v>5</v>
      </c>
      <c r="AI625">
        <v>59227.59</v>
      </c>
      <c r="AJ625">
        <v>3462.67</v>
      </c>
      <c r="AK625">
        <v>17</v>
      </c>
      <c r="AL625">
        <v>51</v>
      </c>
      <c r="AM625" t="str">
        <v>App</v>
      </c>
      <c r="AN625" t="str">
        <v>Reembolsada</v>
      </c>
      <c r="AO625">
        <v>4</v>
      </c>
    </row>
    <row r="626" spans="1:41" x14ac:dyDescent="0.3">
      <c r="A626" t="s">
        <v>662</v>
      </c>
      <c r="B626" s="8">
        <v>45948</v>
      </c>
      <c r="C626" s="2">
        <v>0.45</v>
      </c>
      <c r="D626" t="s">
        <v>15</v>
      </c>
      <c r="E626" t="s">
        <v>16</v>
      </c>
      <c r="F626" t="s">
        <v>36</v>
      </c>
      <c r="G626">
        <v>2</v>
      </c>
      <c r="H626" s="6">
        <v>27576.89</v>
      </c>
      <c r="I626" s="6">
        <v>2290.23</v>
      </c>
      <c r="J626">
        <v>19</v>
      </c>
      <c r="K626">
        <v>52</v>
      </c>
      <c r="L626" t="s">
        <v>18</v>
      </c>
      <c r="M626" t="s">
        <v>19</v>
      </c>
      <c r="N626">
        <v>3</v>
      </c>
      <c r="O626" s="4"/>
      <c r="P626" s="4" t="str">
        <f>IF(Data_Set_2[[#This Row],[valor_bruto]]&gt;$W$13,"OUTLIER+","")</f>
        <v/>
      </c>
      <c r="Q626" s="4" t="str">
        <f>IF(Data_Set_2[[#This Row],[valor_bruto]]&lt;$W$14,"OUTLIER-","")</f>
        <v/>
      </c>
      <c r="R626" s="4"/>
      <c r="S626" s="4"/>
      <c r="AB626" t="str">
        <v>RES-100624</v>
      </c>
      <c r="AC626">
        <v>45948</v>
      </c>
      <c r="AD626">
        <v>0.45</v>
      </c>
      <c r="AE626" t="str">
        <v>Laureles</v>
      </c>
      <c r="AF626" t="str">
        <v>Mesa</v>
      </c>
      <c r="AG626" t="str">
        <v>Bebidas</v>
      </c>
      <c r="AH626">
        <v>2</v>
      </c>
      <c r="AI626">
        <v>27576.89</v>
      </c>
      <c r="AJ626">
        <v>2290.23</v>
      </c>
      <c r="AK626">
        <v>19</v>
      </c>
      <c r="AL626">
        <v>52</v>
      </c>
      <c r="AM626" t="str">
        <v>Tarjeta</v>
      </c>
      <c r="AN626" t="str">
        <v>Entregada</v>
      </c>
      <c r="AO626">
        <v>3</v>
      </c>
    </row>
    <row r="627" spans="1:41" x14ac:dyDescent="0.3">
      <c r="A627" t="s">
        <v>663</v>
      </c>
      <c r="B627" s="8">
        <v>45949</v>
      </c>
      <c r="C627" s="2">
        <v>0.49652777777777779</v>
      </c>
      <c r="D627" t="s">
        <v>21</v>
      </c>
      <c r="E627" t="s">
        <v>22</v>
      </c>
      <c r="F627" t="s">
        <v>17</v>
      </c>
      <c r="G627">
        <v>4</v>
      </c>
      <c r="H627" s="6">
        <v>28577.15</v>
      </c>
      <c r="I627" s="6">
        <v>2060.9699999999998</v>
      </c>
      <c r="J627">
        <v>20</v>
      </c>
      <c r="K627">
        <v>33</v>
      </c>
      <c r="L627" t="s">
        <v>24</v>
      </c>
      <c r="M627" t="s">
        <v>25</v>
      </c>
      <c r="N627">
        <v>3</v>
      </c>
      <c r="O627" s="4"/>
      <c r="P627" s="4" t="str">
        <f>IF(Data_Set_2[[#This Row],[valor_bruto]]&gt;$W$13,"OUTLIER+","")</f>
        <v/>
      </c>
      <c r="Q627" s="4" t="str">
        <f>IF(Data_Set_2[[#This Row],[valor_bruto]]&lt;$W$14,"OUTLIER-","")</f>
        <v/>
      </c>
      <c r="R627" s="4"/>
      <c r="S627" s="4"/>
      <c r="AB627" t="str">
        <v>RES-100625</v>
      </c>
      <c r="AC627">
        <v>45949</v>
      </c>
      <c r="AD627">
        <v>0.49652777777777779</v>
      </c>
      <c r="AE627" t="str">
        <v>Poblado</v>
      </c>
      <c r="AF627" t="str">
        <v>Domicilio</v>
      </c>
      <c r="AG627" t="str">
        <v>Comida rapida</v>
      </c>
      <c r="AH627">
        <v>4</v>
      </c>
      <c r="AI627">
        <v>28577.15</v>
      </c>
      <c r="AJ627">
        <v>2060.9699999999998</v>
      </c>
      <c r="AK627">
        <v>20</v>
      </c>
      <c r="AL627">
        <v>33</v>
      </c>
      <c r="AM627" t="str">
        <v>Efectivo</v>
      </c>
      <c r="AN627" t="str">
        <v>Cancelada</v>
      </c>
      <c r="AO627">
        <v>3</v>
      </c>
    </row>
    <row r="628" spans="1:41" x14ac:dyDescent="0.3">
      <c r="A628" t="s">
        <v>664</v>
      </c>
      <c r="B628" s="8">
        <v>45950</v>
      </c>
      <c r="C628" s="2">
        <v>0.50138888888888888</v>
      </c>
      <c r="D628" t="s">
        <v>27</v>
      </c>
      <c r="E628" t="s">
        <v>28</v>
      </c>
      <c r="F628" t="s">
        <v>23</v>
      </c>
      <c r="G628">
        <v>6</v>
      </c>
      <c r="H628" s="6">
        <v>57570.13</v>
      </c>
      <c r="I628" s="6">
        <v>7821.17</v>
      </c>
      <c r="J628">
        <v>16</v>
      </c>
      <c r="K628">
        <v>24</v>
      </c>
      <c r="L628" t="s">
        <v>30</v>
      </c>
      <c r="M628" t="s">
        <v>31</v>
      </c>
      <c r="N628">
        <v>3</v>
      </c>
      <c r="O628" s="4"/>
      <c r="P628" s="4" t="str">
        <f>IF(Data_Set_2[[#This Row],[valor_bruto]]&gt;$W$13,"OUTLIER+","")</f>
        <v/>
      </c>
      <c r="Q628" s="4" t="str">
        <f>IF(Data_Set_2[[#This Row],[valor_bruto]]&lt;$W$14,"OUTLIER-","")</f>
        <v/>
      </c>
      <c r="R628" s="4"/>
      <c r="S628" s="4"/>
      <c r="AB628" t="str">
        <v>RES-100626</v>
      </c>
      <c r="AC628">
        <v>45950</v>
      </c>
      <c r="AD628">
        <v>0.50138888888888888</v>
      </c>
      <c r="AE628" t="str">
        <v>Centro</v>
      </c>
      <c r="AF628" t="str">
        <v>Recoge</v>
      </c>
      <c r="AG628" t="str">
        <v>Pasta</v>
      </c>
      <c r="AH628">
        <v>6</v>
      </c>
      <c r="AI628">
        <v>57570.13</v>
      </c>
      <c r="AJ628">
        <v>7821.17</v>
      </c>
      <c r="AK628">
        <v>16</v>
      </c>
      <c r="AL628">
        <v>24</v>
      </c>
      <c r="AM628" t="str">
        <v>App</v>
      </c>
      <c r="AN628" t="str">
        <v>Reembolsada</v>
      </c>
      <c r="AO628">
        <v>3</v>
      </c>
    </row>
    <row r="629" spans="1:41" x14ac:dyDescent="0.3">
      <c r="A629" t="s">
        <v>665</v>
      </c>
      <c r="B629" s="8">
        <v>45951</v>
      </c>
      <c r="C629" s="2">
        <v>0.54791666666666672</v>
      </c>
      <c r="D629" t="s">
        <v>33</v>
      </c>
      <c r="E629" t="s">
        <v>16</v>
      </c>
      <c r="F629" t="s">
        <v>29</v>
      </c>
      <c r="G629">
        <v>6</v>
      </c>
      <c r="H629" s="6">
        <v>65890</v>
      </c>
      <c r="I629" s="6">
        <v>7225.92</v>
      </c>
      <c r="J629">
        <v>27</v>
      </c>
      <c r="K629">
        <v>25</v>
      </c>
      <c r="L629" t="s">
        <v>18</v>
      </c>
      <c r="M629" t="s">
        <v>19</v>
      </c>
      <c r="N629">
        <v>4</v>
      </c>
      <c r="O629" s="4"/>
      <c r="P629" s="4" t="str">
        <f>IF(Data_Set_2[[#This Row],[valor_bruto]]&gt;$W$13,"OUTLIER+","")</f>
        <v/>
      </c>
      <c r="Q629" s="4" t="str">
        <f>IF(Data_Set_2[[#This Row],[valor_bruto]]&lt;$W$14,"OUTLIER-","")</f>
        <v/>
      </c>
      <c r="R629" s="4"/>
      <c r="S629" s="4"/>
      <c r="AB629" t="str">
        <v>RES-100627</v>
      </c>
      <c r="AC629">
        <v>45951</v>
      </c>
      <c r="AD629">
        <v>0.54791666666666672</v>
      </c>
      <c r="AE629" t="str">
        <v>Envigado</v>
      </c>
      <c r="AF629" t="str">
        <v>Mesa</v>
      </c>
      <c r="AG629" t="str">
        <v>Parrilla</v>
      </c>
      <c r="AH629">
        <v>6</v>
      </c>
      <c r="AI629">
        <v>65890</v>
      </c>
      <c r="AJ629">
        <v>7225.92</v>
      </c>
      <c r="AK629">
        <v>27</v>
      </c>
      <c r="AL629">
        <v>25</v>
      </c>
      <c r="AM629" t="str">
        <v>Tarjeta</v>
      </c>
      <c r="AN629" t="str">
        <v>Entregada</v>
      </c>
      <c r="AO629">
        <v>4</v>
      </c>
    </row>
    <row r="630" spans="1:41" x14ac:dyDescent="0.3">
      <c r="A630" t="s">
        <v>666</v>
      </c>
      <c r="B630" s="8">
        <v>45952</v>
      </c>
      <c r="C630" s="2">
        <v>0.59444444444444444</v>
      </c>
      <c r="D630" t="s">
        <v>15</v>
      </c>
      <c r="E630" t="s">
        <v>22</v>
      </c>
      <c r="F630" t="s">
        <v>34</v>
      </c>
      <c r="G630">
        <v>2</v>
      </c>
      <c r="H630" s="6">
        <v>29819.599999999999</v>
      </c>
      <c r="I630" s="6">
        <v>6154.45</v>
      </c>
      <c r="J630">
        <v>16</v>
      </c>
      <c r="K630">
        <v>52</v>
      </c>
      <c r="L630" t="s">
        <v>24</v>
      </c>
      <c r="M630" t="s">
        <v>25</v>
      </c>
      <c r="N630">
        <v>3</v>
      </c>
      <c r="O630" s="4"/>
      <c r="P630" s="4" t="str">
        <f>IF(Data_Set_2[[#This Row],[valor_bruto]]&gt;$W$13,"OUTLIER+","")</f>
        <v/>
      </c>
      <c r="Q630" s="4" t="str">
        <f>IF(Data_Set_2[[#This Row],[valor_bruto]]&lt;$W$14,"OUTLIER-","")</f>
        <v/>
      </c>
      <c r="R630" s="4"/>
      <c r="S630" s="4"/>
      <c r="AB630" t="str">
        <v>RES-100628</v>
      </c>
      <c r="AC630">
        <v>45952</v>
      </c>
      <c r="AD630">
        <v>0.59444444444444444</v>
      </c>
      <c r="AE630" t="str">
        <v>Laureles</v>
      </c>
      <c r="AF630" t="str">
        <v>Domicilio</v>
      </c>
      <c r="AG630" t="str">
        <v>Vegano</v>
      </c>
      <c r="AH630">
        <v>2</v>
      </c>
      <c r="AI630">
        <v>29819.599999999999</v>
      </c>
      <c r="AJ630">
        <v>6154.45</v>
      </c>
      <c r="AK630">
        <v>16</v>
      </c>
      <c r="AL630">
        <v>52</v>
      </c>
      <c r="AM630" t="str">
        <v>Efectivo</v>
      </c>
      <c r="AN630" t="str">
        <v>Cancelada</v>
      </c>
      <c r="AO630">
        <v>3</v>
      </c>
    </row>
    <row r="631" spans="1:41" x14ac:dyDescent="0.3">
      <c r="A631" t="s">
        <v>667</v>
      </c>
      <c r="B631" s="8">
        <v>45953</v>
      </c>
      <c r="C631" s="2">
        <v>0.64097222222222228</v>
      </c>
      <c r="D631" t="s">
        <v>21</v>
      </c>
      <c r="E631" t="s">
        <v>28</v>
      </c>
      <c r="F631" t="s">
        <v>36</v>
      </c>
      <c r="G631">
        <v>6</v>
      </c>
      <c r="H631" s="6">
        <v>57232.28</v>
      </c>
      <c r="I631" s="6">
        <v>1906.28</v>
      </c>
      <c r="J631">
        <v>29</v>
      </c>
      <c r="K631">
        <v>25</v>
      </c>
      <c r="L631" t="s">
        <v>30</v>
      </c>
      <c r="M631" t="s">
        <v>31</v>
      </c>
      <c r="N631">
        <v>4</v>
      </c>
      <c r="O631" s="4"/>
      <c r="P631" s="4" t="str">
        <f>IF(Data_Set_2[[#This Row],[valor_bruto]]&gt;$W$13,"OUTLIER+","")</f>
        <v/>
      </c>
      <c r="Q631" s="4" t="str">
        <f>IF(Data_Set_2[[#This Row],[valor_bruto]]&lt;$W$14,"OUTLIER-","")</f>
        <v/>
      </c>
      <c r="R631" s="4"/>
      <c r="S631" s="4"/>
      <c r="AB631" t="str">
        <v>RES-100629</v>
      </c>
      <c r="AC631">
        <v>45953</v>
      </c>
      <c r="AD631">
        <v>0.64097222222222228</v>
      </c>
      <c r="AE631" t="str">
        <v>Poblado</v>
      </c>
      <c r="AF631" t="str">
        <v>Recoge</v>
      </c>
      <c r="AG631" t="str">
        <v>Bebidas</v>
      </c>
      <c r="AH631">
        <v>6</v>
      </c>
      <c r="AI631">
        <v>57232.28</v>
      </c>
      <c r="AJ631">
        <v>1906.28</v>
      </c>
      <c r="AK631">
        <v>29</v>
      </c>
      <c r="AL631">
        <v>25</v>
      </c>
      <c r="AM631" t="str">
        <v>App</v>
      </c>
      <c r="AN631" t="str">
        <v>Reembolsada</v>
      </c>
      <c r="AO631">
        <v>4</v>
      </c>
    </row>
    <row r="632" spans="1:41" x14ac:dyDescent="0.3">
      <c r="A632" t="s">
        <v>668</v>
      </c>
      <c r="B632" s="8">
        <v>45954</v>
      </c>
      <c r="C632" s="2">
        <v>0.6875</v>
      </c>
      <c r="D632" t="s">
        <v>27</v>
      </c>
      <c r="E632" t="s">
        <v>16</v>
      </c>
      <c r="F632" t="s">
        <v>17</v>
      </c>
      <c r="G632">
        <v>5</v>
      </c>
      <c r="H632" s="6">
        <v>38737.620000000003</v>
      </c>
      <c r="I632" s="6">
        <v>3637.1289999999995</v>
      </c>
      <c r="J632">
        <v>22</v>
      </c>
      <c r="K632">
        <v>42</v>
      </c>
      <c r="L632" t="s">
        <v>18</v>
      </c>
      <c r="M632" t="s">
        <v>19</v>
      </c>
      <c r="N632">
        <v>4</v>
      </c>
      <c r="O632" s="4"/>
      <c r="P632" s="4" t="str">
        <f>IF(Data_Set_2[[#This Row],[valor_bruto]]&gt;$W$13,"OUTLIER+","")</f>
        <v/>
      </c>
      <c r="Q632" s="4" t="str">
        <f>IF(Data_Set_2[[#This Row],[valor_bruto]]&lt;$W$14,"OUTLIER-","")</f>
        <v/>
      </c>
      <c r="R632" s="4"/>
      <c r="S632" s="4"/>
      <c r="AB632" t="str">
        <v>RES-100630</v>
      </c>
      <c r="AC632">
        <v>45954</v>
      </c>
      <c r="AD632">
        <v>0.6875</v>
      </c>
      <c r="AE632" t="str">
        <v>Centro</v>
      </c>
      <c r="AF632" t="str">
        <v>Mesa</v>
      </c>
      <c r="AG632" t="str">
        <v>Comida rapida</v>
      </c>
      <c r="AH632">
        <v>5</v>
      </c>
      <c r="AI632">
        <v>38737.620000000003</v>
      </c>
      <c r="AJ632">
        <v>3637.1289999999995</v>
      </c>
      <c r="AK632">
        <v>22</v>
      </c>
      <c r="AL632">
        <v>42</v>
      </c>
      <c r="AM632" t="str">
        <v>Tarjeta</v>
      </c>
      <c r="AN632" t="str">
        <v>Entregada</v>
      </c>
      <c r="AO632">
        <v>4</v>
      </c>
    </row>
    <row r="633" spans="1:41" x14ac:dyDescent="0.3">
      <c r="A633" t="s">
        <v>669</v>
      </c>
      <c r="B633" s="8">
        <v>45955</v>
      </c>
      <c r="C633" s="2">
        <v>0.73402777777777772</v>
      </c>
      <c r="D633" t="s">
        <v>33</v>
      </c>
      <c r="E633" t="s">
        <v>22</v>
      </c>
      <c r="F633" t="s">
        <v>23</v>
      </c>
      <c r="G633">
        <v>2</v>
      </c>
      <c r="H633" s="6">
        <v>27126.5</v>
      </c>
      <c r="I633" s="6">
        <v>4753.9799999999996</v>
      </c>
      <c r="J633">
        <v>24</v>
      </c>
      <c r="K633">
        <v>26</v>
      </c>
      <c r="L633" t="s">
        <v>24</v>
      </c>
      <c r="M633" t="s">
        <v>25</v>
      </c>
      <c r="N633">
        <v>4</v>
      </c>
      <c r="O633" s="4"/>
      <c r="P633" s="4" t="str">
        <f>IF(Data_Set_2[[#This Row],[valor_bruto]]&gt;$W$13,"OUTLIER+","")</f>
        <v/>
      </c>
      <c r="Q633" s="4" t="str">
        <f>IF(Data_Set_2[[#This Row],[valor_bruto]]&lt;$W$14,"OUTLIER-","")</f>
        <v/>
      </c>
      <c r="R633" s="4"/>
      <c r="S633" s="4"/>
      <c r="AB633" t="str">
        <v>RES-100631</v>
      </c>
      <c r="AC633">
        <v>45955</v>
      </c>
      <c r="AD633">
        <v>0.73402777777777772</v>
      </c>
      <c r="AE633" t="str">
        <v>Envigado</v>
      </c>
      <c r="AF633" t="str">
        <v>Domicilio</v>
      </c>
      <c r="AG633" t="str">
        <v>Pasta</v>
      </c>
      <c r="AH633">
        <v>2</v>
      </c>
      <c r="AI633">
        <v>27126.5</v>
      </c>
      <c r="AJ633">
        <v>4753.9799999999996</v>
      </c>
      <c r="AK633">
        <v>24</v>
      </c>
      <c r="AL633">
        <v>26</v>
      </c>
      <c r="AM633" t="str">
        <v>Efectivo</v>
      </c>
      <c r="AN633" t="str">
        <v>Cancelada</v>
      </c>
      <c r="AO633">
        <v>4</v>
      </c>
    </row>
    <row r="634" spans="1:41" x14ac:dyDescent="0.3">
      <c r="A634" t="s">
        <v>670</v>
      </c>
      <c r="B634" s="8">
        <v>45956</v>
      </c>
      <c r="C634" s="2">
        <v>0.78055555555555556</v>
      </c>
      <c r="D634" t="s">
        <v>15</v>
      </c>
      <c r="E634" t="s">
        <v>28</v>
      </c>
      <c r="F634" t="s">
        <v>29</v>
      </c>
      <c r="G634">
        <v>4</v>
      </c>
      <c r="H634" s="6">
        <v>36145.65</v>
      </c>
      <c r="I634" s="6">
        <v>4554.99</v>
      </c>
      <c r="J634">
        <v>13</v>
      </c>
      <c r="K634">
        <v>41</v>
      </c>
      <c r="L634" t="s">
        <v>30</v>
      </c>
      <c r="M634" t="s">
        <v>31</v>
      </c>
      <c r="N634">
        <v>3</v>
      </c>
      <c r="O634" s="4"/>
      <c r="P634" s="4" t="str">
        <f>IF(Data_Set_2[[#This Row],[valor_bruto]]&gt;$W$13,"OUTLIER+","")</f>
        <v/>
      </c>
      <c r="Q634" s="4" t="str">
        <f>IF(Data_Set_2[[#This Row],[valor_bruto]]&lt;$W$14,"OUTLIER-","")</f>
        <v/>
      </c>
      <c r="R634" s="4"/>
      <c r="S634" s="4"/>
      <c r="AB634" t="str">
        <v>RES-100632</v>
      </c>
      <c r="AC634">
        <v>45956</v>
      </c>
      <c r="AD634">
        <v>0.78055555555555556</v>
      </c>
      <c r="AE634" t="str">
        <v>Laureles</v>
      </c>
      <c r="AF634" t="str">
        <v>Recoge</v>
      </c>
      <c r="AG634" t="str">
        <v>Parrilla</v>
      </c>
      <c r="AH634">
        <v>4</v>
      </c>
      <c r="AI634">
        <v>36145.65</v>
      </c>
      <c r="AJ634">
        <v>4554.99</v>
      </c>
      <c r="AK634">
        <v>13</v>
      </c>
      <c r="AL634">
        <v>41</v>
      </c>
      <c r="AM634" t="str">
        <v>App</v>
      </c>
      <c r="AN634" t="str">
        <v>Reembolsada</v>
      </c>
      <c r="AO634">
        <v>3</v>
      </c>
    </row>
    <row r="635" spans="1:41" x14ac:dyDescent="0.3">
      <c r="A635" t="s">
        <v>671</v>
      </c>
      <c r="B635" s="8">
        <v>45957</v>
      </c>
      <c r="C635" s="2">
        <v>0.82708333333333328</v>
      </c>
      <c r="D635" t="s">
        <v>21</v>
      </c>
      <c r="E635" t="s">
        <v>16</v>
      </c>
      <c r="F635" t="s">
        <v>34</v>
      </c>
      <c r="G635">
        <v>3</v>
      </c>
      <c r="H635" s="6">
        <v>65338.13</v>
      </c>
      <c r="I635" s="6">
        <v>6977.23</v>
      </c>
      <c r="J635">
        <v>22</v>
      </c>
      <c r="K635">
        <v>45</v>
      </c>
      <c r="L635" t="s">
        <v>18</v>
      </c>
      <c r="M635" t="s">
        <v>19</v>
      </c>
      <c r="N635">
        <v>4</v>
      </c>
      <c r="O635" s="4"/>
      <c r="P635" s="4" t="str">
        <f>IF(Data_Set_2[[#This Row],[valor_bruto]]&gt;$W$13,"OUTLIER+","")</f>
        <v/>
      </c>
      <c r="Q635" s="4" t="str">
        <f>IF(Data_Set_2[[#This Row],[valor_bruto]]&lt;$W$14,"OUTLIER-","")</f>
        <v/>
      </c>
      <c r="R635" s="4"/>
      <c r="S635" s="4"/>
      <c r="AB635" t="str">
        <v>RES-100633</v>
      </c>
      <c r="AC635">
        <v>45957</v>
      </c>
      <c r="AD635">
        <v>0.82708333333333328</v>
      </c>
      <c r="AE635" t="str">
        <v>Poblado</v>
      </c>
      <c r="AF635" t="str">
        <v>Mesa</v>
      </c>
      <c r="AG635" t="str">
        <v>Vegano</v>
      </c>
      <c r="AH635">
        <v>3</v>
      </c>
      <c r="AI635">
        <v>65338.13</v>
      </c>
      <c r="AJ635">
        <v>6977.23</v>
      </c>
      <c r="AK635">
        <v>22</v>
      </c>
      <c r="AL635">
        <v>45</v>
      </c>
      <c r="AM635" t="str">
        <v>Tarjeta</v>
      </c>
      <c r="AN635" t="str">
        <v>Entregada</v>
      </c>
      <c r="AO635">
        <v>4</v>
      </c>
    </row>
    <row r="636" spans="1:41" x14ac:dyDescent="0.3">
      <c r="A636" t="s">
        <v>672</v>
      </c>
      <c r="B636" s="8">
        <v>45958</v>
      </c>
      <c r="C636" s="2">
        <v>0.87361111111111112</v>
      </c>
      <c r="D636" t="s">
        <v>27</v>
      </c>
      <c r="E636" t="s">
        <v>22</v>
      </c>
      <c r="F636" t="s">
        <v>36</v>
      </c>
      <c r="G636">
        <v>3</v>
      </c>
      <c r="H636" s="6">
        <v>58136.44</v>
      </c>
      <c r="I636" s="6">
        <v>6323.03</v>
      </c>
      <c r="J636">
        <v>30</v>
      </c>
      <c r="K636">
        <v>49</v>
      </c>
      <c r="L636" t="s">
        <v>24</v>
      </c>
      <c r="M636" t="s">
        <v>25</v>
      </c>
      <c r="N636">
        <v>4</v>
      </c>
      <c r="O636" s="4"/>
      <c r="P636" s="4" t="str">
        <f>IF(Data_Set_2[[#This Row],[valor_bruto]]&gt;$W$13,"OUTLIER+","")</f>
        <v/>
      </c>
      <c r="Q636" s="4" t="str">
        <f>IF(Data_Set_2[[#This Row],[valor_bruto]]&lt;$W$14,"OUTLIER-","")</f>
        <v/>
      </c>
      <c r="R636" s="4"/>
      <c r="S636" s="4"/>
      <c r="AB636" t="str">
        <v>RES-100634</v>
      </c>
      <c r="AC636">
        <v>45958</v>
      </c>
      <c r="AD636">
        <v>0.87361111111111112</v>
      </c>
      <c r="AE636" t="str">
        <v>Centro</v>
      </c>
      <c r="AF636" t="str">
        <v>Domicilio</v>
      </c>
      <c r="AG636" t="str">
        <v>Bebidas</v>
      </c>
      <c r="AH636">
        <v>3</v>
      </c>
      <c r="AI636">
        <v>58136.44</v>
      </c>
      <c r="AJ636">
        <v>6323.03</v>
      </c>
      <c r="AK636">
        <v>30</v>
      </c>
      <c r="AL636">
        <v>49</v>
      </c>
      <c r="AM636" t="str">
        <v>Efectivo</v>
      </c>
      <c r="AN636" t="str">
        <v>Cancelada</v>
      </c>
      <c r="AO636">
        <v>4</v>
      </c>
    </row>
    <row r="637" spans="1:41" x14ac:dyDescent="0.3">
      <c r="A637" t="s">
        <v>673</v>
      </c>
      <c r="B637" s="8">
        <v>45959</v>
      </c>
      <c r="C637" s="2">
        <v>0.87847222222222221</v>
      </c>
      <c r="D637" t="s">
        <v>33</v>
      </c>
      <c r="E637" t="s">
        <v>28</v>
      </c>
      <c r="F637" t="s">
        <v>17</v>
      </c>
      <c r="G637">
        <v>2</v>
      </c>
      <c r="H637" s="6">
        <v>48945.75</v>
      </c>
      <c r="I637" s="6">
        <v>6758.08</v>
      </c>
      <c r="J637">
        <v>21</v>
      </c>
      <c r="K637">
        <v>34</v>
      </c>
      <c r="L637" t="s">
        <v>30</v>
      </c>
      <c r="M637" t="s">
        <v>31</v>
      </c>
      <c r="N637">
        <v>5</v>
      </c>
      <c r="O637" s="4"/>
      <c r="P637" s="4" t="str">
        <f>IF(Data_Set_2[[#This Row],[valor_bruto]]&gt;$W$13,"OUTLIER+","")</f>
        <v/>
      </c>
      <c r="Q637" s="4" t="str">
        <f>IF(Data_Set_2[[#This Row],[valor_bruto]]&lt;$W$14,"OUTLIER-","")</f>
        <v/>
      </c>
      <c r="R637" s="4"/>
      <c r="S637" s="4"/>
      <c r="AB637" t="str">
        <v>RES-100635</v>
      </c>
      <c r="AC637">
        <v>45959</v>
      </c>
      <c r="AD637">
        <v>0.87847222222222221</v>
      </c>
      <c r="AE637" t="str">
        <v>Envigado</v>
      </c>
      <c r="AF637" t="str">
        <v>Recoge</v>
      </c>
      <c r="AG637" t="str">
        <v>Comida rapida</v>
      </c>
      <c r="AH637">
        <v>2</v>
      </c>
      <c r="AI637">
        <v>48945.75</v>
      </c>
      <c r="AJ637">
        <v>6758.08</v>
      </c>
      <c r="AK637">
        <v>21</v>
      </c>
      <c r="AL637">
        <v>34</v>
      </c>
      <c r="AM637" t="str">
        <v>App</v>
      </c>
      <c r="AN637" t="str">
        <v>Reembolsada</v>
      </c>
      <c r="AO637">
        <v>5</v>
      </c>
    </row>
    <row r="638" spans="1:41" x14ac:dyDescent="0.3">
      <c r="A638" t="s">
        <v>674</v>
      </c>
      <c r="B638" s="8">
        <v>45960</v>
      </c>
      <c r="C638" s="2">
        <v>0.42499999999999999</v>
      </c>
      <c r="D638" t="s">
        <v>15</v>
      </c>
      <c r="E638" t="s">
        <v>16</v>
      </c>
      <c r="F638" t="s">
        <v>23</v>
      </c>
      <c r="G638">
        <v>3</v>
      </c>
      <c r="H638" s="6">
        <v>44869.62</v>
      </c>
      <c r="I638" s="6">
        <v>6679.97</v>
      </c>
      <c r="J638">
        <v>30</v>
      </c>
      <c r="K638">
        <v>33</v>
      </c>
      <c r="L638" t="s">
        <v>18</v>
      </c>
      <c r="M638" t="s">
        <v>19</v>
      </c>
      <c r="N638">
        <v>3</v>
      </c>
      <c r="O638" s="4"/>
      <c r="P638" s="4" t="str">
        <f>IF(Data_Set_2[[#This Row],[valor_bruto]]&gt;$W$13,"OUTLIER+","")</f>
        <v/>
      </c>
      <c r="Q638" s="4" t="str">
        <f>IF(Data_Set_2[[#This Row],[valor_bruto]]&lt;$W$14,"OUTLIER-","")</f>
        <v/>
      </c>
      <c r="R638" s="4"/>
      <c r="S638" s="4"/>
      <c r="AB638" t="str">
        <v>RES-100636</v>
      </c>
      <c r="AC638">
        <v>45960</v>
      </c>
      <c r="AD638">
        <v>0.42499999999999999</v>
      </c>
      <c r="AE638" t="str">
        <v>Laureles</v>
      </c>
      <c r="AF638" t="str">
        <v>Mesa</v>
      </c>
      <c r="AG638" t="str">
        <v>Pasta</v>
      </c>
      <c r="AH638">
        <v>3</v>
      </c>
      <c r="AI638">
        <v>44869.62</v>
      </c>
      <c r="AJ638">
        <v>6679.97</v>
      </c>
      <c r="AK638">
        <v>30</v>
      </c>
      <c r="AL638">
        <v>33</v>
      </c>
      <c r="AM638" t="str">
        <v>Tarjeta</v>
      </c>
      <c r="AN638" t="str">
        <v>Entregada</v>
      </c>
      <c r="AO638">
        <v>3</v>
      </c>
    </row>
    <row r="639" spans="1:41" x14ac:dyDescent="0.3">
      <c r="A639" t="s">
        <v>675</v>
      </c>
      <c r="B639" s="8">
        <v>45961</v>
      </c>
      <c r="C639" s="2">
        <v>0.47152777777777777</v>
      </c>
      <c r="D639" t="s">
        <v>21</v>
      </c>
      <c r="E639" t="s">
        <v>22</v>
      </c>
      <c r="F639" t="s">
        <v>29</v>
      </c>
      <c r="G639">
        <v>5</v>
      </c>
      <c r="H639" s="6">
        <v>52943.91</v>
      </c>
      <c r="I639" s="6">
        <v>3724.32</v>
      </c>
      <c r="J639">
        <v>27</v>
      </c>
      <c r="K639">
        <v>48</v>
      </c>
      <c r="L639" t="s">
        <v>24</v>
      </c>
      <c r="M639" t="s">
        <v>25</v>
      </c>
      <c r="N639">
        <v>5</v>
      </c>
      <c r="O639" s="4"/>
      <c r="P639" s="4" t="str">
        <f>IF(Data_Set_2[[#This Row],[valor_bruto]]&gt;$W$13,"OUTLIER+","")</f>
        <v/>
      </c>
      <c r="Q639" s="4" t="str">
        <f>IF(Data_Set_2[[#This Row],[valor_bruto]]&lt;$W$14,"OUTLIER-","")</f>
        <v/>
      </c>
      <c r="R639" s="4"/>
      <c r="S639" s="4"/>
      <c r="AB639" t="str">
        <v>RES-100637</v>
      </c>
      <c r="AC639">
        <v>45961</v>
      </c>
      <c r="AD639">
        <v>0.47152777777777777</v>
      </c>
      <c r="AE639" t="str">
        <v>Poblado</v>
      </c>
      <c r="AF639" t="str">
        <v>Domicilio</v>
      </c>
      <c r="AG639" t="str">
        <v>Parrilla</v>
      </c>
      <c r="AH639">
        <v>5</v>
      </c>
      <c r="AI639">
        <v>52943.91</v>
      </c>
      <c r="AJ639">
        <v>3724.32</v>
      </c>
      <c r="AK639">
        <v>27</v>
      </c>
      <c r="AL639">
        <v>48</v>
      </c>
      <c r="AM639" t="str">
        <v>Efectivo</v>
      </c>
      <c r="AN639" t="str">
        <v>Cancelada</v>
      </c>
      <c r="AO639">
        <v>5</v>
      </c>
    </row>
    <row r="640" spans="1:41" x14ac:dyDescent="0.3">
      <c r="A640" t="s">
        <v>676</v>
      </c>
      <c r="B640" s="8">
        <v>45668</v>
      </c>
      <c r="C640" s="2">
        <v>0.5180555555555556</v>
      </c>
      <c r="D640" t="s">
        <v>27</v>
      </c>
      <c r="E640" t="s">
        <v>28</v>
      </c>
      <c r="F640" t="s">
        <v>34</v>
      </c>
      <c r="G640">
        <v>3</v>
      </c>
      <c r="H640" s="6">
        <v>65222.41</v>
      </c>
      <c r="I640" s="6">
        <v>7619.75</v>
      </c>
      <c r="J640">
        <v>18</v>
      </c>
      <c r="K640">
        <v>51</v>
      </c>
      <c r="L640" t="s">
        <v>30</v>
      </c>
      <c r="M640" t="s">
        <v>31</v>
      </c>
      <c r="N640">
        <v>5</v>
      </c>
      <c r="O640" s="4"/>
      <c r="P640" s="4" t="str">
        <f>IF(Data_Set_2[[#This Row],[valor_bruto]]&gt;$W$13,"OUTLIER+","")</f>
        <v/>
      </c>
      <c r="Q640" s="4" t="str">
        <f>IF(Data_Set_2[[#This Row],[valor_bruto]]&lt;$W$14,"OUTLIER-","")</f>
        <v/>
      </c>
      <c r="R640" s="4"/>
      <c r="S640" s="4"/>
      <c r="AB640" t="str">
        <v>RES-100638</v>
      </c>
      <c r="AC640">
        <v>45668</v>
      </c>
      <c r="AD640">
        <v>0.5180555555555556</v>
      </c>
      <c r="AE640" t="str">
        <v>Centro</v>
      </c>
      <c r="AF640" t="str">
        <v>Recoge</v>
      </c>
      <c r="AG640" t="str">
        <v>Vegano</v>
      </c>
      <c r="AH640">
        <v>3</v>
      </c>
      <c r="AI640">
        <v>65222.41</v>
      </c>
      <c r="AJ640">
        <v>7619.75</v>
      </c>
      <c r="AK640">
        <v>18</v>
      </c>
      <c r="AL640">
        <v>51</v>
      </c>
      <c r="AM640" t="str">
        <v>App</v>
      </c>
      <c r="AN640" t="str">
        <v>Reembolsada</v>
      </c>
      <c r="AO640">
        <v>5</v>
      </c>
    </row>
    <row r="641" spans="1:41" x14ac:dyDescent="0.3">
      <c r="A641" t="s">
        <v>677</v>
      </c>
      <c r="B641" s="8">
        <v>45963</v>
      </c>
      <c r="C641" s="2">
        <v>0.56458333333333333</v>
      </c>
      <c r="D641" t="s">
        <v>33</v>
      </c>
      <c r="E641" t="s">
        <v>16</v>
      </c>
      <c r="F641" t="s">
        <v>36</v>
      </c>
      <c r="G641">
        <v>2</v>
      </c>
      <c r="H641" s="6">
        <v>28416.9</v>
      </c>
      <c r="I641" s="6">
        <v>3694.06</v>
      </c>
      <c r="J641">
        <v>30</v>
      </c>
      <c r="K641">
        <v>33</v>
      </c>
      <c r="L641" t="s">
        <v>18</v>
      </c>
      <c r="M641" t="s">
        <v>19</v>
      </c>
      <c r="N641">
        <v>4</v>
      </c>
      <c r="O641" s="4"/>
      <c r="P641" s="4" t="str">
        <f>IF(Data_Set_2[[#This Row],[valor_bruto]]&gt;$W$13,"OUTLIER+","")</f>
        <v/>
      </c>
      <c r="Q641" s="4" t="str">
        <f>IF(Data_Set_2[[#This Row],[valor_bruto]]&lt;$W$14,"OUTLIER-","")</f>
        <v/>
      </c>
      <c r="R641" s="4"/>
      <c r="S641" s="4"/>
      <c r="AB641" t="str">
        <v>RES-100639</v>
      </c>
      <c r="AC641">
        <v>45963</v>
      </c>
      <c r="AD641">
        <v>0.56458333333333333</v>
      </c>
      <c r="AE641" t="str">
        <v>Envigado</v>
      </c>
      <c r="AF641" t="str">
        <v>Mesa</v>
      </c>
      <c r="AG641" t="str">
        <v>Bebidas</v>
      </c>
      <c r="AH641">
        <v>2</v>
      </c>
      <c r="AI641">
        <v>28416.9</v>
      </c>
      <c r="AJ641">
        <v>3694.06</v>
      </c>
      <c r="AK641">
        <v>30</v>
      </c>
      <c r="AL641">
        <v>33</v>
      </c>
      <c r="AM641" t="str">
        <v>Tarjeta</v>
      </c>
      <c r="AN641" t="str">
        <v>Entregada</v>
      </c>
      <c r="AO641">
        <v>4</v>
      </c>
    </row>
    <row r="642" spans="1:41" x14ac:dyDescent="0.3">
      <c r="A642" t="s">
        <v>678</v>
      </c>
      <c r="B642" s="8">
        <v>45964</v>
      </c>
      <c r="C642" s="2">
        <v>0.61111111111111116</v>
      </c>
      <c r="D642" t="s">
        <v>15</v>
      </c>
      <c r="E642" t="s">
        <v>22</v>
      </c>
      <c r="F642" t="s">
        <v>17</v>
      </c>
      <c r="G642">
        <v>3</v>
      </c>
      <c r="H642" s="6">
        <v>42868.41</v>
      </c>
      <c r="I642" s="6">
        <v>7893.2</v>
      </c>
      <c r="J642">
        <v>13</v>
      </c>
      <c r="K642">
        <v>27</v>
      </c>
      <c r="L642" t="s">
        <v>24</v>
      </c>
      <c r="M642" t="s">
        <v>25</v>
      </c>
      <c r="N642">
        <v>3</v>
      </c>
      <c r="O642" s="4"/>
      <c r="P642" s="4" t="str">
        <f>IF(Data_Set_2[[#This Row],[valor_bruto]]&gt;$W$13,"OUTLIER+","")</f>
        <v/>
      </c>
      <c r="Q642" s="4" t="str">
        <f>IF(Data_Set_2[[#This Row],[valor_bruto]]&lt;$W$14,"OUTLIER-","")</f>
        <v/>
      </c>
      <c r="R642" s="4"/>
      <c r="S642" s="4"/>
      <c r="AB642" t="str">
        <v>RES-100640</v>
      </c>
      <c r="AC642">
        <v>45964</v>
      </c>
      <c r="AD642">
        <v>0.61111111111111116</v>
      </c>
      <c r="AE642" t="str">
        <v>Laureles</v>
      </c>
      <c r="AF642" t="str">
        <v>Domicilio</v>
      </c>
      <c r="AG642" t="str">
        <v>Comida rapida</v>
      </c>
      <c r="AH642">
        <v>3</v>
      </c>
      <c r="AI642">
        <v>42868.41</v>
      </c>
      <c r="AJ642">
        <v>7893.2</v>
      </c>
      <c r="AK642">
        <v>13</v>
      </c>
      <c r="AL642">
        <v>27</v>
      </c>
      <c r="AM642" t="str">
        <v>Efectivo</v>
      </c>
      <c r="AN642" t="str">
        <v>Cancelada</v>
      </c>
      <c r="AO642">
        <v>3</v>
      </c>
    </row>
    <row r="643" spans="1:41" x14ac:dyDescent="0.3">
      <c r="A643" t="s">
        <v>679</v>
      </c>
      <c r="B643" s="8">
        <v>45758</v>
      </c>
      <c r="C643" s="2">
        <v>0.65763888888888888</v>
      </c>
      <c r="D643" t="s">
        <v>21</v>
      </c>
      <c r="E643" t="s">
        <v>28</v>
      </c>
      <c r="F643" t="s">
        <v>23</v>
      </c>
      <c r="G643">
        <v>6</v>
      </c>
      <c r="H643" s="6">
        <v>29555.05</v>
      </c>
      <c r="I643" s="6">
        <v>4034.3</v>
      </c>
      <c r="J643">
        <v>27</v>
      </c>
      <c r="K643">
        <v>41</v>
      </c>
      <c r="L643" t="s">
        <v>30</v>
      </c>
      <c r="M643" t="s">
        <v>31</v>
      </c>
      <c r="N643">
        <v>3</v>
      </c>
      <c r="O643" s="4"/>
      <c r="P643" s="4" t="str">
        <f>IF(Data_Set_2[[#This Row],[valor_bruto]]&gt;$W$13,"OUTLIER+","")</f>
        <v/>
      </c>
      <c r="Q643" s="4" t="str">
        <f>IF(Data_Set_2[[#This Row],[valor_bruto]]&lt;$W$14,"OUTLIER-","")</f>
        <v/>
      </c>
      <c r="R643" s="4"/>
      <c r="S643" s="4"/>
      <c r="AB643" t="str">
        <v>RES-100641</v>
      </c>
      <c r="AC643">
        <v>45758</v>
      </c>
      <c r="AD643">
        <v>0.65763888888888888</v>
      </c>
      <c r="AE643" t="str">
        <v>Poblado</v>
      </c>
      <c r="AF643" t="str">
        <v>Recoge</v>
      </c>
      <c r="AG643" t="str">
        <v>Pasta</v>
      </c>
      <c r="AH643">
        <v>6</v>
      </c>
      <c r="AI643">
        <v>29555.05</v>
      </c>
      <c r="AJ643">
        <v>4034.3</v>
      </c>
      <c r="AK643">
        <v>27</v>
      </c>
      <c r="AL643">
        <v>41</v>
      </c>
      <c r="AM643" t="str">
        <v>App</v>
      </c>
      <c r="AN643" t="str">
        <v>Reembolsada</v>
      </c>
      <c r="AO643">
        <v>3</v>
      </c>
    </row>
    <row r="644" spans="1:41" x14ac:dyDescent="0.3">
      <c r="A644" t="s">
        <v>680</v>
      </c>
      <c r="B644" s="8">
        <v>45966</v>
      </c>
      <c r="C644" s="2">
        <v>0.70416666666666672</v>
      </c>
      <c r="D644" t="s">
        <v>27</v>
      </c>
      <c r="E644" t="s">
        <v>16</v>
      </c>
      <c r="F644" t="s">
        <v>29</v>
      </c>
      <c r="G644">
        <v>5</v>
      </c>
      <c r="H644" s="6">
        <v>65337.55</v>
      </c>
      <c r="I644" s="6">
        <v>1086.1600000000001</v>
      </c>
      <c r="J644">
        <v>28</v>
      </c>
      <c r="K644">
        <v>36</v>
      </c>
      <c r="L644" t="s">
        <v>18</v>
      </c>
      <c r="M644" t="s">
        <v>19</v>
      </c>
      <c r="N644">
        <v>3</v>
      </c>
      <c r="O644" s="4"/>
      <c r="P644" s="4" t="str">
        <f>IF(Data_Set_2[[#This Row],[valor_bruto]]&gt;$W$13,"OUTLIER+","")</f>
        <v/>
      </c>
      <c r="Q644" s="4" t="str">
        <f>IF(Data_Set_2[[#This Row],[valor_bruto]]&lt;$W$14,"OUTLIER-","")</f>
        <v/>
      </c>
      <c r="R644" s="4"/>
      <c r="S644" s="4"/>
      <c r="AB644" t="str">
        <v>RES-100642</v>
      </c>
      <c r="AC644">
        <v>45966</v>
      </c>
      <c r="AD644">
        <v>0.70416666666666672</v>
      </c>
      <c r="AE644" t="str">
        <v>Centro</v>
      </c>
      <c r="AF644" t="str">
        <v>Mesa</v>
      </c>
      <c r="AG644" t="str">
        <v>Parrilla</v>
      </c>
      <c r="AH644">
        <v>5</v>
      </c>
      <c r="AI644">
        <v>65337.55</v>
      </c>
      <c r="AJ644">
        <v>1086.1600000000001</v>
      </c>
      <c r="AK644">
        <v>28</v>
      </c>
      <c r="AL644">
        <v>36</v>
      </c>
      <c r="AM644" t="str">
        <v>Tarjeta</v>
      </c>
      <c r="AN644" t="str">
        <v>Entregada</v>
      </c>
      <c r="AO644">
        <v>3</v>
      </c>
    </row>
    <row r="645" spans="1:41" x14ac:dyDescent="0.3">
      <c r="A645" t="s">
        <v>681</v>
      </c>
      <c r="B645" s="8">
        <v>45967</v>
      </c>
      <c r="C645" s="2">
        <v>0.70902777777777781</v>
      </c>
      <c r="D645" t="s">
        <v>33</v>
      </c>
      <c r="E645" t="s">
        <v>22</v>
      </c>
      <c r="F645" t="s">
        <v>34</v>
      </c>
      <c r="G645">
        <v>3</v>
      </c>
      <c r="H645" s="6">
        <v>35794.39</v>
      </c>
      <c r="I645" s="6">
        <v>1725.11</v>
      </c>
      <c r="J645">
        <v>21</v>
      </c>
      <c r="K645" t="s">
        <v>682</v>
      </c>
      <c r="L645" t="s">
        <v>24</v>
      </c>
      <c r="M645" t="s">
        <v>25</v>
      </c>
      <c r="N645">
        <v>4</v>
      </c>
      <c r="O645" s="4"/>
      <c r="P645" s="4" t="str">
        <f>IF(Data_Set_2[[#This Row],[valor_bruto]]&gt;$W$13,"OUTLIER+","")</f>
        <v/>
      </c>
      <c r="Q645" s="4" t="str">
        <f>IF(Data_Set_2[[#This Row],[valor_bruto]]&lt;$W$14,"OUTLIER-","")</f>
        <v/>
      </c>
      <c r="R645" s="4"/>
      <c r="S645" s="4"/>
      <c r="AB645" t="str">
        <v>RES-100643</v>
      </c>
      <c r="AC645">
        <v>45967</v>
      </c>
      <c r="AD645">
        <v>0.70902777777777781</v>
      </c>
      <c r="AE645" t="str">
        <v>Envigado</v>
      </c>
      <c r="AF645" t="str">
        <v>Domicilio</v>
      </c>
      <c r="AG645" t="str">
        <v>Vegano</v>
      </c>
      <c r="AH645">
        <v>3</v>
      </c>
      <c r="AI645">
        <v>35794.39</v>
      </c>
      <c r="AJ645">
        <v>1725.11</v>
      </c>
      <c r="AK645">
        <v>21</v>
      </c>
      <c r="AL645" t="str">
        <v>7.95</v>
      </c>
      <c r="AM645" t="str">
        <v>Efectivo</v>
      </c>
      <c r="AN645" t="str">
        <v>Cancelada</v>
      </c>
      <c r="AO645">
        <v>4</v>
      </c>
    </row>
    <row r="646" spans="1:41" x14ac:dyDescent="0.3">
      <c r="A646" t="s">
        <v>683</v>
      </c>
      <c r="B646" s="8">
        <v>45849</v>
      </c>
      <c r="C646" s="2">
        <v>0.75555555555555554</v>
      </c>
      <c r="D646" t="s">
        <v>15</v>
      </c>
      <c r="E646" t="s">
        <v>28</v>
      </c>
      <c r="F646" t="s">
        <v>36</v>
      </c>
      <c r="G646">
        <v>4</v>
      </c>
      <c r="H646" s="6">
        <v>61696.2</v>
      </c>
      <c r="I646" s="6">
        <v>4343.1899999999996</v>
      </c>
      <c r="J646">
        <v>14</v>
      </c>
      <c r="K646">
        <v>47</v>
      </c>
      <c r="L646" t="s">
        <v>30</v>
      </c>
      <c r="M646" t="s">
        <v>31</v>
      </c>
      <c r="N646">
        <v>3</v>
      </c>
      <c r="O646" s="4"/>
      <c r="P646" s="4" t="str">
        <f>IF(Data_Set_2[[#This Row],[valor_bruto]]&gt;$W$13,"OUTLIER+","")</f>
        <v/>
      </c>
      <c r="Q646" s="4" t="str">
        <f>IF(Data_Set_2[[#This Row],[valor_bruto]]&lt;$W$14,"OUTLIER-","")</f>
        <v/>
      </c>
      <c r="R646" s="4"/>
      <c r="S646" s="4"/>
      <c r="AB646" t="str">
        <v>RES-100644</v>
      </c>
      <c r="AC646">
        <v>45849</v>
      </c>
      <c r="AD646">
        <v>0.75555555555555554</v>
      </c>
      <c r="AE646" t="str">
        <v>Laureles</v>
      </c>
      <c r="AF646" t="str">
        <v>Recoge</v>
      </c>
      <c r="AG646" t="str">
        <v>Bebidas</v>
      </c>
      <c r="AH646">
        <v>4</v>
      </c>
      <c r="AI646">
        <v>61696.2</v>
      </c>
      <c r="AJ646">
        <v>4343.1899999999996</v>
      </c>
      <c r="AK646">
        <v>14</v>
      </c>
      <c r="AL646">
        <v>47</v>
      </c>
      <c r="AM646" t="str">
        <v>App</v>
      </c>
      <c r="AN646" t="str">
        <v>Reembolsada</v>
      </c>
      <c r="AO646">
        <v>3</v>
      </c>
    </row>
    <row r="647" spans="1:41" x14ac:dyDescent="0.3">
      <c r="A647" t="s">
        <v>684</v>
      </c>
      <c r="B647" s="8">
        <v>45969</v>
      </c>
      <c r="C647" s="2">
        <v>0.80208333333333337</v>
      </c>
      <c r="D647" t="s">
        <v>21</v>
      </c>
      <c r="E647" t="s">
        <v>16</v>
      </c>
      <c r="F647" t="s">
        <v>17</v>
      </c>
      <c r="G647">
        <v>5</v>
      </c>
      <c r="H647" s="6">
        <v>62947.14</v>
      </c>
      <c r="I647" s="6">
        <v>4052.26</v>
      </c>
      <c r="J647">
        <v>26</v>
      </c>
      <c r="K647">
        <v>43</v>
      </c>
      <c r="L647" t="s">
        <v>18</v>
      </c>
      <c r="M647" t="s">
        <v>19</v>
      </c>
      <c r="N647">
        <v>3</v>
      </c>
      <c r="O647" s="4"/>
      <c r="P647" s="4" t="str">
        <f>IF(Data_Set_2[[#This Row],[valor_bruto]]&gt;$W$13,"OUTLIER+","")</f>
        <v/>
      </c>
      <c r="Q647" s="4" t="str">
        <f>IF(Data_Set_2[[#This Row],[valor_bruto]]&lt;$W$14,"OUTLIER-","")</f>
        <v/>
      </c>
      <c r="R647" s="4"/>
      <c r="S647" s="4"/>
      <c r="AB647" t="str">
        <v>RES-100645</v>
      </c>
      <c r="AC647">
        <v>45969</v>
      </c>
      <c r="AD647">
        <v>0.80208333333333337</v>
      </c>
      <c r="AE647" t="str">
        <v>Poblado</v>
      </c>
      <c r="AF647" t="str">
        <v>Mesa</v>
      </c>
      <c r="AG647" t="str">
        <v>Comida rapida</v>
      </c>
      <c r="AH647">
        <v>5</v>
      </c>
      <c r="AI647">
        <v>62947.14</v>
      </c>
      <c r="AJ647">
        <v>4052.26</v>
      </c>
      <c r="AK647">
        <v>26</v>
      </c>
      <c r="AL647">
        <v>43</v>
      </c>
      <c r="AM647" t="str">
        <v>Tarjeta</v>
      </c>
      <c r="AN647" t="str">
        <v>Entregada</v>
      </c>
      <c r="AO647">
        <v>3</v>
      </c>
    </row>
    <row r="648" spans="1:41" x14ac:dyDescent="0.3">
      <c r="A648" t="s">
        <v>685</v>
      </c>
      <c r="B648" s="8">
        <v>45970</v>
      </c>
      <c r="C648" s="2">
        <v>0.84861111111111109</v>
      </c>
      <c r="D648" t="s">
        <v>27</v>
      </c>
      <c r="E648" t="s">
        <v>22</v>
      </c>
      <c r="F648" t="s">
        <v>23</v>
      </c>
      <c r="G648">
        <v>4</v>
      </c>
      <c r="H648" s="6">
        <v>57576.34</v>
      </c>
      <c r="I648" s="6">
        <v>5110.68</v>
      </c>
      <c r="J648">
        <v>31</v>
      </c>
      <c r="K648">
        <v>49</v>
      </c>
      <c r="L648" t="s">
        <v>24</v>
      </c>
      <c r="M648" t="s">
        <v>25</v>
      </c>
      <c r="N648">
        <v>4</v>
      </c>
      <c r="O648" s="4"/>
      <c r="P648" s="4" t="str">
        <f>IF(Data_Set_2[[#This Row],[valor_bruto]]&gt;$W$13,"OUTLIER+","")</f>
        <v/>
      </c>
      <c r="Q648" s="4" t="str">
        <f>IF(Data_Set_2[[#This Row],[valor_bruto]]&lt;$W$14,"OUTLIER-","")</f>
        <v/>
      </c>
      <c r="R648" s="4"/>
      <c r="S648" s="4"/>
      <c r="AB648" t="str">
        <v>RES-100646</v>
      </c>
      <c r="AC648">
        <v>45970</v>
      </c>
      <c r="AD648">
        <v>0.84861111111111109</v>
      </c>
      <c r="AE648" t="str">
        <v>Centro</v>
      </c>
      <c r="AF648" t="str">
        <v>Domicilio</v>
      </c>
      <c r="AG648" t="str">
        <v>Pasta</v>
      </c>
      <c r="AH648">
        <v>4</v>
      </c>
      <c r="AI648">
        <v>57576.34</v>
      </c>
      <c r="AJ648">
        <v>5110.68</v>
      </c>
      <c r="AK648">
        <v>31</v>
      </c>
      <c r="AL648">
        <v>49</v>
      </c>
      <c r="AM648" t="str">
        <v>Efectivo</v>
      </c>
      <c r="AN648" t="str">
        <v>Cancelada</v>
      </c>
      <c r="AO648">
        <v>4</v>
      </c>
    </row>
    <row r="649" spans="1:41" x14ac:dyDescent="0.3">
      <c r="A649" t="s">
        <v>686</v>
      </c>
      <c r="B649" s="8">
        <v>45941</v>
      </c>
      <c r="C649" s="2">
        <v>0.89513888888888893</v>
      </c>
      <c r="D649" t="s">
        <v>33</v>
      </c>
      <c r="E649" t="s">
        <v>28</v>
      </c>
      <c r="F649" t="s">
        <v>29</v>
      </c>
      <c r="G649">
        <v>4</v>
      </c>
      <c r="H649" s="6">
        <v>36159.56</v>
      </c>
      <c r="I649" s="6">
        <v>6613.27</v>
      </c>
      <c r="J649">
        <v>18</v>
      </c>
      <c r="K649">
        <v>42</v>
      </c>
      <c r="L649" t="s">
        <v>30</v>
      </c>
      <c r="M649" t="s">
        <v>31</v>
      </c>
      <c r="N649">
        <v>5</v>
      </c>
      <c r="O649" s="4"/>
      <c r="P649" s="4" t="str">
        <f>IF(Data_Set_2[[#This Row],[valor_bruto]]&gt;$W$13,"OUTLIER+","")</f>
        <v/>
      </c>
      <c r="Q649" s="4" t="str">
        <f>IF(Data_Set_2[[#This Row],[valor_bruto]]&lt;$W$14,"OUTLIER-","")</f>
        <v/>
      </c>
      <c r="R649" s="4"/>
      <c r="S649" s="4"/>
      <c r="AB649" t="str">
        <v>RES-100647</v>
      </c>
      <c r="AC649">
        <v>45941</v>
      </c>
      <c r="AD649">
        <v>0.89513888888888893</v>
      </c>
      <c r="AE649" t="str">
        <v>Envigado</v>
      </c>
      <c r="AF649" t="str">
        <v>Recoge</v>
      </c>
      <c r="AG649" t="str">
        <v>Parrilla</v>
      </c>
      <c r="AH649">
        <v>4</v>
      </c>
      <c r="AI649">
        <v>36159.56</v>
      </c>
      <c r="AJ649">
        <v>6613.27</v>
      </c>
      <c r="AK649">
        <v>18</v>
      </c>
      <c r="AL649">
        <v>42</v>
      </c>
      <c r="AM649" t="str">
        <v>App</v>
      </c>
      <c r="AN649" t="str">
        <v>Reembolsada</v>
      </c>
      <c r="AO649">
        <v>5</v>
      </c>
    </row>
    <row r="650" spans="1:41" x14ac:dyDescent="0.3">
      <c r="A650" t="s">
        <v>687</v>
      </c>
      <c r="B650" s="8">
        <v>45972</v>
      </c>
      <c r="C650" s="2">
        <v>0.44166666666666665</v>
      </c>
      <c r="D650" t="s">
        <v>15</v>
      </c>
      <c r="E650" t="s">
        <v>16</v>
      </c>
      <c r="F650" t="s">
        <v>34</v>
      </c>
      <c r="G650">
        <v>4</v>
      </c>
      <c r="H650" s="6">
        <v>53045.39</v>
      </c>
      <c r="I650" s="6">
        <v>4370.24</v>
      </c>
      <c r="J650">
        <v>23</v>
      </c>
      <c r="K650">
        <v>26</v>
      </c>
      <c r="L650" t="s">
        <v>18</v>
      </c>
      <c r="M650" t="s">
        <v>19</v>
      </c>
      <c r="N650">
        <v>3</v>
      </c>
      <c r="O650" s="4"/>
      <c r="P650" s="4" t="str">
        <f>IF(Data_Set_2[[#This Row],[valor_bruto]]&gt;$W$13,"OUTLIER+","")</f>
        <v/>
      </c>
      <c r="Q650" s="4" t="str">
        <f>IF(Data_Set_2[[#This Row],[valor_bruto]]&lt;$W$14,"OUTLIER-","")</f>
        <v/>
      </c>
      <c r="R650" s="4"/>
      <c r="S650" s="4"/>
      <c r="AB650" t="str">
        <v>RES-100648</v>
      </c>
      <c r="AC650">
        <v>45972</v>
      </c>
      <c r="AD650">
        <v>0.44166666666666665</v>
      </c>
      <c r="AE650" t="str">
        <v>Laureles</v>
      </c>
      <c r="AF650" t="str">
        <v>Mesa</v>
      </c>
      <c r="AG650" t="str">
        <v>Vegano</v>
      </c>
      <c r="AH650">
        <v>4</v>
      </c>
      <c r="AI650">
        <v>53045.39</v>
      </c>
      <c r="AJ650">
        <v>4370.24</v>
      </c>
      <c r="AK650">
        <v>23</v>
      </c>
      <c r="AL650">
        <v>26</v>
      </c>
      <c r="AM650" t="str">
        <v>Tarjeta</v>
      </c>
      <c r="AN650" t="str">
        <v>Entregada</v>
      </c>
      <c r="AO650">
        <v>3</v>
      </c>
    </row>
    <row r="651" spans="1:41" x14ac:dyDescent="0.3">
      <c r="A651" t="s">
        <v>688</v>
      </c>
      <c r="B651" s="8">
        <v>45973</v>
      </c>
      <c r="C651" s="2">
        <v>0.48819444444444443</v>
      </c>
      <c r="D651" t="s">
        <v>21</v>
      </c>
      <c r="E651" t="s">
        <v>22</v>
      </c>
      <c r="F651" t="s">
        <v>36</v>
      </c>
      <c r="G651">
        <v>3</v>
      </c>
      <c r="H651" s="6">
        <v>44241.41</v>
      </c>
      <c r="I651" s="6">
        <v>1455.15</v>
      </c>
      <c r="J651">
        <v>21</v>
      </c>
      <c r="K651">
        <v>29</v>
      </c>
      <c r="L651" t="s">
        <v>24</v>
      </c>
      <c r="M651" t="s">
        <v>25</v>
      </c>
      <c r="N651">
        <v>3</v>
      </c>
      <c r="O651" s="4"/>
      <c r="P651" s="4" t="str">
        <f>IF(Data_Set_2[[#This Row],[valor_bruto]]&gt;$W$13,"OUTLIER+","")</f>
        <v/>
      </c>
      <c r="Q651" s="4" t="str">
        <f>IF(Data_Set_2[[#This Row],[valor_bruto]]&lt;$W$14,"OUTLIER-","")</f>
        <v/>
      </c>
      <c r="R651" s="4"/>
      <c r="S651" s="4"/>
      <c r="AB651" t="str">
        <v>RES-100649</v>
      </c>
      <c r="AC651">
        <v>45973</v>
      </c>
      <c r="AD651">
        <v>0.48819444444444443</v>
      </c>
      <c r="AE651" t="str">
        <v>Poblado</v>
      </c>
      <c r="AF651" t="str">
        <v>Domicilio</v>
      </c>
      <c r="AG651" t="str">
        <v>Bebidas</v>
      </c>
      <c r="AH651">
        <v>3</v>
      </c>
      <c r="AI651">
        <v>44241.41</v>
      </c>
      <c r="AJ651">
        <v>1455.15</v>
      </c>
      <c r="AK651">
        <v>21</v>
      </c>
      <c r="AL651">
        <v>29</v>
      </c>
      <c r="AM651" t="str">
        <v>Efectivo</v>
      </c>
      <c r="AN651" t="str">
        <v>Cancelada</v>
      </c>
      <c r="AO651">
        <v>3</v>
      </c>
    </row>
    <row r="652" spans="1:41" x14ac:dyDescent="0.3">
      <c r="A652" t="s">
        <v>689</v>
      </c>
      <c r="B652" s="8">
        <v>45974</v>
      </c>
      <c r="C652" s="2">
        <v>0.53472222222222221</v>
      </c>
      <c r="D652" t="s">
        <v>27</v>
      </c>
      <c r="E652" t="s">
        <v>28</v>
      </c>
      <c r="F652" t="s">
        <v>17</v>
      </c>
      <c r="G652">
        <v>5</v>
      </c>
      <c r="H652" s="6">
        <v>41411.199999999997</v>
      </c>
      <c r="I652" s="6">
        <v>956.98</v>
      </c>
      <c r="J652">
        <v>25</v>
      </c>
      <c r="K652">
        <v>48</v>
      </c>
      <c r="L652" t="s">
        <v>30</v>
      </c>
      <c r="M652" t="s">
        <v>31</v>
      </c>
      <c r="N652">
        <v>5</v>
      </c>
      <c r="O652" s="4"/>
      <c r="P652" s="4" t="str">
        <f>IF(Data_Set_2[[#This Row],[valor_bruto]]&gt;$W$13,"OUTLIER+","")</f>
        <v/>
      </c>
      <c r="Q652" s="4" t="str">
        <f>IF(Data_Set_2[[#This Row],[valor_bruto]]&lt;$W$14,"OUTLIER-","")</f>
        <v/>
      </c>
      <c r="R652" s="4"/>
      <c r="S652" s="4"/>
      <c r="AB652" t="str">
        <v>RES-100650</v>
      </c>
      <c r="AC652">
        <v>45974</v>
      </c>
      <c r="AD652">
        <v>0.53472222222222221</v>
      </c>
      <c r="AE652" t="str">
        <v>Centro</v>
      </c>
      <c r="AF652" t="str">
        <v>Recoge</v>
      </c>
      <c r="AG652" t="str">
        <v>Comida rapida</v>
      </c>
      <c r="AH652">
        <v>5</v>
      </c>
      <c r="AI652">
        <v>41411.199999999997</v>
      </c>
      <c r="AJ652">
        <v>956.98</v>
      </c>
      <c r="AK652">
        <v>25</v>
      </c>
      <c r="AL652">
        <v>48</v>
      </c>
      <c r="AM652" t="str">
        <v>App</v>
      </c>
      <c r="AN652" t="str">
        <v>Reembolsada</v>
      </c>
      <c r="AO652">
        <v>5</v>
      </c>
    </row>
    <row r="653" spans="1:41" x14ac:dyDescent="0.3">
      <c r="A653" t="s">
        <v>690</v>
      </c>
      <c r="B653" s="8">
        <v>45975</v>
      </c>
      <c r="C653" s="2">
        <v>0.58125000000000004</v>
      </c>
      <c r="D653" t="s">
        <v>33</v>
      </c>
      <c r="E653" t="s">
        <v>16</v>
      </c>
      <c r="F653" t="s">
        <v>23</v>
      </c>
      <c r="G653">
        <v>4</v>
      </c>
      <c r="H653" s="6">
        <v>48264</v>
      </c>
      <c r="I653" s="6">
        <v>4586.1000000000004</v>
      </c>
      <c r="J653">
        <v>29</v>
      </c>
      <c r="K653">
        <v>49</v>
      </c>
      <c r="L653" t="s">
        <v>18</v>
      </c>
      <c r="M653" t="s">
        <v>19</v>
      </c>
      <c r="N653">
        <v>5</v>
      </c>
      <c r="O653" s="4"/>
      <c r="P653" s="4" t="str">
        <f>IF(Data_Set_2[[#This Row],[valor_bruto]]&gt;$W$13,"OUTLIER+","")</f>
        <v/>
      </c>
      <c r="Q653" s="4" t="str">
        <f>IF(Data_Set_2[[#This Row],[valor_bruto]]&lt;$W$14,"OUTLIER-","")</f>
        <v/>
      </c>
      <c r="R653" s="4"/>
      <c r="S653" s="4"/>
      <c r="AB653" t="str">
        <v>RES-100651</v>
      </c>
      <c r="AC653">
        <v>45975</v>
      </c>
      <c r="AD653">
        <v>0.58125000000000004</v>
      </c>
      <c r="AE653" t="str">
        <v>Envigado</v>
      </c>
      <c r="AF653" t="str">
        <v>Mesa</v>
      </c>
      <c r="AG653" t="str">
        <v>Pasta</v>
      </c>
      <c r="AH653">
        <v>4</v>
      </c>
      <c r="AI653">
        <v>48264</v>
      </c>
      <c r="AJ653">
        <v>4586.1000000000004</v>
      </c>
      <c r="AK653">
        <v>29</v>
      </c>
      <c r="AL653">
        <v>49</v>
      </c>
      <c r="AM653" t="str">
        <v>Tarjeta</v>
      </c>
      <c r="AN653" t="str">
        <v>Entregada</v>
      </c>
      <c r="AO653">
        <v>5</v>
      </c>
    </row>
    <row r="654" spans="1:41" x14ac:dyDescent="0.3">
      <c r="A654" t="s">
        <v>691</v>
      </c>
      <c r="B654" s="8">
        <v>45976</v>
      </c>
      <c r="C654" s="2">
        <v>0.58611111111111114</v>
      </c>
      <c r="D654" t="s">
        <v>15</v>
      </c>
      <c r="E654" t="s">
        <v>22</v>
      </c>
      <c r="F654" t="s">
        <v>29</v>
      </c>
      <c r="G654">
        <v>3</v>
      </c>
      <c r="H654" s="6">
        <v>61031.66</v>
      </c>
      <c r="I654" s="6">
        <v>8165.59</v>
      </c>
      <c r="J654">
        <v>22</v>
      </c>
      <c r="K654">
        <v>32</v>
      </c>
      <c r="L654" t="s">
        <v>24</v>
      </c>
      <c r="M654" t="s">
        <v>25</v>
      </c>
      <c r="N654">
        <v>4</v>
      </c>
      <c r="O654" s="4"/>
      <c r="P654" s="4" t="str">
        <f>IF(Data_Set_2[[#This Row],[valor_bruto]]&gt;$W$13,"OUTLIER+","")</f>
        <v/>
      </c>
      <c r="Q654" s="4" t="str">
        <f>IF(Data_Set_2[[#This Row],[valor_bruto]]&lt;$W$14,"OUTLIER-","")</f>
        <v/>
      </c>
      <c r="R654" s="4"/>
      <c r="S654" s="4"/>
      <c r="AB654" t="str">
        <v>RES-100652</v>
      </c>
      <c r="AC654">
        <v>45976</v>
      </c>
      <c r="AD654">
        <v>0.58611111111111114</v>
      </c>
      <c r="AE654" t="str">
        <v>Laureles</v>
      </c>
      <c r="AF654" t="str">
        <v>Domicilio</v>
      </c>
      <c r="AG654" t="str">
        <v>Parrilla</v>
      </c>
      <c r="AH654">
        <v>3</v>
      </c>
      <c r="AI654">
        <v>61031.66</v>
      </c>
      <c r="AJ654">
        <v>8165.59</v>
      </c>
      <c r="AK654">
        <v>22</v>
      </c>
      <c r="AL654">
        <v>32</v>
      </c>
      <c r="AM654" t="str">
        <v>Efectivo</v>
      </c>
      <c r="AN654" t="str">
        <v>Cancelada</v>
      </c>
      <c r="AO654">
        <v>4</v>
      </c>
    </row>
    <row r="655" spans="1:41" x14ac:dyDescent="0.3">
      <c r="A655" t="s">
        <v>692</v>
      </c>
      <c r="B655" s="8">
        <v>45977</v>
      </c>
      <c r="C655" s="2">
        <v>0.63263888888888886</v>
      </c>
      <c r="D655" t="s">
        <v>21</v>
      </c>
      <c r="E655" t="s">
        <v>28</v>
      </c>
      <c r="F655" t="s">
        <v>34</v>
      </c>
      <c r="G655">
        <v>5</v>
      </c>
      <c r="H655" s="6">
        <v>42349.38</v>
      </c>
      <c r="I655" s="6">
        <v>4621.1499999999996</v>
      </c>
      <c r="J655">
        <v>29</v>
      </c>
      <c r="K655">
        <v>43</v>
      </c>
      <c r="L655" t="s">
        <v>30</v>
      </c>
      <c r="M655" t="s">
        <v>31</v>
      </c>
      <c r="N655">
        <v>3</v>
      </c>
      <c r="O655" s="4"/>
      <c r="P655" s="4" t="str">
        <f>IF(Data_Set_2[[#This Row],[valor_bruto]]&gt;$W$13,"OUTLIER+","")</f>
        <v/>
      </c>
      <c r="Q655" s="4" t="str">
        <f>IF(Data_Set_2[[#This Row],[valor_bruto]]&lt;$W$14,"OUTLIER-","")</f>
        <v/>
      </c>
      <c r="R655" s="4"/>
      <c r="S655" s="4"/>
      <c r="AB655" t="str">
        <v>RES-100653</v>
      </c>
      <c r="AC655">
        <v>45977</v>
      </c>
      <c r="AD655">
        <v>0.63263888888888886</v>
      </c>
      <c r="AE655" t="str">
        <v>Poblado</v>
      </c>
      <c r="AF655" t="str">
        <v>Recoge</v>
      </c>
      <c r="AG655" t="str">
        <v>Vegano</v>
      </c>
      <c r="AH655">
        <v>5</v>
      </c>
      <c r="AI655">
        <v>42349.38</v>
      </c>
      <c r="AJ655">
        <v>4621.1499999999996</v>
      </c>
      <c r="AK655">
        <v>29</v>
      </c>
      <c r="AL655">
        <v>43</v>
      </c>
      <c r="AM655" t="str">
        <v>App</v>
      </c>
      <c r="AN655" t="str">
        <v>Reembolsada</v>
      </c>
      <c r="AO655">
        <v>3</v>
      </c>
    </row>
    <row r="656" spans="1:41" x14ac:dyDescent="0.3">
      <c r="A656" t="s">
        <v>693</v>
      </c>
      <c r="B656" s="8">
        <v>45978</v>
      </c>
      <c r="C656" s="2">
        <v>0.6791666666666667</v>
      </c>
      <c r="D656" t="s">
        <v>27</v>
      </c>
      <c r="E656" t="s">
        <v>16</v>
      </c>
      <c r="F656" t="s">
        <v>36</v>
      </c>
      <c r="G656">
        <v>3</v>
      </c>
      <c r="H656" s="6">
        <v>52486.89</v>
      </c>
      <c r="I656" s="6">
        <v>2331.27</v>
      </c>
      <c r="J656">
        <v>19</v>
      </c>
      <c r="K656">
        <v>38</v>
      </c>
      <c r="L656" t="s">
        <v>18</v>
      </c>
      <c r="M656" t="s">
        <v>19</v>
      </c>
      <c r="N656">
        <v>5</v>
      </c>
      <c r="O656" s="4"/>
      <c r="P656" s="4" t="str">
        <f>IF(Data_Set_2[[#This Row],[valor_bruto]]&gt;$W$13,"OUTLIER+","")</f>
        <v/>
      </c>
      <c r="Q656" s="4" t="str">
        <f>IF(Data_Set_2[[#This Row],[valor_bruto]]&lt;$W$14,"OUTLIER-","")</f>
        <v/>
      </c>
      <c r="R656" s="4"/>
      <c r="S656" s="4"/>
      <c r="AB656" t="str">
        <v>RES-100654</v>
      </c>
      <c r="AC656">
        <v>45978</v>
      </c>
      <c r="AD656">
        <v>0.6791666666666667</v>
      </c>
      <c r="AE656" t="str">
        <v>Centro</v>
      </c>
      <c r="AF656" t="str">
        <v>Mesa</v>
      </c>
      <c r="AG656" t="str">
        <v>Bebidas</v>
      </c>
      <c r="AH656">
        <v>3</v>
      </c>
      <c r="AI656">
        <v>52486.89</v>
      </c>
      <c r="AJ656">
        <v>2331.27</v>
      </c>
      <c r="AK656">
        <v>19</v>
      </c>
      <c r="AL656">
        <v>38</v>
      </c>
      <c r="AM656" t="str">
        <v>Tarjeta</v>
      </c>
      <c r="AN656" t="str">
        <v>Entregada</v>
      </c>
      <c r="AO656">
        <v>5</v>
      </c>
    </row>
    <row r="657" spans="1:41" x14ac:dyDescent="0.3">
      <c r="A657" t="s">
        <v>694</v>
      </c>
      <c r="B657" s="8">
        <v>45979</v>
      </c>
      <c r="C657" s="2">
        <v>0.72569444444444442</v>
      </c>
      <c r="D657" t="s">
        <v>33</v>
      </c>
      <c r="E657" t="s">
        <v>22</v>
      </c>
      <c r="F657" t="s">
        <v>17</v>
      </c>
      <c r="G657">
        <v>6</v>
      </c>
      <c r="H657" s="6">
        <v>59531.33</v>
      </c>
      <c r="I657" s="6">
        <v>2959.58</v>
      </c>
      <c r="J657">
        <v>17</v>
      </c>
      <c r="K657">
        <v>51</v>
      </c>
      <c r="L657" t="s">
        <v>24</v>
      </c>
      <c r="M657" t="s">
        <v>25</v>
      </c>
      <c r="N657">
        <v>4</v>
      </c>
      <c r="O657" s="4"/>
      <c r="P657" s="4" t="str">
        <f>IF(Data_Set_2[[#This Row],[valor_bruto]]&gt;$W$13,"OUTLIER+","")</f>
        <v/>
      </c>
      <c r="Q657" s="4" t="str">
        <f>IF(Data_Set_2[[#This Row],[valor_bruto]]&lt;$W$14,"OUTLIER-","")</f>
        <v/>
      </c>
      <c r="R657" s="4"/>
      <c r="S657" s="4"/>
      <c r="AB657" t="str">
        <v>RES-100655</v>
      </c>
      <c r="AC657">
        <v>45979</v>
      </c>
      <c r="AD657">
        <v>0.72569444444444442</v>
      </c>
      <c r="AE657" t="str">
        <v>Envigado</v>
      </c>
      <c r="AF657" t="str">
        <v>Domicilio</v>
      </c>
      <c r="AG657" t="str">
        <v>Comida rapida</v>
      </c>
      <c r="AH657">
        <v>6</v>
      </c>
      <c r="AI657">
        <v>59531.33</v>
      </c>
      <c r="AJ657">
        <v>2959.58</v>
      </c>
      <c r="AK657">
        <v>17</v>
      </c>
      <c r="AL657">
        <v>51</v>
      </c>
      <c r="AM657" t="str">
        <v>Efectivo</v>
      </c>
      <c r="AN657" t="str">
        <v>Cancelada</v>
      </c>
      <c r="AO657">
        <v>4</v>
      </c>
    </row>
    <row r="658" spans="1:41" x14ac:dyDescent="0.3">
      <c r="A658" t="s">
        <v>695</v>
      </c>
      <c r="B658" s="8">
        <v>45980</v>
      </c>
      <c r="C658" s="2">
        <v>0.77222222222222225</v>
      </c>
      <c r="D658" t="s">
        <v>15</v>
      </c>
      <c r="E658" t="s">
        <v>28</v>
      </c>
      <c r="F658" t="s">
        <v>23</v>
      </c>
      <c r="G658">
        <v>2</v>
      </c>
      <c r="H658" s="6">
        <v>36182.410000000003</v>
      </c>
      <c r="I658" s="6">
        <v>5611.66</v>
      </c>
      <c r="J658">
        <v>18</v>
      </c>
      <c r="K658">
        <v>31</v>
      </c>
      <c r="L658" t="s">
        <v>30</v>
      </c>
      <c r="M658" t="s">
        <v>31</v>
      </c>
      <c r="N658">
        <v>3</v>
      </c>
      <c r="O658" s="4"/>
      <c r="P658" s="4" t="str">
        <f>IF(Data_Set_2[[#This Row],[valor_bruto]]&gt;$W$13,"OUTLIER+","")</f>
        <v/>
      </c>
      <c r="Q658" s="4" t="str">
        <f>IF(Data_Set_2[[#This Row],[valor_bruto]]&lt;$W$14,"OUTLIER-","")</f>
        <v/>
      </c>
      <c r="R658" s="4"/>
      <c r="S658" s="4"/>
      <c r="AB658" t="str">
        <v>RES-100656</v>
      </c>
      <c r="AC658">
        <v>45980</v>
      </c>
      <c r="AD658">
        <v>0.77222222222222225</v>
      </c>
      <c r="AE658" t="str">
        <v>Laureles</v>
      </c>
      <c r="AF658" t="str">
        <v>Recoge</v>
      </c>
      <c r="AG658" t="str">
        <v>Pasta</v>
      </c>
      <c r="AH658">
        <v>2</v>
      </c>
      <c r="AI658">
        <v>36182.410000000003</v>
      </c>
      <c r="AJ658">
        <v>5611.66</v>
      </c>
      <c r="AK658">
        <v>18</v>
      </c>
      <c r="AL658">
        <v>31</v>
      </c>
      <c r="AM658" t="str">
        <v>App</v>
      </c>
      <c r="AN658" t="str">
        <v>Reembolsada</v>
      </c>
      <c r="AO658">
        <v>3</v>
      </c>
    </row>
    <row r="659" spans="1:41" x14ac:dyDescent="0.3">
      <c r="A659" t="s">
        <v>696</v>
      </c>
      <c r="B659" s="8">
        <v>45981</v>
      </c>
      <c r="C659" s="2">
        <v>0.81874999999999998</v>
      </c>
      <c r="D659" t="s">
        <v>21</v>
      </c>
      <c r="E659" t="s">
        <v>16</v>
      </c>
      <c r="F659" t="s">
        <v>29</v>
      </c>
      <c r="G659">
        <v>5</v>
      </c>
      <c r="H659" s="6">
        <v>34547.96</v>
      </c>
      <c r="I659" s="6">
        <v>2830.53</v>
      </c>
      <c r="J659">
        <v>17</v>
      </c>
      <c r="K659">
        <v>35</v>
      </c>
      <c r="L659" t="s">
        <v>18</v>
      </c>
      <c r="M659" t="s">
        <v>19</v>
      </c>
      <c r="N659">
        <v>5</v>
      </c>
      <c r="O659" s="4"/>
      <c r="P659" s="4" t="str">
        <f>IF(Data_Set_2[[#This Row],[valor_bruto]]&gt;$W$13,"OUTLIER+","")</f>
        <v/>
      </c>
      <c r="Q659" s="4" t="str">
        <f>IF(Data_Set_2[[#This Row],[valor_bruto]]&lt;$W$14,"OUTLIER-","")</f>
        <v/>
      </c>
      <c r="R659" s="4"/>
      <c r="S659" s="4"/>
      <c r="AB659" t="str">
        <v>RES-100657</v>
      </c>
      <c r="AC659">
        <v>45981</v>
      </c>
      <c r="AD659">
        <v>0.81874999999999998</v>
      </c>
      <c r="AE659" t="str">
        <v>Poblado</v>
      </c>
      <c r="AF659" t="str">
        <v>Mesa</v>
      </c>
      <c r="AG659" t="str">
        <v>Parrilla</v>
      </c>
      <c r="AH659">
        <v>5</v>
      </c>
      <c r="AI659">
        <v>34547.96</v>
      </c>
      <c r="AJ659">
        <v>2830.53</v>
      </c>
      <c r="AK659">
        <v>17</v>
      </c>
      <c r="AL659">
        <v>35</v>
      </c>
      <c r="AM659" t="str">
        <v>Tarjeta</v>
      </c>
      <c r="AN659" t="str">
        <v>Entregada</v>
      </c>
      <c r="AO659">
        <v>5</v>
      </c>
    </row>
    <row r="660" spans="1:41" x14ac:dyDescent="0.3">
      <c r="A660" t="s">
        <v>697</v>
      </c>
      <c r="B660" s="8">
        <v>45982</v>
      </c>
      <c r="C660" s="2">
        <v>0.86527777777777781</v>
      </c>
      <c r="D660" t="s">
        <v>27</v>
      </c>
      <c r="E660" t="s">
        <v>22</v>
      </c>
      <c r="F660" t="s">
        <v>34</v>
      </c>
      <c r="G660">
        <v>5</v>
      </c>
      <c r="H660" s="6">
        <v>55820.11</v>
      </c>
      <c r="I660" s="6">
        <v>4272.08</v>
      </c>
      <c r="J660">
        <v>22</v>
      </c>
      <c r="K660">
        <v>24</v>
      </c>
      <c r="L660" t="s">
        <v>24</v>
      </c>
      <c r="M660" t="s">
        <v>25</v>
      </c>
      <c r="N660">
        <v>5</v>
      </c>
      <c r="O660" s="4"/>
      <c r="P660" s="4" t="str">
        <f>IF(Data_Set_2[[#This Row],[valor_bruto]]&gt;$W$13,"OUTLIER+","")</f>
        <v/>
      </c>
      <c r="Q660" s="4" t="str">
        <f>IF(Data_Set_2[[#This Row],[valor_bruto]]&lt;$W$14,"OUTLIER-","")</f>
        <v/>
      </c>
      <c r="R660" s="4"/>
      <c r="S660" s="4"/>
      <c r="AB660" t="str">
        <v>RES-100658</v>
      </c>
      <c r="AC660">
        <v>45982</v>
      </c>
      <c r="AD660">
        <v>0.86527777777777781</v>
      </c>
      <c r="AE660" t="str">
        <v>Centro</v>
      </c>
      <c r="AF660" t="str">
        <v>Domicilio</v>
      </c>
      <c r="AG660" t="str">
        <v>Vegano</v>
      </c>
      <c r="AH660">
        <v>5</v>
      </c>
      <c r="AI660">
        <v>55820.11</v>
      </c>
      <c r="AJ660">
        <v>4272.08</v>
      </c>
      <c r="AK660">
        <v>22</v>
      </c>
      <c r="AL660">
        <v>24</v>
      </c>
      <c r="AM660" t="str">
        <v>Efectivo</v>
      </c>
      <c r="AN660" t="str">
        <v>Cancelada</v>
      </c>
      <c r="AO660">
        <v>5</v>
      </c>
    </row>
    <row r="661" spans="1:41" x14ac:dyDescent="0.3">
      <c r="A661" t="s">
        <v>698</v>
      </c>
      <c r="B661" s="8">
        <v>45983</v>
      </c>
      <c r="C661" s="2">
        <v>0.91180555555555554</v>
      </c>
      <c r="D661" t="s">
        <v>33</v>
      </c>
      <c r="E661" t="s">
        <v>28</v>
      </c>
      <c r="F661" t="s">
        <v>36</v>
      </c>
      <c r="G661">
        <v>6</v>
      </c>
      <c r="H661" s="6">
        <v>48101.2</v>
      </c>
      <c r="I661" s="6">
        <v>605.32000000000005</v>
      </c>
      <c r="J661">
        <v>21</v>
      </c>
      <c r="K661">
        <v>23</v>
      </c>
      <c r="L661" t="s">
        <v>30</v>
      </c>
      <c r="M661" t="s">
        <v>31</v>
      </c>
      <c r="N661">
        <v>5</v>
      </c>
      <c r="O661" s="4"/>
      <c r="P661" s="4" t="str">
        <f>IF(Data_Set_2[[#This Row],[valor_bruto]]&gt;$W$13,"OUTLIER+","")</f>
        <v/>
      </c>
      <c r="Q661" s="4" t="str">
        <f>IF(Data_Set_2[[#This Row],[valor_bruto]]&lt;$W$14,"OUTLIER-","")</f>
        <v/>
      </c>
      <c r="R661" s="4"/>
      <c r="S661" s="4"/>
      <c r="AB661" t="str">
        <v>RES-100659</v>
      </c>
      <c r="AC661">
        <v>45983</v>
      </c>
      <c r="AD661">
        <v>0.91180555555555554</v>
      </c>
      <c r="AE661" t="str">
        <v>Envigado</v>
      </c>
      <c r="AF661" t="str">
        <v>Recoge</v>
      </c>
      <c r="AG661" t="str">
        <v>Bebidas</v>
      </c>
      <c r="AH661">
        <v>6</v>
      </c>
      <c r="AI661">
        <v>48101.2</v>
      </c>
      <c r="AJ661">
        <v>605.32000000000005</v>
      </c>
      <c r="AK661">
        <v>21</v>
      </c>
      <c r="AL661">
        <v>23</v>
      </c>
      <c r="AM661" t="str">
        <v>App</v>
      </c>
      <c r="AN661" t="str">
        <v>Reembolsada</v>
      </c>
      <c r="AO661">
        <v>5</v>
      </c>
    </row>
    <row r="662" spans="1:41" x14ac:dyDescent="0.3">
      <c r="A662" t="s">
        <v>699</v>
      </c>
      <c r="B662" s="8">
        <v>45984</v>
      </c>
      <c r="C662" s="2">
        <v>0.41666666666666669</v>
      </c>
      <c r="D662" t="s">
        <v>15</v>
      </c>
      <c r="E662" t="s">
        <v>16</v>
      </c>
      <c r="F662" t="s">
        <v>17</v>
      </c>
      <c r="G662">
        <v>6</v>
      </c>
      <c r="H662" s="6">
        <v>69453.48</v>
      </c>
      <c r="I662" s="6">
        <v>1534.74</v>
      </c>
      <c r="J662">
        <v>18</v>
      </c>
      <c r="K662">
        <v>34</v>
      </c>
      <c r="L662" t="s">
        <v>18</v>
      </c>
      <c r="M662" t="s">
        <v>19</v>
      </c>
      <c r="N662">
        <v>5</v>
      </c>
      <c r="O662" s="4"/>
      <c r="P662" s="4" t="str">
        <f>IF(Data_Set_2[[#This Row],[valor_bruto]]&gt;$W$13,"OUTLIER+","")</f>
        <v/>
      </c>
      <c r="Q662" s="4" t="str">
        <f>IF(Data_Set_2[[#This Row],[valor_bruto]]&lt;$W$14,"OUTLIER-","")</f>
        <v/>
      </c>
      <c r="R662" s="4"/>
      <c r="S662" s="4"/>
      <c r="AB662" t="str">
        <v>RES-100660</v>
      </c>
      <c r="AC662">
        <v>45984</v>
      </c>
      <c r="AD662">
        <v>0.41666666666666669</v>
      </c>
      <c r="AE662" t="str">
        <v>Laureles</v>
      </c>
      <c r="AF662" t="str">
        <v>Mesa</v>
      </c>
      <c r="AG662" t="str">
        <v>Comida rapida</v>
      </c>
      <c r="AH662">
        <v>6</v>
      </c>
      <c r="AI662">
        <v>69453.48</v>
      </c>
      <c r="AJ662">
        <v>1534.74</v>
      </c>
      <c r="AK662">
        <v>18</v>
      </c>
      <c r="AL662">
        <v>34</v>
      </c>
      <c r="AM662" t="str">
        <v>Tarjeta</v>
      </c>
      <c r="AN662" t="str">
        <v>Entregada</v>
      </c>
      <c r="AO662">
        <v>5</v>
      </c>
    </row>
    <row r="663" spans="1:41" x14ac:dyDescent="0.3">
      <c r="A663" t="s">
        <v>700</v>
      </c>
      <c r="B663" s="8">
        <v>45985</v>
      </c>
      <c r="C663" s="2">
        <v>0.46319444444444446</v>
      </c>
      <c r="D663" t="s">
        <v>21</v>
      </c>
      <c r="E663" t="s">
        <v>22</v>
      </c>
      <c r="F663" t="s">
        <v>23</v>
      </c>
      <c r="G663">
        <v>4</v>
      </c>
      <c r="H663" s="6">
        <v>42956.98</v>
      </c>
      <c r="I663" s="6">
        <v>8269.64</v>
      </c>
      <c r="J663">
        <v>16</v>
      </c>
      <c r="K663">
        <v>37</v>
      </c>
      <c r="L663" t="s">
        <v>24</v>
      </c>
      <c r="M663" t="s">
        <v>25</v>
      </c>
      <c r="N663">
        <v>4</v>
      </c>
      <c r="O663" s="4"/>
      <c r="P663" s="4" t="str">
        <f>IF(Data_Set_2[[#This Row],[valor_bruto]]&gt;$W$13,"OUTLIER+","")</f>
        <v/>
      </c>
      <c r="Q663" s="4" t="str">
        <f>IF(Data_Set_2[[#This Row],[valor_bruto]]&lt;$W$14,"OUTLIER-","")</f>
        <v/>
      </c>
      <c r="R663" s="4"/>
      <c r="S663" s="4"/>
      <c r="AB663" t="str">
        <v>RES-100661</v>
      </c>
      <c r="AC663">
        <v>45985</v>
      </c>
      <c r="AD663">
        <v>0.46319444444444446</v>
      </c>
      <c r="AE663" t="str">
        <v>Poblado</v>
      </c>
      <c r="AF663" t="str">
        <v>Domicilio</v>
      </c>
      <c r="AG663" t="str">
        <v>Pasta</v>
      </c>
      <c r="AH663">
        <v>4</v>
      </c>
      <c r="AI663">
        <v>42956.98</v>
      </c>
      <c r="AJ663">
        <v>8269.64</v>
      </c>
      <c r="AK663">
        <v>16</v>
      </c>
      <c r="AL663">
        <v>37</v>
      </c>
      <c r="AM663" t="str">
        <v>Efectivo</v>
      </c>
      <c r="AN663" t="str">
        <v>Cancelada</v>
      </c>
      <c r="AO663">
        <v>4</v>
      </c>
    </row>
    <row r="664" spans="1:41" x14ac:dyDescent="0.3">
      <c r="A664" t="s">
        <v>701</v>
      </c>
      <c r="B664" s="8">
        <v>45986</v>
      </c>
      <c r="C664" s="2">
        <v>0.50972222222222219</v>
      </c>
      <c r="D664" t="s">
        <v>27</v>
      </c>
      <c r="E664" t="s">
        <v>28</v>
      </c>
      <c r="F664" t="s">
        <v>29</v>
      </c>
      <c r="G664">
        <v>5</v>
      </c>
      <c r="H664" s="6">
        <v>41508.01</v>
      </c>
      <c r="I664" s="6">
        <v>3479.73</v>
      </c>
      <c r="J664">
        <v>18</v>
      </c>
      <c r="K664">
        <v>44</v>
      </c>
      <c r="L664" t="s">
        <v>30</v>
      </c>
      <c r="M664" t="s">
        <v>31</v>
      </c>
      <c r="N664">
        <v>4</v>
      </c>
      <c r="O664" s="4"/>
      <c r="P664" s="4" t="str">
        <f>IF(Data_Set_2[[#This Row],[valor_bruto]]&gt;$W$13,"OUTLIER+","")</f>
        <v/>
      </c>
      <c r="Q664" s="4" t="str">
        <f>IF(Data_Set_2[[#This Row],[valor_bruto]]&lt;$W$14,"OUTLIER-","")</f>
        <v/>
      </c>
      <c r="R664" s="4"/>
      <c r="S664" s="4"/>
      <c r="AB664" t="str">
        <v>RES-100662</v>
      </c>
      <c r="AC664">
        <v>45986</v>
      </c>
      <c r="AD664">
        <v>0.50972222222222219</v>
      </c>
      <c r="AE664" t="str">
        <v>Centro</v>
      </c>
      <c r="AF664" t="str">
        <v>Recoge</v>
      </c>
      <c r="AG664" t="str">
        <v>Parrilla</v>
      </c>
      <c r="AH664">
        <v>5</v>
      </c>
      <c r="AI664">
        <v>41508.01</v>
      </c>
      <c r="AJ664">
        <v>3479.73</v>
      </c>
      <c r="AK664">
        <v>18</v>
      </c>
      <c r="AL664">
        <v>44</v>
      </c>
      <c r="AM664" t="str">
        <v>App</v>
      </c>
      <c r="AN664" t="str">
        <v>Reembolsada</v>
      </c>
      <c r="AO664">
        <v>4</v>
      </c>
    </row>
    <row r="665" spans="1:41" x14ac:dyDescent="0.3">
      <c r="A665" t="s">
        <v>702</v>
      </c>
      <c r="B665" s="8">
        <v>45987</v>
      </c>
      <c r="C665" s="2">
        <v>0.55625000000000002</v>
      </c>
      <c r="D665" t="s">
        <v>33</v>
      </c>
      <c r="E665" t="s">
        <v>16</v>
      </c>
      <c r="F665" t="s">
        <v>34</v>
      </c>
      <c r="G665">
        <v>4</v>
      </c>
      <c r="H665" s="6">
        <v>39471.660000000003</v>
      </c>
      <c r="I665" s="6">
        <v>6485.3</v>
      </c>
      <c r="J665">
        <v>25</v>
      </c>
      <c r="K665">
        <v>47</v>
      </c>
      <c r="L665" t="s">
        <v>18</v>
      </c>
      <c r="M665" t="s">
        <v>19</v>
      </c>
      <c r="N665">
        <v>5</v>
      </c>
      <c r="O665" s="4"/>
      <c r="P665" s="4" t="str">
        <f>IF(Data_Set_2[[#This Row],[valor_bruto]]&gt;$W$13,"OUTLIER+","")</f>
        <v/>
      </c>
      <c r="Q665" s="4" t="str">
        <f>IF(Data_Set_2[[#This Row],[valor_bruto]]&lt;$W$14,"OUTLIER-","")</f>
        <v/>
      </c>
      <c r="R665" s="4"/>
      <c r="S665" s="4"/>
      <c r="AB665" t="str">
        <v>RES-100663</v>
      </c>
      <c r="AC665">
        <v>45987</v>
      </c>
      <c r="AD665">
        <v>0.55625000000000002</v>
      </c>
      <c r="AE665" t="str">
        <v>Envigado</v>
      </c>
      <c r="AF665" t="str">
        <v>Mesa</v>
      </c>
      <c r="AG665" t="str">
        <v>Vegano</v>
      </c>
      <c r="AH665">
        <v>4</v>
      </c>
      <c r="AI665">
        <v>39471.660000000003</v>
      </c>
      <c r="AJ665">
        <v>6485.3</v>
      </c>
      <c r="AK665">
        <v>25</v>
      </c>
      <c r="AL665">
        <v>47</v>
      </c>
      <c r="AM665" t="str">
        <v>Tarjeta</v>
      </c>
      <c r="AN665" t="str">
        <v>Entregada</v>
      </c>
      <c r="AO665">
        <v>5</v>
      </c>
    </row>
    <row r="666" spans="1:41" x14ac:dyDescent="0.3">
      <c r="A666" t="s">
        <v>703</v>
      </c>
      <c r="B666" s="8">
        <v>45988</v>
      </c>
      <c r="C666" s="2">
        <v>0.60277777777777775</v>
      </c>
      <c r="D666" t="s">
        <v>15</v>
      </c>
      <c r="E666" t="s">
        <v>22</v>
      </c>
      <c r="F666" t="s">
        <v>36</v>
      </c>
      <c r="G666">
        <v>2</v>
      </c>
      <c r="H666" s="6">
        <v>34230.15</v>
      </c>
      <c r="I666" s="6">
        <v>6734.71</v>
      </c>
      <c r="J666">
        <v>26</v>
      </c>
      <c r="K666">
        <v>42</v>
      </c>
      <c r="L666" t="s">
        <v>24</v>
      </c>
      <c r="M666" t="s">
        <v>25</v>
      </c>
      <c r="N666">
        <v>5</v>
      </c>
      <c r="O666" s="4"/>
      <c r="P666" s="4" t="str">
        <f>IF(Data_Set_2[[#This Row],[valor_bruto]]&gt;$W$13,"OUTLIER+","")</f>
        <v/>
      </c>
      <c r="Q666" s="4" t="str">
        <f>IF(Data_Set_2[[#This Row],[valor_bruto]]&lt;$W$14,"OUTLIER-","")</f>
        <v/>
      </c>
      <c r="R666" s="4"/>
      <c r="S666" s="4"/>
      <c r="AB666" t="str">
        <v>RES-100664</v>
      </c>
      <c r="AC666">
        <v>45988</v>
      </c>
      <c r="AD666">
        <v>0.60277777777777775</v>
      </c>
      <c r="AE666" t="str">
        <v>Laureles</v>
      </c>
      <c r="AF666" t="str">
        <v>Domicilio</v>
      </c>
      <c r="AG666" t="str">
        <v>Bebidas</v>
      </c>
      <c r="AH666">
        <v>2</v>
      </c>
      <c r="AI666">
        <v>34230.15</v>
      </c>
      <c r="AJ666">
        <v>6734.71</v>
      </c>
      <c r="AK666">
        <v>26</v>
      </c>
      <c r="AL666">
        <v>42</v>
      </c>
      <c r="AM666" t="str">
        <v>Efectivo</v>
      </c>
      <c r="AN666" t="str">
        <v>Cancelada</v>
      </c>
      <c r="AO666">
        <v>5</v>
      </c>
    </row>
    <row r="667" spans="1:41" x14ac:dyDescent="0.3">
      <c r="A667" t="s">
        <v>704</v>
      </c>
      <c r="B667" s="8">
        <v>45989</v>
      </c>
      <c r="C667" s="2">
        <v>0.64930555555555558</v>
      </c>
      <c r="D667" t="s">
        <v>21</v>
      </c>
      <c r="E667" t="s">
        <v>28</v>
      </c>
      <c r="F667" t="s">
        <v>17</v>
      </c>
      <c r="G667">
        <v>3</v>
      </c>
      <c r="H667" s="6">
        <v>60298.06</v>
      </c>
      <c r="I667" s="6">
        <v>2541.67</v>
      </c>
      <c r="J667">
        <v>19</v>
      </c>
      <c r="K667">
        <v>23</v>
      </c>
      <c r="L667" t="s">
        <v>30</v>
      </c>
      <c r="M667" t="s">
        <v>31</v>
      </c>
      <c r="N667">
        <v>3</v>
      </c>
      <c r="O667" s="4"/>
      <c r="P667" s="4" t="str">
        <f>IF(Data_Set_2[[#This Row],[valor_bruto]]&gt;$W$13,"OUTLIER+","")</f>
        <v/>
      </c>
      <c r="Q667" s="4" t="str">
        <f>IF(Data_Set_2[[#This Row],[valor_bruto]]&lt;$W$14,"OUTLIER-","")</f>
        <v/>
      </c>
      <c r="R667" s="4"/>
      <c r="S667" s="4"/>
      <c r="AB667" t="str">
        <v>RES-100665</v>
      </c>
      <c r="AC667">
        <v>45989</v>
      </c>
      <c r="AD667">
        <v>0.64930555555555558</v>
      </c>
      <c r="AE667" t="str">
        <v>Poblado</v>
      </c>
      <c r="AF667" t="str">
        <v>Recoge</v>
      </c>
      <c r="AG667" t="str">
        <v>Comida rapida</v>
      </c>
      <c r="AH667">
        <v>3</v>
      </c>
      <c r="AI667">
        <v>60298.06</v>
      </c>
      <c r="AJ667">
        <v>2541.67</v>
      </c>
      <c r="AK667">
        <v>19</v>
      </c>
      <c r="AL667">
        <v>23</v>
      </c>
      <c r="AM667" t="str">
        <v>App</v>
      </c>
      <c r="AN667" t="str">
        <v>Reembolsada</v>
      </c>
      <c r="AO667">
        <v>3</v>
      </c>
    </row>
    <row r="668" spans="1:41" x14ac:dyDescent="0.3">
      <c r="A668" t="s">
        <v>705</v>
      </c>
      <c r="B668" s="8">
        <v>45990</v>
      </c>
      <c r="C668" s="2">
        <v>0.6958333333333333</v>
      </c>
      <c r="D668" t="s">
        <v>27</v>
      </c>
      <c r="E668" t="s">
        <v>16</v>
      </c>
      <c r="F668" t="s">
        <v>23</v>
      </c>
      <c r="G668">
        <v>5</v>
      </c>
      <c r="H668" s="6">
        <v>29535.29</v>
      </c>
      <c r="I668" s="6">
        <v>6932.96</v>
      </c>
      <c r="J668">
        <v>18</v>
      </c>
      <c r="K668">
        <v>37</v>
      </c>
      <c r="L668" t="s">
        <v>18</v>
      </c>
      <c r="M668" t="s">
        <v>19</v>
      </c>
      <c r="N668">
        <v>3</v>
      </c>
      <c r="O668" s="4"/>
      <c r="P668" s="4" t="str">
        <f>IF(Data_Set_2[[#This Row],[valor_bruto]]&gt;$W$13,"OUTLIER+","")</f>
        <v/>
      </c>
      <c r="Q668" s="4" t="str">
        <f>IF(Data_Set_2[[#This Row],[valor_bruto]]&lt;$W$14,"OUTLIER-","")</f>
        <v/>
      </c>
      <c r="R668" s="4"/>
      <c r="S668" s="4"/>
      <c r="AB668" t="str">
        <v>RES-100666</v>
      </c>
      <c r="AC668">
        <v>45990</v>
      </c>
      <c r="AD668">
        <v>0.6958333333333333</v>
      </c>
      <c r="AE668" t="str">
        <v>Centro</v>
      </c>
      <c r="AF668" t="str">
        <v>Mesa</v>
      </c>
      <c r="AG668" t="str">
        <v>Pasta</v>
      </c>
      <c r="AH668">
        <v>5</v>
      </c>
      <c r="AI668">
        <v>29535.29</v>
      </c>
      <c r="AJ668">
        <v>6932.96</v>
      </c>
      <c r="AK668">
        <v>18</v>
      </c>
      <c r="AL668">
        <v>37</v>
      </c>
      <c r="AM668" t="str">
        <v>Tarjeta</v>
      </c>
      <c r="AN668" t="str">
        <v>Entregada</v>
      </c>
      <c r="AO668">
        <v>3</v>
      </c>
    </row>
    <row r="669" spans="1:41" x14ac:dyDescent="0.3">
      <c r="A669" t="s">
        <v>706</v>
      </c>
      <c r="B669" s="8">
        <v>45991</v>
      </c>
      <c r="C669" s="2">
        <v>0.74236111111111114</v>
      </c>
      <c r="D669" t="s">
        <v>33</v>
      </c>
      <c r="E669" t="s">
        <v>22</v>
      </c>
      <c r="F669" t="s">
        <v>29</v>
      </c>
      <c r="G669">
        <v>6</v>
      </c>
      <c r="H669" s="6">
        <v>49919.78</v>
      </c>
      <c r="I669" s="6">
        <v>5452.43</v>
      </c>
      <c r="J669">
        <v>19</v>
      </c>
      <c r="K669">
        <v>40</v>
      </c>
      <c r="L669" t="s">
        <v>24</v>
      </c>
      <c r="M669" t="s">
        <v>25</v>
      </c>
      <c r="N669">
        <v>5</v>
      </c>
      <c r="O669" s="4"/>
      <c r="P669" s="4" t="str">
        <f>IF(Data_Set_2[[#This Row],[valor_bruto]]&gt;$W$13,"OUTLIER+","")</f>
        <v/>
      </c>
      <c r="Q669" s="4" t="str">
        <f>IF(Data_Set_2[[#This Row],[valor_bruto]]&lt;$W$14,"OUTLIER-","")</f>
        <v/>
      </c>
      <c r="R669" s="4"/>
      <c r="S669" s="4"/>
      <c r="AB669" t="str">
        <v>RES-100667</v>
      </c>
      <c r="AC669">
        <v>45991</v>
      </c>
      <c r="AD669">
        <v>0.74236111111111114</v>
      </c>
      <c r="AE669" t="str">
        <v>Envigado</v>
      </c>
      <c r="AF669" t="str">
        <v>Domicilio</v>
      </c>
      <c r="AG669" t="str">
        <v>Parrilla</v>
      </c>
      <c r="AH669">
        <v>6</v>
      </c>
      <c r="AI669">
        <v>49919.78</v>
      </c>
      <c r="AJ669">
        <v>5452.43</v>
      </c>
      <c r="AK669">
        <v>19</v>
      </c>
      <c r="AL669">
        <v>40</v>
      </c>
      <c r="AM669" t="str">
        <v>Efectivo</v>
      </c>
      <c r="AN669" t="str">
        <v>Cancelada</v>
      </c>
      <c r="AO669">
        <v>5</v>
      </c>
    </row>
    <row r="670" spans="1:41" x14ac:dyDescent="0.3">
      <c r="A670" t="s">
        <v>707</v>
      </c>
      <c r="B670" s="8">
        <v>45669</v>
      </c>
      <c r="C670" s="2">
        <v>0.78888888888888886</v>
      </c>
      <c r="D670" t="s">
        <v>15</v>
      </c>
      <c r="E670" t="s">
        <v>28</v>
      </c>
      <c r="F670" t="s">
        <v>34</v>
      </c>
      <c r="G670">
        <v>6</v>
      </c>
      <c r="H670" s="6">
        <v>37096.18</v>
      </c>
      <c r="I670" s="6">
        <v>6762.73</v>
      </c>
      <c r="J670">
        <v>29</v>
      </c>
      <c r="K670">
        <v>50</v>
      </c>
      <c r="L670" t="s">
        <v>30</v>
      </c>
      <c r="M670" t="s">
        <v>31</v>
      </c>
      <c r="N670">
        <v>4</v>
      </c>
      <c r="O670" s="4"/>
      <c r="P670" s="4" t="str">
        <f>IF(Data_Set_2[[#This Row],[valor_bruto]]&gt;$W$13,"OUTLIER+","")</f>
        <v/>
      </c>
      <c r="Q670" s="4" t="str">
        <f>IF(Data_Set_2[[#This Row],[valor_bruto]]&lt;$W$14,"OUTLIER-","")</f>
        <v/>
      </c>
      <c r="R670" s="4"/>
      <c r="S670" s="4"/>
      <c r="AB670" t="str">
        <v>RES-100668</v>
      </c>
      <c r="AC670">
        <v>45669</v>
      </c>
      <c r="AD670">
        <v>0.78888888888888886</v>
      </c>
      <c r="AE670" t="str">
        <v>Laureles</v>
      </c>
      <c r="AF670" t="str">
        <v>Recoge</v>
      </c>
      <c r="AG670" t="str">
        <v>Vegano</v>
      </c>
      <c r="AH670">
        <v>6</v>
      </c>
      <c r="AI670">
        <v>37096.18</v>
      </c>
      <c r="AJ670">
        <v>6762.73</v>
      </c>
      <c r="AK670">
        <v>29</v>
      </c>
      <c r="AL670">
        <v>50</v>
      </c>
      <c r="AM670" t="str">
        <v>App</v>
      </c>
      <c r="AN670" t="str">
        <v>Reembolsada</v>
      </c>
      <c r="AO670">
        <v>4</v>
      </c>
    </row>
    <row r="671" spans="1:41" x14ac:dyDescent="0.3">
      <c r="A671" t="s">
        <v>708</v>
      </c>
      <c r="B671" s="8">
        <v>45993</v>
      </c>
      <c r="C671" s="2">
        <v>0.79374999999999996</v>
      </c>
      <c r="D671" t="s">
        <v>21</v>
      </c>
      <c r="E671" t="s">
        <v>16</v>
      </c>
      <c r="F671" t="s">
        <v>36</v>
      </c>
      <c r="G671">
        <v>3</v>
      </c>
      <c r="H671" s="6">
        <v>42526.79</v>
      </c>
      <c r="I671" s="6">
        <v>2099.3000000000002</v>
      </c>
      <c r="J671">
        <v>15</v>
      </c>
      <c r="K671">
        <v>41</v>
      </c>
      <c r="L671" t="s">
        <v>18</v>
      </c>
      <c r="M671" t="s">
        <v>19</v>
      </c>
      <c r="N671">
        <v>4</v>
      </c>
      <c r="O671" s="4"/>
      <c r="P671" s="4" t="str">
        <f>IF(Data_Set_2[[#This Row],[valor_bruto]]&gt;$W$13,"OUTLIER+","")</f>
        <v/>
      </c>
      <c r="Q671" s="4" t="str">
        <f>IF(Data_Set_2[[#This Row],[valor_bruto]]&lt;$W$14,"OUTLIER-","")</f>
        <v/>
      </c>
      <c r="R671" s="4"/>
      <c r="S671" s="4"/>
      <c r="AB671" t="str">
        <v>RES-100669</v>
      </c>
      <c r="AC671">
        <v>45993</v>
      </c>
      <c r="AD671">
        <v>0.79374999999999996</v>
      </c>
      <c r="AE671" t="str">
        <v>Poblado</v>
      </c>
      <c r="AF671" t="str">
        <v>Mesa</v>
      </c>
      <c r="AG671" t="str">
        <v>Bebidas</v>
      </c>
      <c r="AH671">
        <v>3</v>
      </c>
      <c r="AI671">
        <v>42526.79</v>
      </c>
      <c r="AJ671">
        <v>2099.3000000000002</v>
      </c>
      <c r="AK671">
        <v>15</v>
      </c>
      <c r="AL671">
        <v>41</v>
      </c>
      <c r="AM671" t="str">
        <v>Tarjeta</v>
      </c>
      <c r="AN671" t="str">
        <v>Entregada</v>
      </c>
      <c r="AO671">
        <v>4</v>
      </c>
    </row>
    <row r="672" spans="1:41" x14ac:dyDescent="0.3">
      <c r="A672" t="s">
        <v>709</v>
      </c>
      <c r="B672" s="8">
        <v>45994</v>
      </c>
      <c r="C672" s="2">
        <v>0.84027777777777779</v>
      </c>
      <c r="D672" t="s">
        <v>27</v>
      </c>
      <c r="E672" t="s">
        <v>22</v>
      </c>
      <c r="F672" t="s">
        <v>17</v>
      </c>
      <c r="G672">
        <v>4</v>
      </c>
      <c r="H672" s="6">
        <v>37658.11</v>
      </c>
      <c r="I672" s="6">
        <v>5479.81</v>
      </c>
      <c r="J672">
        <v>25</v>
      </c>
      <c r="K672">
        <v>53</v>
      </c>
      <c r="L672" t="s">
        <v>24</v>
      </c>
      <c r="M672" t="s">
        <v>25</v>
      </c>
      <c r="N672">
        <v>3</v>
      </c>
      <c r="O672" s="4"/>
      <c r="P672" s="4" t="str">
        <f>IF(Data_Set_2[[#This Row],[valor_bruto]]&gt;$W$13,"OUTLIER+","")</f>
        <v/>
      </c>
      <c r="Q672" s="4" t="str">
        <f>IF(Data_Set_2[[#This Row],[valor_bruto]]&lt;$W$14,"OUTLIER-","")</f>
        <v/>
      </c>
      <c r="R672" s="4"/>
      <c r="S672" s="4"/>
      <c r="AB672" t="str">
        <v>RES-100670</v>
      </c>
      <c r="AC672">
        <v>45994</v>
      </c>
      <c r="AD672">
        <v>0.84027777777777779</v>
      </c>
      <c r="AE672" t="str">
        <v>Centro</v>
      </c>
      <c r="AF672" t="str">
        <v>Domicilio</v>
      </c>
      <c r="AG672" t="str">
        <v>Comida rapida</v>
      </c>
      <c r="AH672">
        <v>4</v>
      </c>
      <c r="AI672">
        <v>37658.11</v>
      </c>
      <c r="AJ672">
        <v>5479.81</v>
      </c>
      <c r="AK672">
        <v>25</v>
      </c>
      <c r="AL672">
        <v>53</v>
      </c>
      <c r="AM672" t="str">
        <v>Efectivo</v>
      </c>
      <c r="AN672" t="str">
        <v>Cancelada</v>
      </c>
      <c r="AO672">
        <v>3</v>
      </c>
    </row>
    <row r="673" spans="1:41" x14ac:dyDescent="0.3">
      <c r="A673" t="s">
        <v>710</v>
      </c>
      <c r="B673" s="8">
        <v>45759</v>
      </c>
      <c r="C673" s="2">
        <v>0.88680555555555551</v>
      </c>
      <c r="D673" t="s">
        <v>33</v>
      </c>
      <c r="E673" t="s">
        <v>28</v>
      </c>
      <c r="F673" t="s">
        <v>23</v>
      </c>
      <c r="G673">
        <v>2</v>
      </c>
      <c r="H673" s="6">
        <v>48121.11</v>
      </c>
      <c r="I673" s="6">
        <v>7767.12</v>
      </c>
      <c r="J673">
        <v>29</v>
      </c>
      <c r="K673">
        <v>46</v>
      </c>
      <c r="L673" t="s">
        <v>30</v>
      </c>
      <c r="M673" t="s">
        <v>31</v>
      </c>
      <c r="N673">
        <v>4</v>
      </c>
      <c r="O673" s="4"/>
      <c r="P673" s="4" t="str">
        <f>IF(Data_Set_2[[#This Row],[valor_bruto]]&gt;$W$13,"OUTLIER+","")</f>
        <v/>
      </c>
      <c r="Q673" s="4" t="str">
        <f>IF(Data_Set_2[[#This Row],[valor_bruto]]&lt;$W$14,"OUTLIER-","")</f>
        <v/>
      </c>
      <c r="R673" s="4"/>
      <c r="S673" s="4"/>
      <c r="AB673" t="str">
        <v>RES-100671</v>
      </c>
      <c r="AC673">
        <v>45759</v>
      </c>
      <c r="AD673">
        <v>0.88680555555555551</v>
      </c>
      <c r="AE673" t="str">
        <v>Envigado</v>
      </c>
      <c r="AF673" t="str">
        <v>Recoge</v>
      </c>
      <c r="AG673" t="str">
        <v>Pasta</v>
      </c>
      <c r="AH673">
        <v>2</v>
      </c>
      <c r="AI673">
        <v>48121.11</v>
      </c>
      <c r="AJ673">
        <v>7767.12</v>
      </c>
      <c r="AK673">
        <v>29</v>
      </c>
      <c r="AL673">
        <v>46</v>
      </c>
      <c r="AM673" t="str">
        <v>App</v>
      </c>
      <c r="AN673" t="str">
        <v>Reembolsada</v>
      </c>
      <c r="AO673">
        <v>4</v>
      </c>
    </row>
    <row r="674" spans="1:41" x14ac:dyDescent="0.3">
      <c r="A674" t="s">
        <v>711</v>
      </c>
      <c r="B674" s="8">
        <v>45996</v>
      </c>
      <c r="C674" s="2">
        <v>0.43333333333333335</v>
      </c>
      <c r="D674" t="s">
        <v>15</v>
      </c>
      <c r="E674" t="s">
        <v>16</v>
      </c>
      <c r="F674" t="s">
        <v>29</v>
      </c>
      <c r="G674">
        <v>5</v>
      </c>
      <c r="H674" s="6">
        <v>39287.300000000003</v>
      </c>
      <c r="I674" s="6">
        <v>2055.13</v>
      </c>
      <c r="J674">
        <v>18</v>
      </c>
      <c r="K674">
        <v>52</v>
      </c>
      <c r="L674" t="s">
        <v>18</v>
      </c>
      <c r="M674" t="s">
        <v>19</v>
      </c>
      <c r="N674">
        <v>3</v>
      </c>
      <c r="O674" s="4"/>
      <c r="P674" s="4" t="str">
        <f>IF(Data_Set_2[[#This Row],[valor_bruto]]&gt;$W$13,"OUTLIER+","")</f>
        <v/>
      </c>
      <c r="Q674" s="4" t="str">
        <f>IF(Data_Set_2[[#This Row],[valor_bruto]]&lt;$W$14,"OUTLIER-","")</f>
        <v/>
      </c>
      <c r="R674" s="4"/>
      <c r="S674" s="4"/>
      <c r="AB674" t="str">
        <v>RES-100672</v>
      </c>
      <c r="AC674">
        <v>45996</v>
      </c>
      <c r="AD674">
        <v>0.43333333333333335</v>
      </c>
      <c r="AE674" t="str">
        <v>Laureles</v>
      </c>
      <c r="AF674" t="str">
        <v>Mesa</v>
      </c>
      <c r="AG674" t="str">
        <v>Parrilla</v>
      </c>
      <c r="AH674">
        <v>5</v>
      </c>
      <c r="AI674">
        <v>39287.300000000003</v>
      </c>
      <c r="AJ674">
        <v>2055.13</v>
      </c>
      <c r="AK674">
        <v>18</v>
      </c>
      <c r="AL674">
        <v>52</v>
      </c>
      <c r="AM674" t="str">
        <v>Tarjeta</v>
      </c>
      <c r="AN674" t="str">
        <v>Entregada</v>
      </c>
      <c r="AO674">
        <v>3</v>
      </c>
    </row>
    <row r="675" spans="1:41" x14ac:dyDescent="0.3">
      <c r="A675" t="s">
        <v>712</v>
      </c>
      <c r="B675" s="8">
        <v>45997</v>
      </c>
      <c r="C675" s="2">
        <v>0.47986111111111113</v>
      </c>
      <c r="D675" t="s">
        <v>21</v>
      </c>
      <c r="E675" t="s">
        <v>22</v>
      </c>
      <c r="F675" t="s">
        <v>34</v>
      </c>
      <c r="G675">
        <v>2</v>
      </c>
      <c r="H675" s="6">
        <v>51708.13</v>
      </c>
      <c r="I675" s="6">
        <v>4824.88</v>
      </c>
      <c r="J675">
        <v>17</v>
      </c>
      <c r="K675">
        <v>43</v>
      </c>
      <c r="L675" t="s">
        <v>24</v>
      </c>
      <c r="M675" t="s">
        <v>25</v>
      </c>
      <c r="N675">
        <v>3</v>
      </c>
      <c r="O675" s="4"/>
      <c r="P675" s="4" t="str">
        <f>IF(Data_Set_2[[#This Row],[valor_bruto]]&gt;$W$13,"OUTLIER+","")</f>
        <v/>
      </c>
      <c r="Q675" s="4" t="str">
        <f>IF(Data_Set_2[[#This Row],[valor_bruto]]&lt;$W$14,"OUTLIER-","")</f>
        <v/>
      </c>
      <c r="R675" s="4"/>
      <c r="S675" s="4"/>
      <c r="AB675" t="str">
        <v>RES-100673</v>
      </c>
      <c r="AC675">
        <v>45997</v>
      </c>
      <c r="AD675">
        <v>0.47986111111111113</v>
      </c>
      <c r="AE675" t="str">
        <v>Poblado</v>
      </c>
      <c r="AF675" t="str">
        <v>Domicilio</v>
      </c>
      <c r="AG675" t="str">
        <v>Vegano</v>
      </c>
      <c r="AH675">
        <v>2</v>
      </c>
      <c r="AI675">
        <v>51708.13</v>
      </c>
      <c r="AJ675">
        <v>4824.88</v>
      </c>
      <c r="AK675">
        <v>17</v>
      </c>
      <c r="AL675">
        <v>43</v>
      </c>
      <c r="AM675" t="str">
        <v>Efectivo</v>
      </c>
      <c r="AN675" t="str">
        <v>Cancelada</v>
      </c>
      <c r="AO675">
        <v>3</v>
      </c>
    </row>
    <row r="676" spans="1:41" x14ac:dyDescent="0.3">
      <c r="A676" t="s">
        <v>713</v>
      </c>
      <c r="B676" s="8">
        <v>45850</v>
      </c>
      <c r="C676" s="2">
        <v>0.52638888888888891</v>
      </c>
      <c r="D676" t="s">
        <v>27</v>
      </c>
      <c r="E676" t="s">
        <v>28</v>
      </c>
      <c r="F676" t="s">
        <v>36</v>
      </c>
      <c r="G676">
        <v>6</v>
      </c>
      <c r="H676" s="6">
        <v>49827.21</v>
      </c>
      <c r="I676" s="6">
        <v>6382.02</v>
      </c>
      <c r="J676">
        <v>30</v>
      </c>
      <c r="K676">
        <v>41</v>
      </c>
      <c r="L676" t="s">
        <v>30</v>
      </c>
      <c r="M676" t="s">
        <v>31</v>
      </c>
      <c r="N676">
        <v>5</v>
      </c>
      <c r="O676" s="4"/>
      <c r="P676" s="4" t="str">
        <f>IF(Data_Set_2[[#This Row],[valor_bruto]]&gt;$W$13,"OUTLIER+","")</f>
        <v/>
      </c>
      <c r="Q676" s="4" t="str">
        <f>IF(Data_Set_2[[#This Row],[valor_bruto]]&lt;$W$14,"OUTLIER-","")</f>
        <v/>
      </c>
      <c r="R676" s="4"/>
      <c r="S676" s="4"/>
      <c r="AB676" t="str">
        <v>RES-100674</v>
      </c>
      <c r="AC676">
        <v>45850</v>
      </c>
      <c r="AD676">
        <v>0.52638888888888891</v>
      </c>
      <c r="AE676" t="str">
        <v>Centro</v>
      </c>
      <c r="AF676" t="str">
        <v>Recoge</v>
      </c>
      <c r="AG676" t="str">
        <v>Bebidas</v>
      </c>
      <c r="AH676">
        <v>6</v>
      </c>
      <c r="AI676">
        <v>49827.21</v>
      </c>
      <c r="AJ676">
        <v>6382.02</v>
      </c>
      <c r="AK676">
        <v>30</v>
      </c>
      <c r="AL676">
        <v>41</v>
      </c>
      <c r="AM676" t="str">
        <v>App</v>
      </c>
      <c r="AN676" t="str">
        <v>Reembolsada</v>
      </c>
      <c r="AO676">
        <v>5</v>
      </c>
    </row>
    <row r="677" spans="1:41" x14ac:dyDescent="0.3">
      <c r="A677" t="s">
        <v>714</v>
      </c>
      <c r="B677" s="8">
        <v>45999</v>
      </c>
      <c r="C677" s="2">
        <v>0.57291666666666663</v>
      </c>
      <c r="D677" t="s">
        <v>33</v>
      </c>
      <c r="E677" t="s">
        <v>16</v>
      </c>
      <c r="F677" t="s">
        <v>17</v>
      </c>
      <c r="G677">
        <v>6</v>
      </c>
      <c r="H677" s="6">
        <v>62774.04</v>
      </c>
      <c r="I677" s="6">
        <v>2118.44</v>
      </c>
      <c r="J677">
        <v>14</v>
      </c>
      <c r="K677">
        <v>30</v>
      </c>
      <c r="L677" t="s">
        <v>18</v>
      </c>
      <c r="M677" t="s">
        <v>19</v>
      </c>
      <c r="N677">
        <v>3</v>
      </c>
      <c r="O677" s="4"/>
      <c r="P677" s="4" t="str">
        <f>IF(Data_Set_2[[#This Row],[valor_bruto]]&gt;$W$13,"OUTLIER+","")</f>
        <v/>
      </c>
      <c r="Q677" s="4" t="str">
        <f>IF(Data_Set_2[[#This Row],[valor_bruto]]&lt;$W$14,"OUTLIER-","")</f>
        <v/>
      </c>
      <c r="R677" s="4"/>
      <c r="S677" s="4"/>
      <c r="AB677" t="str">
        <v>RES-100675</v>
      </c>
      <c r="AC677">
        <v>45999</v>
      </c>
      <c r="AD677">
        <v>0.57291666666666663</v>
      </c>
      <c r="AE677" t="str">
        <v>Envigado</v>
      </c>
      <c r="AF677" t="str">
        <v>Mesa</v>
      </c>
      <c r="AG677" t="str">
        <v>Comida rapida</v>
      </c>
      <c r="AH677">
        <v>6</v>
      </c>
      <c r="AI677">
        <v>62774.04</v>
      </c>
      <c r="AJ677">
        <v>2118.44</v>
      </c>
      <c r="AK677">
        <v>14</v>
      </c>
      <c r="AL677">
        <v>30</v>
      </c>
      <c r="AM677" t="str">
        <v>Tarjeta</v>
      </c>
      <c r="AN677" t="str">
        <v>Entregada</v>
      </c>
      <c r="AO677">
        <v>3</v>
      </c>
    </row>
    <row r="678" spans="1:41" x14ac:dyDescent="0.3">
      <c r="A678" t="s">
        <v>715</v>
      </c>
      <c r="B678" s="8">
        <v>46000</v>
      </c>
      <c r="C678" s="2">
        <v>0.61944444444444446</v>
      </c>
      <c r="D678" t="s">
        <v>15</v>
      </c>
      <c r="E678" t="s">
        <v>22</v>
      </c>
      <c r="F678" t="s">
        <v>23</v>
      </c>
      <c r="G678">
        <v>3</v>
      </c>
      <c r="H678" s="6">
        <v>60286.81</v>
      </c>
      <c r="I678" s="6">
        <v>1386.12</v>
      </c>
      <c r="J678">
        <v>27</v>
      </c>
      <c r="K678">
        <v>24</v>
      </c>
      <c r="L678" t="s">
        <v>24</v>
      </c>
      <c r="M678" t="s">
        <v>25</v>
      </c>
      <c r="N678">
        <v>3</v>
      </c>
      <c r="O678" s="4"/>
      <c r="P678" s="4" t="str">
        <f>IF(Data_Set_2[[#This Row],[valor_bruto]]&gt;$W$13,"OUTLIER+","")</f>
        <v/>
      </c>
      <c r="Q678" s="4" t="str">
        <f>IF(Data_Set_2[[#This Row],[valor_bruto]]&lt;$W$14,"OUTLIER-","")</f>
        <v/>
      </c>
      <c r="R678" s="4"/>
      <c r="S678" s="4"/>
      <c r="AB678" t="str">
        <v>RES-100676</v>
      </c>
      <c r="AC678">
        <v>46000</v>
      </c>
      <c r="AD678">
        <v>0.61944444444444446</v>
      </c>
      <c r="AE678" t="str">
        <v>Laureles</v>
      </c>
      <c r="AF678" t="str">
        <v>Domicilio</v>
      </c>
      <c r="AG678" t="str">
        <v>Pasta</v>
      </c>
      <c r="AH678">
        <v>3</v>
      </c>
      <c r="AI678">
        <v>60286.81</v>
      </c>
      <c r="AJ678">
        <v>1386.12</v>
      </c>
      <c r="AK678">
        <v>27</v>
      </c>
      <c r="AL678">
        <v>24</v>
      </c>
      <c r="AM678" t="str">
        <v>Efectivo</v>
      </c>
      <c r="AN678" t="str">
        <v>Cancelada</v>
      </c>
      <c r="AO678">
        <v>3</v>
      </c>
    </row>
    <row r="679" spans="1:41" x14ac:dyDescent="0.3">
      <c r="A679" t="s">
        <v>716</v>
      </c>
      <c r="B679" s="8">
        <v>45942</v>
      </c>
      <c r="C679" s="2">
        <v>0.66597222222222219</v>
      </c>
      <c r="D679" t="s">
        <v>21</v>
      </c>
      <c r="E679" t="s">
        <v>28</v>
      </c>
      <c r="F679" t="s">
        <v>29</v>
      </c>
      <c r="G679">
        <v>6</v>
      </c>
      <c r="H679" s="6">
        <v>35764.379999999997</v>
      </c>
      <c r="I679" s="6">
        <v>7940.34</v>
      </c>
      <c r="J679">
        <v>27</v>
      </c>
      <c r="K679">
        <v>36</v>
      </c>
      <c r="L679" t="s">
        <v>30</v>
      </c>
      <c r="M679" t="s">
        <v>31</v>
      </c>
      <c r="N679">
        <v>4</v>
      </c>
      <c r="O679" s="4"/>
      <c r="P679" s="4" t="str">
        <f>IF(Data_Set_2[[#This Row],[valor_bruto]]&gt;$W$13,"OUTLIER+","")</f>
        <v/>
      </c>
      <c r="Q679" s="4" t="str">
        <f>IF(Data_Set_2[[#This Row],[valor_bruto]]&lt;$W$14,"OUTLIER-","")</f>
        <v/>
      </c>
      <c r="R679" s="4"/>
      <c r="S679" s="4"/>
      <c r="AB679" t="str">
        <v>RES-100677</v>
      </c>
      <c r="AC679">
        <v>45942</v>
      </c>
      <c r="AD679">
        <v>0.66597222222222219</v>
      </c>
      <c r="AE679" t="str">
        <v>Poblado</v>
      </c>
      <c r="AF679" t="str">
        <v>Recoge</v>
      </c>
      <c r="AG679" t="str">
        <v>Parrilla</v>
      </c>
      <c r="AH679">
        <v>6</v>
      </c>
      <c r="AI679">
        <v>35764.379999999997</v>
      </c>
      <c r="AJ679">
        <v>7940.34</v>
      </c>
      <c r="AK679">
        <v>27</v>
      </c>
      <c r="AL679">
        <v>36</v>
      </c>
      <c r="AM679" t="str">
        <v>App</v>
      </c>
      <c r="AN679" t="str">
        <v>Reembolsada</v>
      </c>
      <c r="AO679">
        <v>4</v>
      </c>
    </row>
    <row r="680" spans="1:41" x14ac:dyDescent="0.3">
      <c r="A680" t="s">
        <v>717</v>
      </c>
      <c r="B680" s="8">
        <v>46002</v>
      </c>
      <c r="C680" s="2">
        <v>0.67083333333333328</v>
      </c>
      <c r="D680" t="s">
        <v>27</v>
      </c>
      <c r="E680" t="s">
        <v>16</v>
      </c>
      <c r="F680" t="s">
        <v>34</v>
      </c>
      <c r="G680">
        <v>2</v>
      </c>
      <c r="H680" s="6">
        <v>67957.52</v>
      </c>
      <c r="I680" s="6">
        <v>1126.98</v>
      </c>
      <c r="J680">
        <v>27</v>
      </c>
      <c r="K680">
        <v>25</v>
      </c>
      <c r="L680" t="s">
        <v>18</v>
      </c>
      <c r="M680" t="s">
        <v>19</v>
      </c>
      <c r="N680">
        <v>5</v>
      </c>
      <c r="O680" s="4"/>
      <c r="P680" s="4" t="str">
        <f>IF(Data_Set_2[[#This Row],[valor_bruto]]&gt;$W$13,"OUTLIER+","")</f>
        <v/>
      </c>
      <c r="Q680" s="4" t="str">
        <f>IF(Data_Set_2[[#This Row],[valor_bruto]]&lt;$W$14,"OUTLIER-","")</f>
        <v/>
      </c>
      <c r="R680" s="4"/>
      <c r="S680" s="4"/>
      <c r="AB680" t="str">
        <v>RES-100678</v>
      </c>
      <c r="AC680">
        <v>46002</v>
      </c>
      <c r="AD680">
        <v>0.67083333333333328</v>
      </c>
      <c r="AE680" t="str">
        <v>Centro</v>
      </c>
      <c r="AF680" t="str">
        <v>Mesa</v>
      </c>
      <c r="AG680" t="str">
        <v>Vegano</v>
      </c>
      <c r="AH680">
        <v>2</v>
      </c>
      <c r="AI680">
        <v>67957.52</v>
      </c>
      <c r="AJ680">
        <v>1126.98</v>
      </c>
      <c r="AK680">
        <v>27</v>
      </c>
      <c r="AL680">
        <v>25</v>
      </c>
      <c r="AM680" t="str">
        <v>Tarjeta</v>
      </c>
      <c r="AN680" t="str">
        <v>Entregada</v>
      </c>
      <c r="AO680">
        <v>5</v>
      </c>
    </row>
    <row r="681" spans="1:41" x14ac:dyDescent="0.3">
      <c r="A681" t="s">
        <v>718</v>
      </c>
      <c r="B681" s="8">
        <v>46003</v>
      </c>
      <c r="C681" s="2">
        <v>0.71736111111111112</v>
      </c>
      <c r="D681" t="s">
        <v>33</v>
      </c>
      <c r="E681" t="s">
        <v>22</v>
      </c>
      <c r="F681" t="s">
        <v>36</v>
      </c>
      <c r="G681">
        <v>6</v>
      </c>
      <c r="H681" s="6">
        <v>58659.27</v>
      </c>
      <c r="I681" s="6">
        <v>3137.4</v>
      </c>
      <c r="J681">
        <v>21</v>
      </c>
      <c r="K681">
        <v>48</v>
      </c>
      <c r="L681" t="s">
        <v>24</v>
      </c>
      <c r="M681" t="s">
        <v>25</v>
      </c>
      <c r="N681">
        <v>5</v>
      </c>
      <c r="O681" s="4"/>
      <c r="P681" s="4" t="str">
        <f>IF(Data_Set_2[[#This Row],[valor_bruto]]&gt;$W$13,"OUTLIER+","")</f>
        <v/>
      </c>
      <c r="Q681" s="4" t="str">
        <f>IF(Data_Set_2[[#This Row],[valor_bruto]]&lt;$W$14,"OUTLIER-","")</f>
        <v/>
      </c>
      <c r="R681" s="4"/>
      <c r="S681" s="4"/>
      <c r="AB681" t="str">
        <v>RES-100679</v>
      </c>
      <c r="AC681">
        <v>46003</v>
      </c>
      <c r="AD681">
        <v>0.71736111111111112</v>
      </c>
      <c r="AE681" t="str">
        <v>Envigado</v>
      </c>
      <c r="AF681" t="str">
        <v>Domicilio</v>
      </c>
      <c r="AG681" t="str">
        <v>Bebidas</v>
      </c>
      <c r="AH681">
        <v>6</v>
      </c>
      <c r="AI681">
        <v>58659.27</v>
      </c>
      <c r="AJ681">
        <v>3137.4</v>
      </c>
      <c r="AK681">
        <v>21</v>
      </c>
      <c r="AL681">
        <v>48</v>
      </c>
      <c r="AM681" t="str">
        <v>Efectivo</v>
      </c>
      <c r="AN681" t="str">
        <v>Cancelada</v>
      </c>
      <c r="AO681">
        <v>5</v>
      </c>
    </row>
    <row r="682" spans="1:41" x14ac:dyDescent="0.3">
      <c r="A682" t="s">
        <v>719</v>
      </c>
      <c r="B682" s="8">
        <v>46004</v>
      </c>
      <c r="C682" s="2">
        <v>0.76388888888888884</v>
      </c>
      <c r="D682" t="s">
        <v>15</v>
      </c>
      <c r="E682" t="s">
        <v>28</v>
      </c>
      <c r="F682" t="s">
        <v>17</v>
      </c>
      <c r="G682">
        <v>6</v>
      </c>
      <c r="H682" s="6">
        <v>39659.83</v>
      </c>
      <c r="I682" s="6">
        <v>4135.63</v>
      </c>
      <c r="J682">
        <v>13</v>
      </c>
      <c r="K682">
        <v>51</v>
      </c>
      <c r="L682" t="s">
        <v>30</v>
      </c>
      <c r="M682" t="s">
        <v>31</v>
      </c>
      <c r="N682">
        <v>3</v>
      </c>
      <c r="O682" s="4"/>
      <c r="P682" s="4" t="str">
        <f>IF(Data_Set_2[[#This Row],[valor_bruto]]&gt;$W$13,"OUTLIER+","")</f>
        <v/>
      </c>
      <c r="Q682" s="4" t="str">
        <f>IF(Data_Set_2[[#This Row],[valor_bruto]]&lt;$W$14,"OUTLIER-","")</f>
        <v/>
      </c>
      <c r="R682" s="4"/>
      <c r="S682" s="4"/>
      <c r="AB682" t="str">
        <v>RES-100680</v>
      </c>
      <c r="AC682">
        <v>46004</v>
      </c>
      <c r="AD682">
        <v>0.76388888888888884</v>
      </c>
      <c r="AE682" t="str">
        <v>Laureles</v>
      </c>
      <c r="AF682" t="str">
        <v>Recoge</v>
      </c>
      <c r="AG682" t="str">
        <v>Comida rapida</v>
      </c>
      <c r="AH682">
        <v>6</v>
      </c>
      <c r="AI682">
        <v>39659.83</v>
      </c>
      <c r="AJ682">
        <v>4135.63</v>
      </c>
      <c r="AK682">
        <v>13</v>
      </c>
      <c r="AL682">
        <v>51</v>
      </c>
      <c r="AM682" t="str">
        <v>App</v>
      </c>
      <c r="AN682" t="str">
        <v>Reembolsada</v>
      </c>
      <c r="AO682">
        <v>3</v>
      </c>
    </row>
    <row r="683" spans="1:41" x14ac:dyDescent="0.3">
      <c r="A683" t="s">
        <v>720</v>
      </c>
      <c r="B683" s="8">
        <v>46005</v>
      </c>
      <c r="C683" s="2">
        <v>0.81041666666666667</v>
      </c>
      <c r="D683" t="s">
        <v>21</v>
      </c>
      <c r="E683" t="s">
        <v>16</v>
      </c>
      <c r="F683" t="s">
        <v>23</v>
      </c>
      <c r="G683">
        <v>5</v>
      </c>
      <c r="H683" s="6">
        <v>56839.67</v>
      </c>
      <c r="I683" s="6">
        <v>1753.31</v>
      </c>
      <c r="J683">
        <v>25</v>
      </c>
      <c r="K683">
        <v>43</v>
      </c>
      <c r="L683" t="s">
        <v>18</v>
      </c>
      <c r="M683" t="s">
        <v>19</v>
      </c>
      <c r="N683">
        <v>4</v>
      </c>
      <c r="O683" s="4"/>
      <c r="P683" s="4" t="str">
        <f>IF(Data_Set_2[[#This Row],[valor_bruto]]&gt;$W$13,"OUTLIER+","")</f>
        <v/>
      </c>
      <c r="Q683" s="4" t="str">
        <f>IF(Data_Set_2[[#This Row],[valor_bruto]]&lt;$W$14,"OUTLIER-","")</f>
        <v/>
      </c>
      <c r="R683" s="4"/>
      <c r="S683" s="4"/>
      <c r="AB683" t="str">
        <v>RES-100681</v>
      </c>
      <c r="AC683">
        <v>46005</v>
      </c>
      <c r="AD683">
        <v>0.81041666666666667</v>
      </c>
      <c r="AE683" t="str">
        <v>Poblado</v>
      </c>
      <c r="AF683" t="str">
        <v>Mesa</v>
      </c>
      <c r="AG683" t="str">
        <v>Pasta</v>
      </c>
      <c r="AH683">
        <v>5</v>
      </c>
      <c r="AI683">
        <v>56839.67</v>
      </c>
      <c r="AJ683">
        <v>1753.31</v>
      </c>
      <c r="AK683">
        <v>25</v>
      </c>
      <c r="AL683">
        <v>43</v>
      </c>
      <c r="AM683" t="str">
        <v>Tarjeta</v>
      </c>
      <c r="AN683" t="str">
        <v>Entregada</v>
      </c>
      <c r="AO683">
        <v>4</v>
      </c>
    </row>
    <row r="684" spans="1:41" x14ac:dyDescent="0.3">
      <c r="A684" t="s">
        <v>721</v>
      </c>
      <c r="B684" s="8">
        <v>46006</v>
      </c>
      <c r="C684" s="2">
        <v>0.8569444444444444</v>
      </c>
      <c r="D684" t="s">
        <v>27</v>
      </c>
      <c r="E684" t="s">
        <v>22</v>
      </c>
      <c r="F684" t="s">
        <v>29</v>
      </c>
      <c r="G684">
        <v>6</v>
      </c>
      <c r="H684" s="6">
        <v>69021.77</v>
      </c>
      <c r="I684" s="6">
        <v>1941.32</v>
      </c>
      <c r="J684">
        <v>25</v>
      </c>
      <c r="K684">
        <v>53</v>
      </c>
      <c r="L684" t="s">
        <v>24</v>
      </c>
      <c r="M684" t="s">
        <v>25</v>
      </c>
      <c r="N684">
        <v>5</v>
      </c>
      <c r="O684" s="4"/>
      <c r="P684" s="4" t="str">
        <f>IF(Data_Set_2[[#This Row],[valor_bruto]]&gt;$W$13,"OUTLIER+","")</f>
        <v/>
      </c>
      <c r="Q684" s="4" t="str">
        <f>IF(Data_Set_2[[#This Row],[valor_bruto]]&lt;$W$14,"OUTLIER-","")</f>
        <v/>
      </c>
      <c r="R684" s="4"/>
      <c r="S684" s="4"/>
      <c r="AB684" t="str">
        <v>RES-100682</v>
      </c>
      <c r="AC684">
        <v>46006</v>
      </c>
      <c r="AD684">
        <v>0.8569444444444444</v>
      </c>
      <c r="AE684" t="str">
        <v>Centro</v>
      </c>
      <c r="AF684" t="str">
        <v>Domicilio</v>
      </c>
      <c r="AG684" t="str">
        <v>Parrilla</v>
      </c>
      <c r="AH684">
        <v>6</v>
      </c>
      <c r="AI684">
        <v>69021.77</v>
      </c>
      <c r="AJ684">
        <v>1941.32</v>
      </c>
      <c r="AK684">
        <v>25</v>
      </c>
      <c r="AL684">
        <v>53</v>
      </c>
      <c r="AM684" t="str">
        <v>Efectivo</v>
      </c>
      <c r="AN684" t="str">
        <v>Cancelada</v>
      </c>
      <c r="AO684">
        <v>5</v>
      </c>
    </row>
    <row r="685" spans="1:41" x14ac:dyDescent="0.3">
      <c r="A685" t="s">
        <v>722</v>
      </c>
      <c r="B685" s="8">
        <v>46007</v>
      </c>
      <c r="C685" s="2">
        <v>0.90347222222222223</v>
      </c>
      <c r="D685" t="s">
        <v>33</v>
      </c>
      <c r="E685" t="s">
        <v>28</v>
      </c>
      <c r="F685" t="s">
        <v>34</v>
      </c>
      <c r="G685">
        <v>6</v>
      </c>
      <c r="H685" s="6">
        <v>56872.93</v>
      </c>
      <c r="I685" s="6">
        <v>4190.88</v>
      </c>
      <c r="J685">
        <v>25</v>
      </c>
      <c r="K685">
        <v>31</v>
      </c>
      <c r="L685" t="s">
        <v>30</v>
      </c>
      <c r="M685" t="s">
        <v>31</v>
      </c>
      <c r="N685">
        <v>4</v>
      </c>
      <c r="O685" s="4"/>
      <c r="P685" s="4" t="str">
        <f>IF(Data_Set_2[[#This Row],[valor_bruto]]&gt;$W$13,"OUTLIER+","")</f>
        <v/>
      </c>
      <c r="Q685" s="4" t="str">
        <f>IF(Data_Set_2[[#This Row],[valor_bruto]]&lt;$W$14,"OUTLIER-","")</f>
        <v/>
      </c>
      <c r="R685" s="4"/>
      <c r="S685" s="4"/>
      <c r="AB685" t="str">
        <v>RES-100683</v>
      </c>
      <c r="AC685">
        <v>46007</v>
      </c>
      <c r="AD685">
        <v>0.90347222222222223</v>
      </c>
      <c r="AE685" t="str">
        <v>Envigado</v>
      </c>
      <c r="AF685" t="str">
        <v>Recoge</v>
      </c>
      <c r="AG685" t="str">
        <v>Vegano</v>
      </c>
      <c r="AH685">
        <v>6</v>
      </c>
      <c r="AI685">
        <v>56872.93</v>
      </c>
      <c r="AJ685">
        <v>4190.88</v>
      </c>
      <c r="AK685">
        <v>25</v>
      </c>
      <c r="AL685">
        <v>31</v>
      </c>
      <c r="AM685" t="str">
        <v>App</v>
      </c>
      <c r="AN685" t="str">
        <v>Reembolsada</v>
      </c>
      <c r="AO685">
        <v>4</v>
      </c>
    </row>
    <row r="686" spans="1:41" x14ac:dyDescent="0.3">
      <c r="A686" t="s">
        <v>723</v>
      </c>
      <c r="B686" s="8">
        <v>46008</v>
      </c>
      <c r="C686" s="2">
        <v>0.45</v>
      </c>
      <c r="D686" t="s">
        <v>15</v>
      </c>
      <c r="E686" t="s">
        <v>16</v>
      </c>
      <c r="F686" t="s">
        <v>36</v>
      </c>
      <c r="G686">
        <v>2</v>
      </c>
      <c r="H686" s="6">
        <v>38078.58</v>
      </c>
      <c r="I686" s="6">
        <v>2964</v>
      </c>
      <c r="J686">
        <v>26</v>
      </c>
      <c r="K686">
        <v>48</v>
      </c>
      <c r="L686" t="s">
        <v>18</v>
      </c>
      <c r="M686" t="s">
        <v>19</v>
      </c>
      <c r="N686">
        <v>3</v>
      </c>
      <c r="O686" s="4"/>
      <c r="P686" s="4" t="str">
        <f>IF(Data_Set_2[[#This Row],[valor_bruto]]&gt;$W$13,"OUTLIER+","")</f>
        <v/>
      </c>
      <c r="Q686" s="4" t="str">
        <f>IF(Data_Set_2[[#This Row],[valor_bruto]]&lt;$W$14,"OUTLIER-","")</f>
        <v/>
      </c>
      <c r="R686" s="4"/>
      <c r="S686" s="4"/>
      <c r="AB686" t="str">
        <v>RES-100684</v>
      </c>
      <c r="AC686">
        <v>46008</v>
      </c>
      <c r="AD686">
        <v>0.45</v>
      </c>
      <c r="AE686" t="str">
        <v>Laureles</v>
      </c>
      <c r="AF686" t="str">
        <v>Mesa</v>
      </c>
      <c r="AG686" t="str">
        <v>Bebidas</v>
      </c>
      <c r="AH686">
        <v>2</v>
      </c>
      <c r="AI686">
        <v>38078.58</v>
      </c>
      <c r="AJ686">
        <v>2964</v>
      </c>
      <c r="AK686">
        <v>26</v>
      </c>
      <c r="AL686">
        <v>48</v>
      </c>
      <c r="AM686" t="str">
        <v>Tarjeta</v>
      </c>
      <c r="AN686" t="str">
        <v>Entregada</v>
      </c>
      <c r="AO686">
        <v>3</v>
      </c>
    </row>
    <row r="687" spans="1:41" x14ac:dyDescent="0.3">
      <c r="A687" t="s">
        <v>724</v>
      </c>
      <c r="B687" s="8">
        <v>46009</v>
      </c>
      <c r="C687" s="2">
        <v>0.49652777777777779</v>
      </c>
      <c r="D687" t="s">
        <v>21</v>
      </c>
      <c r="E687" t="s">
        <v>22</v>
      </c>
      <c r="F687" t="s">
        <v>17</v>
      </c>
      <c r="G687">
        <v>5</v>
      </c>
      <c r="H687" s="6">
        <v>69771.05</v>
      </c>
      <c r="I687" s="6">
        <v>3057.7</v>
      </c>
      <c r="J687">
        <v>13</v>
      </c>
      <c r="K687">
        <v>29</v>
      </c>
      <c r="L687" t="s">
        <v>24</v>
      </c>
      <c r="M687" t="s">
        <v>25</v>
      </c>
      <c r="N687">
        <v>5</v>
      </c>
      <c r="O687" s="4"/>
      <c r="P687" s="4" t="str">
        <f>IF(Data_Set_2[[#This Row],[valor_bruto]]&gt;$W$13,"OUTLIER+","")</f>
        <v/>
      </c>
      <c r="Q687" s="4" t="str">
        <f>IF(Data_Set_2[[#This Row],[valor_bruto]]&lt;$W$14,"OUTLIER-","")</f>
        <v/>
      </c>
      <c r="R687" s="4"/>
      <c r="S687" s="4"/>
      <c r="AB687" t="str">
        <v>RES-100685</v>
      </c>
      <c r="AC687">
        <v>46009</v>
      </c>
      <c r="AD687">
        <v>0.49652777777777779</v>
      </c>
      <c r="AE687" t="str">
        <v>Poblado</v>
      </c>
      <c r="AF687" t="str">
        <v>Domicilio</v>
      </c>
      <c r="AG687" t="str">
        <v>Comida rapida</v>
      </c>
      <c r="AH687">
        <v>5</v>
      </c>
      <c r="AI687">
        <v>69771.05</v>
      </c>
      <c r="AJ687">
        <v>3057.7</v>
      </c>
      <c r="AK687">
        <v>13</v>
      </c>
      <c r="AL687">
        <v>29</v>
      </c>
      <c r="AM687" t="str">
        <v>Efectivo</v>
      </c>
      <c r="AN687" t="str">
        <v>Cancelada</v>
      </c>
      <c r="AO687">
        <v>5</v>
      </c>
    </row>
    <row r="688" spans="1:41" x14ac:dyDescent="0.3">
      <c r="A688" t="s">
        <v>725</v>
      </c>
      <c r="B688" s="8">
        <v>46010</v>
      </c>
      <c r="C688" s="2">
        <v>0.50138888888888888</v>
      </c>
      <c r="D688" t="s">
        <v>27</v>
      </c>
      <c r="E688" t="s">
        <v>28</v>
      </c>
      <c r="F688" t="s">
        <v>23</v>
      </c>
      <c r="G688">
        <v>4</v>
      </c>
      <c r="H688" s="6">
        <v>29830.560000000001</v>
      </c>
      <c r="I688" s="6">
        <v>8456.5300000000007</v>
      </c>
      <c r="J688">
        <v>17</v>
      </c>
      <c r="K688">
        <v>38</v>
      </c>
      <c r="L688" t="s">
        <v>30</v>
      </c>
      <c r="M688" t="s">
        <v>31</v>
      </c>
      <c r="N688">
        <v>4</v>
      </c>
      <c r="O688" s="4"/>
      <c r="P688" s="4" t="str">
        <f>IF(Data_Set_2[[#This Row],[valor_bruto]]&gt;$W$13,"OUTLIER+","")</f>
        <v/>
      </c>
      <c r="Q688" s="4" t="str">
        <f>IF(Data_Set_2[[#This Row],[valor_bruto]]&lt;$W$14,"OUTLIER-","")</f>
        <v/>
      </c>
      <c r="R688" s="4"/>
      <c r="S688" s="4"/>
      <c r="AB688" t="str">
        <v>RES-100686</v>
      </c>
      <c r="AC688">
        <v>46010</v>
      </c>
      <c r="AD688">
        <v>0.50138888888888888</v>
      </c>
      <c r="AE688" t="str">
        <v>Centro</v>
      </c>
      <c r="AF688" t="str">
        <v>Recoge</v>
      </c>
      <c r="AG688" t="str">
        <v>Pasta</v>
      </c>
      <c r="AH688">
        <v>4</v>
      </c>
      <c r="AI688">
        <v>29830.560000000001</v>
      </c>
      <c r="AJ688">
        <v>8456.5300000000007</v>
      </c>
      <c r="AK688">
        <v>17</v>
      </c>
      <c r="AL688">
        <v>38</v>
      </c>
      <c r="AM688" t="str">
        <v>App</v>
      </c>
      <c r="AN688" t="str">
        <v>Reembolsada</v>
      </c>
      <c r="AO688">
        <v>4</v>
      </c>
    </row>
    <row r="689" spans="1:41" x14ac:dyDescent="0.3">
      <c r="A689" t="s">
        <v>726</v>
      </c>
      <c r="B689" s="8">
        <v>46011</v>
      </c>
      <c r="C689" s="2">
        <v>0.54791666666666672</v>
      </c>
      <c r="D689" t="s">
        <v>33</v>
      </c>
      <c r="E689" t="s">
        <v>16</v>
      </c>
      <c r="F689" t="s">
        <v>29</v>
      </c>
      <c r="G689">
        <v>4</v>
      </c>
      <c r="H689" s="6">
        <v>31441.07</v>
      </c>
      <c r="I689" s="6">
        <v>5262.71</v>
      </c>
      <c r="J689">
        <v>21</v>
      </c>
      <c r="K689">
        <v>46</v>
      </c>
      <c r="L689" t="s">
        <v>18</v>
      </c>
      <c r="M689" t="s">
        <v>19</v>
      </c>
      <c r="N689">
        <v>4</v>
      </c>
      <c r="O689" s="4"/>
      <c r="P689" s="4" t="str">
        <f>IF(Data_Set_2[[#This Row],[valor_bruto]]&gt;$W$13,"OUTLIER+","")</f>
        <v/>
      </c>
      <c r="Q689" s="4" t="str">
        <f>IF(Data_Set_2[[#This Row],[valor_bruto]]&lt;$W$14,"OUTLIER-","")</f>
        <v/>
      </c>
      <c r="R689" s="4"/>
      <c r="S689" s="4"/>
      <c r="AB689" t="str">
        <v>RES-100687</v>
      </c>
      <c r="AC689">
        <v>46011</v>
      </c>
      <c r="AD689">
        <v>0.54791666666666672</v>
      </c>
      <c r="AE689" t="str">
        <v>Envigado</v>
      </c>
      <c r="AF689" t="str">
        <v>Mesa</v>
      </c>
      <c r="AG689" t="str">
        <v>Parrilla</v>
      </c>
      <c r="AH689">
        <v>4</v>
      </c>
      <c r="AI689">
        <v>31441.07</v>
      </c>
      <c r="AJ689">
        <v>5262.71</v>
      </c>
      <c r="AK689">
        <v>21</v>
      </c>
      <c r="AL689">
        <v>46</v>
      </c>
      <c r="AM689" t="str">
        <v>Tarjeta</v>
      </c>
      <c r="AN689" t="str">
        <v>Entregada</v>
      </c>
      <c r="AO689">
        <v>4</v>
      </c>
    </row>
    <row r="690" spans="1:41" x14ac:dyDescent="0.3">
      <c r="A690" t="s">
        <v>727</v>
      </c>
      <c r="B690" s="8">
        <v>46012</v>
      </c>
      <c r="C690" s="2">
        <v>0.59444444444444444</v>
      </c>
      <c r="D690" t="s">
        <v>15</v>
      </c>
      <c r="E690" t="s">
        <v>22</v>
      </c>
      <c r="F690" t="s">
        <v>34</v>
      </c>
      <c r="G690">
        <v>2</v>
      </c>
      <c r="H690" s="6">
        <v>45570.15</v>
      </c>
      <c r="I690" s="6">
        <v>4526.26</v>
      </c>
      <c r="J690">
        <v>27</v>
      </c>
      <c r="K690">
        <v>53</v>
      </c>
      <c r="L690" t="s">
        <v>24</v>
      </c>
      <c r="M690" t="s">
        <v>25</v>
      </c>
      <c r="N690">
        <v>4</v>
      </c>
      <c r="O690" s="4"/>
      <c r="P690" s="4" t="str">
        <f>IF(Data_Set_2[[#This Row],[valor_bruto]]&gt;$W$13,"OUTLIER+","")</f>
        <v/>
      </c>
      <c r="Q690" s="4" t="str">
        <f>IF(Data_Set_2[[#This Row],[valor_bruto]]&lt;$W$14,"OUTLIER-","")</f>
        <v/>
      </c>
      <c r="R690" s="4"/>
      <c r="S690" s="4"/>
      <c r="AB690" t="str">
        <v>RES-100688</v>
      </c>
      <c r="AC690">
        <v>46012</v>
      </c>
      <c r="AD690">
        <v>0.59444444444444444</v>
      </c>
      <c r="AE690" t="str">
        <v>Laureles</v>
      </c>
      <c r="AF690" t="str">
        <v>Domicilio</v>
      </c>
      <c r="AG690" t="str">
        <v>Vegano</v>
      </c>
      <c r="AH690">
        <v>2</v>
      </c>
      <c r="AI690">
        <v>45570.15</v>
      </c>
      <c r="AJ690">
        <v>4526.26</v>
      </c>
      <c r="AK690">
        <v>27</v>
      </c>
      <c r="AL690">
        <v>53</v>
      </c>
      <c r="AM690" t="str">
        <v>Efectivo</v>
      </c>
      <c r="AN690" t="str">
        <v>Cancelada</v>
      </c>
      <c r="AO690">
        <v>4</v>
      </c>
    </row>
    <row r="691" spans="1:41" x14ac:dyDescent="0.3">
      <c r="A691" t="s">
        <v>728</v>
      </c>
      <c r="B691" s="8">
        <v>46013</v>
      </c>
      <c r="C691" s="2">
        <v>0.64097222222222228</v>
      </c>
      <c r="D691" t="s">
        <v>21</v>
      </c>
      <c r="E691" t="s">
        <v>28</v>
      </c>
      <c r="F691" t="s">
        <v>36</v>
      </c>
      <c r="G691">
        <v>4</v>
      </c>
      <c r="H691" s="6">
        <v>45384.06</v>
      </c>
      <c r="I691" s="6">
        <v>5294.7</v>
      </c>
      <c r="J691">
        <v>31</v>
      </c>
      <c r="K691">
        <v>51</v>
      </c>
      <c r="L691" t="s">
        <v>30</v>
      </c>
      <c r="M691" t="s">
        <v>31</v>
      </c>
      <c r="N691">
        <v>3</v>
      </c>
      <c r="O691" s="4"/>
      <c r="P691" s="4" t="str">
        <f>IF(Data_Set_2[[#This Row],[valor_bruto]]&gt;$W$13,"OUTLIER+","")</f>
        <v/>
      </c>
      <c r="Q691" s="4" t="str">
        <f>IF(Data_Set_2[[#This Row],[valor_bruto]]&lt;$W$14,"OUTLIER-","")</f>
        <v/>
      </c>
      <c r="R691" s="4"/>
      <c r="S691" s="4"/>
      <c r="AB691" t="str">
        <v>RES-100689</v>
      </c>
      <c r="AC691">
        <v>46013</v>
      </c>
      <c r="AD691">
        <v>0.64097222222222228</v>
      </c>
      <c r="AE691" t="str">
        <v>Poblado</v>
      </c>
      <c r="AF691" t="str">
        <v>Recoge</v>
      </c>
      <c r="AG691" t="str">
        <v>Bebidas</v>
      </c>
      <c r="AH691">
        <v>4</v>
      </c>
      <c r="AI691">
        <v>45384.06</v>
      </c>
      <c r="AJ691">
        <v>5294.7</v>
      </c>
      <c r="AK691">
        <v>31</v>
      </c>
      <c r="AL691">
        <v>51</v>
      </c>
      <c r="AM691" t="str">
        <v>App</v>
      </c>
      <c r="AN691" t="str">
        <v>Reembolsada</v>
      </c>
      <c r="AO691">
        <v>3</v>
      </c>
    </row>
    <row r="692" spans="1:41" x14ac:dyDescent="0.3">
      <c r="A692" t="s">
        <v>729</v>
      </c>
      <c r="B692" s="8">
        <v>46014</v>
      </c>
      <c r="C692" s="2">
        <v>0.6875</v>
      </c>
      <c r="D692" t="s">
        <v>27</v>
      </c>
      <c r="E692" t="s">
        <v>16</v>
      </c>
      <c r="F692" t="s">
        <v>17</v>
      </c>
      <c r="G692">
        <v>2</v>
      </c>
      <c r="H692" s="6">
        <v>45223.22</v>
      </c>
      <c r="I692" s="6">
        <v>2464.8200000000002</v>
      </c>
      <c r="J692">
        <v>18</v>
      </c>
      <c r="K692">
        <v>27</v>
      </c>
      <c r="L692" t="s">
        <v>18</v>
      </c>
      <c r="M692" t="s">
        <v>19</v>
      </c>
      <c r="N692">
        <v>3</v>
      </c>
      <c r="O692" s="4"/>
      <c r="P692" s="4" t="str">
        <f>IF(Data_Set_2[[#This Row],[valor_bruto]]&gt;$W$13,"OUTLIER+","")</f>
        <v/>
      </c>
      <c r="Q692" s="4" t="str">
        <f>IF(Data_Set_2[[#This Row],[valor_bruto]]&lt;$W$14,"OUTLIER-","")</f>
        <v/>
      </c>
      <c r="R692" s="4"/>
      <c r="S692" s="4"/>
      <c r="AB692" t="str">
        <v>RES-100690</v>
      </c>
      <c r="AC692">
        <v>46014</v>
      </c>
      <c r="AD692">
        <v>0.6875</v>
      </c>
      <c r="AE692" t="str">
        <v>Centro</v>
      </c>
      <c r="AF692" t="str">
        <v>Mesa</v>
      </c>
      <c r="AG692" t="str">
        <v>Comida rapida</v>
      </c>
      <c r="AH692">
        <v>2</v>
      </c>
      <c r="AI692">
        <v>45223.22</v>
      </c>
      <c r="AJ692">
        <v>2464.8200000000002</v>
      </c>
      <c r="AK692">
        <v>18</v>
      </c>
      <c r="AL692">
        <v>27</v>
      </c>
      <c r="AM692" t="str">
        <v>Tarjeta</v>
      </c>
      <c r="AN692" t="str">
        <v>Entregada</v>
      </c>
      <c r="AO692">
        <v>3</v>
      </c>
    </row>
    <row r="693" spans="1:41" x14ac:dyDescent="0.3">
      <c r="A693" t="s">
        <v>730</v>
      </c>
      <c r="B693" s="8">
        <v>46015</v>
      </c>
      <c r="C693" s="2">
        <v>0.73402777777777772</v>
      </c>
      <c r="D693" t="s">
        <v>33</v>
      </c>
      <c r="E693" t="s">
        <v>22</v>
      </c>
      <c r="F693" t="s">
        <v>23</v>
      </c>
      <c r="G693">
        <v>4</v>
      </c>
      <c r="H693" s="6">
        <v>44123.57</v>
      </c>
      <c r="I693" s="6">
        <v>4315.8999999999996</v>
      </c>
      <c r="J693">
        <v>16</v>
      </c>
      <c r="K693">
        <v>32</v>
      </c>
      <c r="L693" t="s">
        <v>24</v>
      </c>
      <c r="M693" t="s">
        <v>25</v>
      </c>
      <c r="N693">
        <v>3</v>
      </c>
      <c r="O693" s="4"/>
      <c r="P693" s="4" t="str">
        <f>IF(Data_Set_2[[#This Row],[valor_bruto]]&gt;$W$13,"OUTLIER+","")</f>
        <v/>
      </c>
      <c r="Q693" s="4" t="str">
        <f>IF(Data_Set_2[[#This Row],[valor_bruto]]&lt;$W$14,"OUTLIER-","")</f>
        <v/>
      </c>
      <c r="R693" s="4"/>
      <c r="S693" s="4"/>
      <c r="AB693" t="str">
        <v>RES-100691</v>
      </c>
      <c r="AC693">
        <v>46015</v>
      </c>
      <c r="AD693">
        <v>0.73402777777777772</v>
      </c>
      <c r="AE693" t="str">
        <v>Envigado</v>
      </c>
      <c r="AF693" t="str">
        <v>Domicilio</v>
      </c>
      <c r="AG693" t="str">
        <v>Pasta</v>
      </c>
      <c r="AH693">
        <v>4</v>
      </c>
      <c r="AI693">
        <v>44123.57</v>
      </c>
      <c r="AJ693">
        <v>4315.8999999999996</v>
      </c>
      <c r="AK693">
        <v>16</v>
      </c>
      <c r="AL693">
        <v>32</v>
      </c>
      <c r="AM693" t="str">
        <v>Efectivo</v>
      </c>
      <c r="AN693" t="str">
        <v>Cancelada</v>
      </c>
      <c r="AO693">
        <v>3</v>
      </c>
    </row>
    <row r="694" spans="1:41" x14ac:dyDescent="0.3">
      <c r="A694" t="s">
        <v>731</v>
      </c>
      <c r="B694" s="8">
        <v>46016</v>
      </c>
      <c r="C694" s="2">
        <v>0.78055555555555556</v>
      </c>
      <c r="D694" t="s">
        <v>15</v>
      </c>
      <c r="E694" t="s">
        <v>28</v>
      </c>
      <c r="F694" t="s">
        <v>29</v>
      </c>
      <c r="G694">
        <v>3</v>
      </c>
      <c r="H694" s="6">
        <v>68839.3</v>
      </c>
      <c r="I694" s="6">
        <v>4452.7</v>
      </c>
      <c r="J694">
        <v>26</v>
      </c>
      <c r="K694">
        <v>53</v>
      </c>
      <c r="L694" t="s">
        <v>30</v>
      </c>
      <c r="M694" t="s">
        <v>31</v>
      </c>
      <c r="N694">
        <v>5</v>
      </c>
      <c r="O694" s="4"/>
      <c r="P694" s="4" t="str">
        <f>IF(Data_Set_2[[#This Row],[valor_bruto]]&gt;$W$13,"OUTLIER+","")</f>
        <v/>
      </c>
      <c r="Q694" s="4" t="str">
        <f>IF(Data_Set_2[[#This Row],[valor_bruto]]&lt;$W$14,"OUTLIER-","")</f>
        <v/>
      </c>
      <c r="R694" s="4"/>
      <c r="S694" s="4"/>
      <c r="AB694" t="str">
        <v>RES-100692</v>
      </c>
      <c r="AC694">
        <v>46016</v>
      </c>
      <c r="AD694">
        <v>0.78055555555555556</v>
      </c>
      <c r="AE694" t="str">
        <v>Laureles</v>
      </c>
      <c r="AF694" t="str">
        <v>Recoge</v>
      </c>
      <c r="AG694" t="str">
        <v>Parrilla</v>
      </c>
      <c r="AH694">
        <v>3</v>
      </c>
      <c r="AI694">
        <v>68839.3</v>
      </c>
      <c r="AJ694">
        <v>4452.7</v>
      </c>
      <c r="AK694">
        <v>26</v>
      </c>
      <c r="AL694">
        <v>53</v>
      </c>
      <c r="AM694" t="str">
        <v>App</v>
      </c>
      <c r="AN694" t="str">
        <v>Reembolsada</v>
      </c>
      <c r="AO694">
        <v>5</v>
      </c>
    </row>
    <row r="695" spans="1:41" x14ac:dyDescent="0.3">
      <c r="A695" t="s">
        <v>732</v>
      </c>
      <c r="B695" s="8">
        <v>46017</v>
      </c>
      <c r="C695" s="2">
        <v>0.82708333333333328</v>
      </c>
      <c r="D695" t="s">
        <v>21</v>
      </c>
      <c r="E695" t="s">
        <v>16</v>
      </c>
      <c r="F695" t="s">
        <v>34</v>
      </c>
      <c r="G695">
        <v>4</v>
      </c>
      <c r="H695" s="6">
        <v>40799.17</v>
      </c>
      <c r="I695" s="6">
        <v>6580.04</v>
      </c>
      <c r="J695">
        <v>14</v>
      </c>
      <c r="K695">
        <v>49</v>
      </c>
      <c r="L695" t="s">
        <v>18</v>
      </c>
      <c r="M695" t="s">
        <v>19</v>
      </c>
      <c r="N695">
        <v>3</v>
      </c>
      <c r="O695" s="4"/>
      <c r="P695" s="4" t="str">
        <f>IF(Data_Set_2[[#This Row],[valor_bruto]]&gt;$W$13,"OUTLIER+","")</f>
        <v/>
      </c>
      <c r="Q695" s="4" t="str">
        <f>IF(Data_Set_2[[#This Row],[valor_bruto]]&lt;$W$14,"OUTLIER-","")</f>
        <v/>
      </c>
      <c r="R695" s="4"/>
      <c r="S695" s="4"/>
      <c r="AB695" t="str">
        <v>RES-100693</v>
      </c>
      <c r="AC695">
        <v>46017</v>
      </c>
      <c r="AD695">
        <v>0.82708333333333328</v>
      </c>
      <c r="AE695" t="str">
        <v>Poblado</v>
      </c>
      <c r="AF695" t="str">
        <v>Mesa</v>
      </c>
      <c r="AG695" t="str">
        <v>Vegano</v>
      </c>
      <c r="AH695">
        <v>4</v>
      </c>
      <c r="AI695">
        <v>40799.17</v>
      </c>
      <c r="AJ695">
        <v>6580.04</v>
      </c>
      <c r="AK695">
        <v>14</v>
      </c>
      <c r="AL695">
        <v>49</v>
      </c>
      <c r="AM695" t="str">
        <v>Tarjeta</v>
      </c>
      <c r="AN695" t="str">
        <v>Entregada</v>
      </c>
      <c r="AO695">
        <v>3</v>
      </c>
    </row>
    <row r="696" spans="1:41" x14ac:dyDescent="0.3">
      <c r="A696" t="s">
        <v>733</v>
      </c>
      <c r="B696" s="8">
        <v>46018</v>
      </c>
      <c r="C696" s="2">
        <v>0.87361111111111112</v>
      </c>
      <c r="D696" t="s">
        <v>27</v>
      </c>
      <c r="E696" t="s">
        <v>22</v>
      </c>
      <c r="F696" t="s">
        <v>36</v>
      </c>
      <c r="G696">
        <v>5</v>
      </c>
      <c r="H696" s="6">
        <v>44890.34</v>
      </c>
      <c r="I696" s="6">
        <v>7077</v>
      </c>
      <c r="J696">
        <v>13</v>
      </c>
      <c r="K696">
        <v>28</v>
      </c>
      <c r="L696" t="s">
        <v>24</v>
      </c>
      <c r="M696" t="s">
        <v>25</v>
      </c>
      <c r="N696">
        <v>5</v>
      </c>
      <c r="O696" s="4"/>
      <c r="P696" s="4" t="str">
        <f>IF(Data_Set_2[[#This Row],[valor_bruto]]&gt;$W$13,"OUTLIER+","")</f>
        <v/>
      </c>
      <c r="Q696" s="4" t="str">
        <f>IF(Data_Set_2[[#This Row],[valor_bruto]]&lt;$W$14,"OUTLIER-","")</f>
        <v/>
      </c>
      <c r="R696" s="4"/>
      <c r="S696" s="4"/>
      <c r="AB696" t="str">
        <v>RES-100694</v>
      </c>
      <c r="AC696">
        <v>46018</v>
      </c>
      <c r="AD696">
        <v>0.87361111111111112</v>
      </c>
      <c r="AE696" t="str">
        <v>Centro</v>
      </c>
      <c r="AF696" t="str">
        <v>Domicilio</v>
      </c>
      <c r="AG696" t="str">
        <v>Bebidas</v>
      </c>
      <c r="AH696">
        <v>5</v>
      </c>
      <c r="AI696">
        <v>44890.34</v>
      </c>
      <c r="AJ696">
        <v>7077</v>
      </c>
      <c r="AK696">
        <v>13</v>
      </c>
      <c r="AL696">
        <v>28</v>
      </c>
      <c r="AM696" t="str">
        <v>Efectivo</v>
      </c>
      <c r="AN696" t="str">
        <v>Cancelada</v>
      </c>
      <c r="AO696">
        <v>5</v>
      </c>
    </row>
    <row r="697" spans="1:41" x14ac:dyDescent="0.3">
      <c r="A697" t="s">
        <v>734</v>
      </c>
      <c r="B697" s="8">
        <v>46019</v>
      </c>
      <c r="C697" s="2">
        <v>0.87847222222222221</v>
      </c>
      <c r="D697" t="s">
        <v>33</v>
      </c>
      <c r="E697" t="s">
        <v>28</v>
      </c>
      <c r="F697" t="s">
        <v>17</v>
      </c>
      <c r="G697">
        <v>6</v>
      </c>
      <c r="H697" s="6">
        <v>46053.96</v>
      </c>
      <c r="I697" s="6">
        <v>8098.99</v>
      </c>
      <c r="J697">
        <v>13</v>
      </c>
      <c r="K697">
        <v>47</v>
      </c>
      <c r="L697" t="s">
        <v>30</v>
      </c>
      <c r="M697" t="s">
        <v>31</v>
      </c>
      <c r="N697">
        <v>4</v>
      </c>
      <c r="O697" s="4"/>
      <c r="P697" s="4" t="str">
        <f>IF(Data_Set_2[[#This Row],[valor_bruto]]&gt;$W$13,"OUTLIER+","")</f>
        <v/>
      </c>
      <c r="Q697" s="4" t="str">
        <f>IF(Data_Set_2[[#This Row],[valor_bruto]]&lt;$W$14,"OUTLIER-","")</f>
        <v/>
      </c>
      <c r="R697" s="4"/>
      <c r="S697" s="4"/>
      <c r="AB697" t="str">
        <v>RES-100695</v>
      </c>
      <c r="AC697">
        <v>46019</v>
      </c>
      <c r="AD697">
        <v>0.87847222222222221</v>
      </c>
      <c r="AE697" t="str">
        <v>Envigado</v>
      </c>
      <c r="AF697" t="str">
        <v>Recoge</v>
      </c>
      <c r="AG697" t="str">
        <v>Comida rapida</v>
      </c>
      <c r="AH697">
        <v>6</v>
      </c>
      <c r="AI697">
        <v>46053.96</v>
      </c>
      <c r="AJ697">
        <v>8098.99</v>
      </c>
      <c r="AK697">
        <v>13</v>
      </c>
      <c r="AL697">
        <v>47</v>
      </c>
      <c r="AM697" t="str">
        <v>App</v>
      </c>
      <c r="AN697" t="str">
        <v>Reembolsada</v>
      </c>
      <c r="AO697">
        <v>4</v>
      </c>
    </row>
    <row r="698" spans="1:41" x14ac:dyDescent="0.3">
      <c r="A698" t="s">
        <v>735</v>
      </c>
      <c r="B698" s="8">
        <v>46020</v>
      </c>
      <c r="C698" s="2">
        <v>0.42499999999999999</v>
      </c>
      <c r="D698" t="s">
        <v>15</v>
      </c>
      <c r="E698" t="s">
        <v>16</v>
      </c>
      <c r="F698" t="s">
        <v>23</v>
      </c>
      <c r="G698">
        <v>2</v>
      </c>
      <c r="H698" s="6">
        <v>34877.17</v>
      </c>
      <c r="I698" s="6">
        <v>5319.95</v>
      </c>
      <c r="J698">
        <v>13</v>
      </c>
      <c r="K698">
        <v>48</v>
      </c>
      <c r="L698" t="s">
        <v>18</v>
      </c>
      <c r="M698" t="s">
        <v>19</v>
      </c>
      <c r="N698">
        <v>5</v>
      </c>
      <c r="O698" s="4"/>
      <c r="P698" s="4" t="str">
        <f>IF(Data_Set_2[[#This Row],[valor_bruto]]&gt;$W$13,"OUTLIER+","")</f>
        <v/>
      </c>
      <c r="Q698" s="4" t="str">
        <f>IF(Data_Set_2[[#This Row],[valor_bruto]]&lt;$W$14,"OUTLIER-","")</f>
        <v/>
      </c>
      <c r="R698" s="4"/>
      <c r="S698" s="4"/>
      <c r="AB698" t="str">
        <v>RES-100696</v>
      </c>
      <c r="AC698">
        <v>46020</v>
      </c>
      <c r="AD698">
        <v>0.42499999999999999</v>
      </c>
      <c r="AE698" t="str">
        <v>Laureles</v>
      </c>
      <c r="AF698" t="str">
        <v>Mesa</v>
      </c>
      <c r="AG698" t="str">
        <v>Pasta</v>
      </c>
      <c r="AH698">
        <v>2</v>
      </c>
      <c r="AI698">
        <v>34877.17</v>
      </c>
      <c r="AJ698">
        <v>5319.95</v>
      </c>
      <c r="AK698">
        <v>13</v>
      </c>
      <c r="AL698">
        <v>48</v>
      </c>
      <c r="AM698" t="str">
        <v>Tarjeta</v>
      </c>
      <c r="AN698" t="str">
        <v>Entregada</v>
      </c>
      <c r="AO698">
        <v>5</v>
      </c>
    </row>
    <row r="699" spans="1:41" x14ac:dyDescent="0.3">
      <c r="A699" t="s">
        <v>736</v>
      </c>
      <c r="B699" s="8">
        <v>46021</v>
      </c>
      <c r="C699" s="2">
        <v>0.47152777777777777</v>
      </c>
      <c r="D699" t="s">
        <v>21</v>
      </c>
      <c r="E699" t="s">
        <v>22</v>
      </c>
      <c r="F699" t="s">
        <v>29</v>
      </c>
      <c r="G699">
        <v>3</v>
      </c>
      <c r="H699" s="6">
        <v>44367.31</v>
      </c>
      <c r="I699" s="6">
        <v>7964.34</v>
      </c>
      <c r="J699">
        <v>17</v>
      </c>
      <c r="K699">
        <v>35</v>
      </c>
      <c r="L699" t="s">
        <v>24</v>
      </c>
      <c r="M699" t="s">
        <v>25</v>
      </c>
      <c r="N699">
        <v>3</v>
      </c>
      <c r="O699" s="4"/>
      <c r="P699" s="4" t="str">
        <f>IF(Data_Set_2[[#This Row],[valor_bruto]]&gt;$W$13,"OUTLIER+","")</f>
        <v/>
      </c>
      <c r="Q699" s="4" t="str">
        <f>IF(Data_Set_2[[#This Row],[valor_bruto]]&lt;$W$14,"OUTLIER-","")</f>
        <v/>
      </c>
      <c r="R699" s="4"/>
      <c r="S699" s="4"/>
      <c r="AB699" t="str">
        <v>RES-100697</v>
      </c>
      <c r="AC699">
        <v>46021</v>
      </c>
      <c r="AD699">
        <v>0.47152777777777777</v>
      </c>
      <c r="AE699" t="str">
        <v>Poblado</v>
      </c>
      <c r="AF699" t="str">
        <v>Domicilio</v>
      </c>
      <c r="AG699" t="str">
        <v>Parrilla</v>
      </c>
      <c r="AH699">
        <v>3</v>
      </c>
      <c r="AI699">
        <v>44367.31</v>
      </c>
      <c r="AJ699">
        <v>7964.34</v>
      </c>
      <c r="AK699">
        <v>17</v>
      </c>
      <c r="AL699">
        <v>35</v>
      </c>
      <c r="AM699" t="str">
        <v>Efectivo</v>
      </c>
      <c r="AN699" t="str">
        <v>Cancelada</v>
      </c>
      <c r="AO699">
        <v>3</v>
      </c>
    </row>
    <row r="700" spans="1:41" x14ac:dyDescent="0.3">
      <c r="A700" t="s">
        <v>737</v>
      </c>
      <c r="B700" s="8">
        <v>46022</v>
      </c>
      <c r="C700" s="2">
        <v>0.5180555555555556</v>
      </c>
      <c r="D700" t="s">
        <v>27</v>
      </c>
      <c r="E700" t="s">
        <v>28</v>
      </c>
      <c r="F700" t="s">
        <v>34</v>
      </c>
      <c r="G700">
        <v>3</v>
      </c>
      <c r="H700" s="6">
        <v>69285.86</v>
      </c>
      <c r="I700" s="6">
        <v>2312.5500000000002</v>
      </c>
      <c r="J700">
        <v>21</v>
      </c>
      <c r="K700">
        <v>35</v>
      </c>
      <c r="L700" t="s">
        <v>30</v>
      </c>
      <c r="M700" t="s">
        <v>31</v>
      </c>
      <c r="N700">
        <v>5</v>
      </c>
      <c r="O700" s="4"/>
      <c r="P700" s="4" t="str">
        <f>IF(Data_Set_2[[#This Row],[valor_bruto]]&gt;$W$13,"OUTLIER+","")</f>
        <v/>
      </c>
      <c r="Q700" s="4" t="str">
        <f>IF(Data_Set_2[[#This Row],[valor_bruto]]&lt;$W$14,"OUTLIER-","")</f>
        <v/>
      </c>
      <c r="R700" s="4"/>
      <c r="S700" s="4"/>
      <c r="AB700" t="str">
        <v>RES-100698</v>
      </c>
      <c r="AC700">
        <v>46022</v>
      </c>
      <c r="AD700">
        <v>0.5180555555555556</v>
      </c>
      <c r="AE700" t="str">
        <v>Centro</v>
      </c>
      <c r="AF700" t="str">
        <v>Recoge</v>
      </c>
      <c r="AG700" t="str">
        <v>Vegano</v>
      </c>
      <c r="AH700">
        <v>3</v>
      </c>
      <c r="AI700">
        <v>69285.86</v>
      </c>
      <c r="AJ700">
        <v>2312.5500000000002</v>
      </c>
      <c r="AK700">
        <v>21</v>
      </c>
      <c r="AL700">
        <v>35</v>
      </c>
      <c r="AM700" t="str">
        <v>App</v>
      </c>
      <c r="AN700" t="str">
        <v>Reembolsada</v>
      </c>
      <c r="AO700">
        <v>5</v>
      </c>
    </row>
    <row r="701" spans="1:41" x14ac:dyDescent="0.3">
      <c r="A701" t="s">
        <v>738</v>
      </c>
      <c r="B701" s="8">
        <v>46023</v>
      </c>
      <c r="C701" s="2">
        <v>0.56458333333333333</v>
      </c>
      <c r="D701" t="s">
        <v>33</v>
      </c>
      <c r="E701" t="s">
        <v>16</v>
      </c>
      <c r="F701" t="s">
        <v>36</v>
      </c>
      <c r="G701">
        <v>2</v>
      </c>
      <c r="H701" s="6">
        <v>64590.7</v>
      </c>
      <c r="I701" s="6">
        <v>1848.11</v>
      </c>
      <c r="J701">
        <v>29</v>
      </c>
      <c r="K701">
        <v>47</v>
      </c>
      <c r="L701" t="s">
        <v>18</v>
      </c>
      <c r="M701" t="s">
        <v>19</v>
      </c>
      <c r="N701">
        <v>3</v>
      </c>
      <c r="O701" s="4"/>
      <c r="P701" s="4" t="str">
        <f>IF(Data_Set_2[[#This Row],[valor_bruto]]&gt;$W$13,"OUTLIER+","")</f>
        <v/>
      </c>
      <c r="Q701" s="4" t="str">
        <f>IF(Data_Set_2[[#This Row],[valor_bruto]]&lt;$W$14,"OUTLIER-","")</f>
        <v/>
      </c>
      <c r="R701" s="4"/>
      <c r="S701" s="4"/>
      <c r="AB701" t="str">
        <v>RES-100699</v>
      </c>
      <c r="AC701">
        <v>46023</v>
      </c>
      <c r="AD701">
        <v>0.56458333333333333</v>
      </c>
      <c r="AE701" t="str">
        <v>Envigado</v>
      </c>
      <c r="AF701" t="str">
        <v>Mesa</v>
      </c>
      <c r="AG701" t="str">
        <v>Bebidas</v>
      </c>
      <c r="AH701">
        <v>2</v>
      </c>
      <c r="AI701">
        <v>64590.7</v>
      </c>
      <c r="AJ701">
        <v>1848.11</v>
      </c>
      <c r="AK701">
        <v>29</v>
      </c>
      <c r="AL701">
        <v>47</v>
      </c>
      <c r="AM701" t="str">
        <v>Tarjeta</v>
      </c>
      <c r="AN701" t="str">
        <v>Entregada</v>
      </c>
      <c r="AO701">
        <v>3</v>
      </c>
    </row>
    <row r="702" spans="1:41" x14ac:dyDescent="0.3">
      <c r="A702" t="s">
        <v>739</v>
      </c>
      <c r="B702" s="8">
        <v>46024</v>
      </c>
      <c r="C702" s="2">
        <v>0.61111111111111116</v>
      </c>
      <c r="D702" t="s">
        <v>15</v>
      </c>
      <c r="E702" t="s">
        <v>22</v>
      </c>
      <c r="F702" t="s">
        <v>17</v>
      </c>
      <c r="G702">
        <v>5</v>
      </c>
      <c r="H702" s="6">
        <v>51640.26</v>
      </c>
      <c r="I702" s="6">
        <v>954.03</v>
      </c>
      <c r="J702">
        <v>19</v>
      </c>
      <c r="K702">
        <v>47</v>
      </c>
      <c r="L702" t="s">
        <v>24</v>
      </c>
      <c r="M702" t="s">
        <v>25</v>
      </c>
      <c r="N702">
        <v>4</v>
      </c>
      <c r="O702" s="4"/>
      <c r="P702" s="4" t="str">
        <f>IF(Data_Set_2[[#This Row],[valor_bruto]]&gt;$W$13,"OUTLIER+","")</f>
        <v/>
      </c>
      <c r="Q702" s="4" t="str">
        <f>IF(Data_Set_2[[#This Row],[valor_bruto]]&lt;$W$14,"OUTLIER-","")</f>
        <v/>
      </c>
      <c r="R702" s="4"/>
      <c r="S702" s="4"/>
      <c r="AB702" t="str">
        <v>RES-100700</v>
      </c>
      <c r="AC702">
        <v>46024</v>
      </c>
      <c r="AD702">
        <v>0.61111111111111116</v>
      </c>
      <c r="AE702" t="str">
        <v>Laureles</v>
      </c>
      <c r="AF702" t="str">
        <v>Domicilio</v>
      </c>
      <c r="AG702" t="str">
        <v>Comida rapida</v>
      </c>
      <c r="AH702">
        <v>5</v>
      </c>
      <c r="AI702">
        <v>51640.26</v>
      </c>
      <c r="AJ702">
        <v>954.03</v>
      </c>
      <c r="AK702">
        <v>19</v>
      </c>
      <c r="AL702">
        <v>47</v>
      </c>
      <c r="AM702" t="str">
        <v>Efectivo</v>
      </c>
      <c r="AN702" t="str">
        <v>Cancelada</v>
      </c>
      <c r="AO702">
        <v>4</v>
      </c>
    </row>
    <row r="703" spans="1:41" x14ac:dyDescent="0.3">
      <c r="A703" t="s">
        <v>740</v>
      </c>
      <c r="B703" s="8">
        <v>46082</v>
      </c>
      <c r="C703" s="2">
        <v>0.65763888888888888</v>
      </c>
      <c r="D703" t="s">
        <v>21</v>
      </c>
      <c r="E703" t="s">
        <v>28</v>
      </c>
      <c r="F703" t="s">
        <v>23</v>
      </c>
      <c r="G703">
        <v>3</v>
      </c>
      <c r="H703" s="6">
        <v>40139.230000000003</v>
      </c>
      <c r="I703" s="6">
        <v>4920.57</v>
      </c>
      <c r="J703">
        <v>27</v>
      </c>
      <c r="K703">
        <v>40</v>
      </c>
      <c r="L703" t="s">
        <v>30</v>
      </c>
      <c r="M703" t="s">
        <v>31</v>
      </c>
      <c r="N703">
        <v>3</v>
      </c>
      <c r="O703" s="4"/>
      <c r="P703" s="4" t="str">
        <f>IF(Data_Set_2[[#This Row],[valor_bruto]]&gt;$W$13,"OUTLIER+","")</f>
        <v/>
      </c>
      <c r="Q703" s="4" t="str">
        <f>IF(Data_Set_2[[#This Row],[valor_bruto]]&lt;$W$14,"OUTLIER-","")</f>
        <v/>
      </c>
      <c r="R703" s="4"/>
      <c r="S703" s="4"/>
      <c r="AB703" t="str">
        <v>RES-100701</v>
      </c>
      <c r="AC703">
        <v>46082</v>
      </c>
      <c r="AD703">
        <v>0.65763888888888888</v>
      </c>
      <c r="AE703" t="str">
        <v>Poblado</v>
      </c>
      <c r="AF703" t="str">
        <v>Recoge</v>
      </c>
      <c r="AG703" t="str">
        <v>Pasta</v>
      </c>
      <c r="AH703">
        <v>3</v>
      </c>
      <c r="AI703">
        <v>40139.230000000003</v>
      </c>
      <c r="AJ703">
        <v>4920.57</v>
      </c>
      <c r="AK703">
        <v>27</v>
      </c>
      <c r="AL703">
        <v>40</v>
      </c>
      <c r="AM703" t="str">
        <v>App</v>
      </c>
      <c r="AN703" t="str">
        <v>Reembolsada</v>
      </c>
      <c r="AO703">
        <v>3</v>
      </c>
    </row>
    <row r="704" spans="1:41" x14ac:dyDescent="0.3">
      <c r="A704" t="s">
        <v>741</v>
      </c>
      <c r="B704" s="8">
        <v>46026</v>
      </c>
      <c r="C704" s="2">
        <v>0.70416666666666672</v>
      </c>
      <c r="D704" t="s">
        <v>27</v>
      </c>
      <c r="E704" t="s">
        <v>16</v>
      </c>
      <c r="F704" t="s">
        <v>29</v>
      </c>
      <c r="G704">
        <v>4</v>
      </c>
      <c r="H704" s="6">
        <v>43719.79</v>
      </c>
      <c r="I704" s="6">
        <v>1871.51</v>
      </c>
      <c r="J704">
        <v>14</v>
      </c>
      <c r="K704">
        <v>49</v>
      </c>
      <c r="L704" t="s">
        <v>18</v>
      </c>
      <c r="M704" t="s">
        <v>19</v>
      </c>
      <c r="N704">
        <v>4</v>
      </c>
      <c r="O704" s="4"/>
      <c r="P704" s="4" t="str">
        <f>IF(Data_Set_2[[#This Row],[valor_bruto]]&gt;$W$13,"OUTLIER+","")</f>
        <v/>
      </c>
      <c r="Q704" s="4" t="str">
        <f>IF(Data_Set_2[[#This Row],[valor_bruto]]&lt;$W$14,"OUTLIER-","")</f>
        <v/>
      </c>
      <c r="R704" s="4"/>
      <c r="S704" s="4"/>
      <c r="AB704" t="str">
        <v>RES-100702</v>
      </c>
      <c r="AC704">
        <v>46026</v>
      </c>
      <c r="AD704">
        <v>0.70416666666666672</v>
      </c>
      <c r="AE704" t="str">
        <v>Centro</v>
      </c>
      <c r="AF704" t="str">
        <v>Mesa</v>
      </c>
      <c r="AG704" t="str">
        <v>Parrilla</v>
      </c>
      <c r="AH704">
        <v>4</v>
      </c>
      <c r="AI704">
        <v>43719.79</v>
      </c>
      <c r="AJ704">
        <v>1871.51</v>
      </c>
      <c r="AK704">
        <v>14</v>
      </c>
      <c r="AL704">
        <v>49</v>
      </c>
      <c r="AM704" t="str">
        <v>Tarjeta</v>
      </c>
      <c r="AN704" t="str">
        <v>Entregada</v>
      </c>
      <c r="AO704">
        <v>4</v>
      </c>
    </row>
    <row r="705" spans="1:41" x14ac:dyDescent="0.3">
      <c r="A705" t="s">
        <v>742</v>
      </c>
      <c r="B705" s="8">
        <v>46027</v>
      </c>
      <c r="C705" s="2">
        <v>0.70902777777777781</v>
      </c>
      <c r="D705" t="s">
        <v>33</v>
      </c>
      <c r="E705" t="s">
        <v>22</v>
      </c>
      <c r="F705" t="s">
        <v>34</v>
      </c>
      <c r="G705">
        <v>4</v>
      </c>
      <c r="H705" s="6">
        <v>56406.54</v>
      </c>
      <c r="I705" s="6">
        <v>7305.96</v>
      </c>
      <c r="J705">
        <v>27</v>
      </c>
      <c r="K705">
        <v>52</v>
      </c>
      <c r="L705" t="s">
        <v>24</v>
      </c>
      <c r="M705" t="s">
        <v>25</v>
      </c>
      <c r="N705">
        <v>5</v>
      </c>
      <c r="O705" s="4"/>
      <c r="P705" s="4" t="str">
        <f>IF(Data_Set_2[[#This Row],[valor_bruto]]&gt;$W$13,"OUTLIER+","")</f>
        <v/>
      </c>
      <c r="Q705" s="4" t="str">
        <f>IF(Data_Set_2[[#This Row],[valor_bruto]]&lt;$W$14,"OUTLIER-","")</f>
        <v/>
      </c>
      <c r="R705" s="4"/>
      <c r="S705" s="4"/>
      <c r="AB705" t="str">
        <v>RES-100703</v>
      </c>
      <c r="AC705">
        <v>46027</v>
      </c>
      <c r="AD705">
        <v>0.70902777777777781</v>
      </c>
      <c r="AE705" t="str">
        <v>Envigado</v>
      </c>
      <c r="AF705" t="str">
        <v>Domicilio</v>
      </c>
      <c r="AG705" t="str">
        <v>Vegano</v>
      </c>
      <c r="AH705">
        <v>4</v>
      </c>
      <c r="AI705">
        <v>56406.54</v>
      </c>
      <c r="AJ705">
        <v>7305.96</v>
      </c>
      <c r="AK705">
        <v>27</v>
      </c>
      <c r="AL705">
        <v>52</v>
      </c>
      <c r="AM705" t="str">
        <v>Efectivo</v>
      </c>
      <c r="AN705" t="str">
        <v>Cancelada</v>
      </c>
      <c r="AO705">
        <v>5</v>
      </c>
    </row>
    <row r="706" spans="1:41" x14ac:dyDescent="0.3">
      <c r="A706" t="s">
        <v>743</v>
      </c>
      <c r="B706" s="8">
        <v>46174</v>
      </c>
      <c r="C706" s="2">
        <v>0.75555555555555554</v>
      </c>
      <c r="D706" t="s">
        <v>15</v>
      </c>
      <c r="E706" t="s">
        <v>28</v>
      </c>
      <c r="F706" t="s">
        <v>36</v>
      </c>
      <c r="G706">
        <v>6</v>
      </c>
      <c r="H706" s="6">
        <v>45403.4</v>
      </c>
      <c r="I706" s="6">
        <v>6084.9</v>
      </c>
      <c r="J706">
        <v>17</v>
      </c>
      <c r="K706">
        <v>51</v>
      </c>
      <c r="L706" t="s">
        <v>30</v>
      </c>
      <c r="M706" t="s">
        <v>31</v>
      </c>
      <c r="N706">
        <v>5</v>
      </c>
      <c r="O706" s="4"/>
      <c r="P706" s="4" t="str">
        <f>IF(Data_Set_2[[#This Row],[valor_bruto]]&gt;$W$13,"OUTLIER+","")</f>
        <v/>
      </c>
      <c r="Q706" s="4" t="str">
        <f>IF(Data_Set_2[[#This Row],[valor_bruto]]&lt;$W$14,"OUTLIER-","")</f>
        <v/>
      </c>
      <c r="R706" s="4"/>
      <c r="S706" s="4"/>
      <c r="AB706" t="str">
        <v>RES-100704</v>
      </c>
      <c r="AC706">
        <v>46174</v>
      </c>
      <c r="AD706">
        <v>0.75555555555555554</v>
      </c>
      <c r="AE706" t="str">
        <v>Laureles</v>
      </c>
      <c r="AF706" t="str">
        <v>Recoge</v>
      </c>
      <c r="AG706" t="str">
        <v>Bebidas</v>
      </c>
      <c r="AH706">
        <v>6</v>
      </c>
      <c r="AI706">
        <v>45403.4</v>
      </c>
      <c r="AJ706">
        <v>6084.9</v>
      </c>
      <c r="AK706">
        <v>17</v>
      </c>
      <c r="AL706">
        <v>51</v>
      </c>
      <c r="AM706" t="str">
        <v>App</v>
      </c>
      <c r="AN706" t="str">
        <v>Reembolsada</v>
      </c>
      <c r="AO706">
        <v>5</v>
      </c>
    </row>
    <row r="707" spans="1:41" x14ac:dyDescent="0.3">
      <c r="A707" t="s">
        <v>744</v>
      </c>
      <c r="B707" s="8">
        <v>46029</v>
      </c>
      <c r="C707" s="2">
        <v>0.80208333333333337</v>
      </c>
      <c r="D707" t="s">
        <v>21</v>
      </c>
      <c r="E707" t="s">
        <v>16</v>
      </c>
      <c r="F707" t="s">
        <v>17</v>
      </c>
      <c r="G707">
        <v>3</v>
      </c>
      <c r="H707" s="6">
        <v>69313.91</v>
      </c>
      <c r="I707" s="6">
        <v>1061.95</v>
      </c>
      <c r="J707">
        <v>20</v>
      </c>
      <c r="K707">
        <v>27</v>
      </c>
      <c r="L707" t="s">
        <v>18</v>
      </c>
      <c r="M707" t="s">
        <v>19</v>
      </c>
      <c r="N707">
        <v>4</v>
      </c>
      <c r="O707" s="4"/>
      <c r="P707" s="4" t="str">
        <f>IF(Data_Set_2[[#This Row],[valor_bruto]]&gt;$W$13,"OUTLIER+","")</f>
        <v/>
      </c>
      <c r="Q707" s="4" t="str">
        <f>IF(Data_Set_2[[#This Row],[valor_bruto]]&lt;$W$14,"OUTLIER-","")</f>
        <v/>
      </c>
      <c r="R707" s="4"/>
      <c r="S707" s="4"/>
      <c r="AB707" t="str">
        <v>RES-100705</v>
      </c>
      <c r="AC707">
        <v>46029</v>
      </c>
      <c r="AD707">
        <v>0.80208333333333337</v>
      </c>
      <c r="AE707" t="str">
        <v>Poblado</v>
      </c>
      <c r="AF707" t="str">
        <v>Mesa</v>
      </c>
      <c r="AG707" t="str">
        <v>Comida rapida</v>
      </c>
      <c r="AH707">
        <v>3</v>
      </c>
      <c r="AI707">
        <v>69313.91</v>
      </c>
      <c r="AJ707">
        <v>1061.95</v>
      </c>
      <c r="AK707">
        <v>20</v>
      </c>
      <c r="AL707">
        <v>27</v>
      </c>
      <c r="AM707" t="str">
        <v>Tarjeta</v>
      </c>
      <c r="AN707" t="str">
        <v>Entregada</v>
      </c>
      <c r="AO707">
        <v>4</v>
      </c>
    </row>
    <row r="708" spans="1:41" x14ac:dyDescent="0.3">
      <c r="A708" t="s">
        <v>745</v>
      </c>
      <c r="B708" s="8">
        <v>46030</v>
      </c>
      <c r="C708" s="2">
        <v>0.84861111111111109</v>
      </c>
      <c r="D708" t="s">
        <v>27</v>
      </c>
      <c r="E708" t="s">
        <v>22</v>
      </c>
      <c r="F708" t="s">
        <v>23</v>
      </c>
      <c r="G708">
        <v>3</v>
      </c>
      <c r="H708" s="6">
        <v>34399.14</v>
      </c>
      <c r="I708" s="6">
        <v>6491.05</v>
      </c>
      <c r="J708">
        <v>24</v>
      </c>
      <c r="K708">
        <v>43</v>
      </c>
      <c r="L708" t="s">
        <v>24</v>
      </c>
      <c r="M708" t="s">
        <v>25</v>
      </c>
      <c r="N708">
        <v>5</v>
      </c>
      <c r="O708" s="4"/>
      <c r="P708" s="4" t="str">
        <f>IF(Data_Set_2[[#This Row],[valor_bruto]]&gt;$W$13,"OUTLIER+","")</f>
        <v/>
      </c>
      <c r="Q708" s="4" t="str">
        <f>IF(Data_Set_2[[#This Row],[valor_bruto]]&lt;$W$14,"OUTLIER-","")</f>
        <v/>
      </c>
      <c r="R708" s="4"/>
      <c r="S708" s="4"/>
      <c r="AB708" t="str">
        <v>RES-100706</v>
      </c>
      <c r="AC708">
        <v>46030</v>
      </c>
      <c r="AD708">
        <v>0.84861111111111109</v>
      </c>
      <c r="AE708" t="str">
        <v>Centro</v>
      </c>
      <c r="AF708" t="str">
        <v>Domicilio</v>
      </c>
      <c r="AG708" t="str">
        <v>Pasta</v>
      </c>
      <c r="AH708">
        <v>3</v>
      </c>
      <c r="AI708">
        <v>34399.14</v>
      </c>
      <c r="AJ708">
        <v>6491.05</v>
      </c>
      <c r="AK708">
        <v>24</v>
      </c>
      <c r="AL708">
        <v>43</v>
      </c>
      <c r="AM708" t="str">
        <v>Efectivo</v>
      </c>
      <c r="AN708" t="str">
        <v>Cancelada</v>
      </c>
      <c r="AO708">
        <v>5</v>
      </c>
    </row>
    <row r="709" spans="1:41" x14ac:dyDescent="0.3">
      <c r="A709" t="s">
        <v>746</v>
      </c>
      <c r="B709" s="8">
        <v>46266</v>
      </c>
      <c r="C709" s="2">
        <v>0.89513888888888893</v>
      </c>
      <c r="D709" t="s">
        <v>33</v>
      </c>
      <c r="E709" t="s">
        <v>28</v>
      </c>
      <c r="F709" t="s">
        <v>29</v>
      </c>
      <c r="G709">
        <v>2</v>
      </c>
      <c r="H709" s="6">
        <v>69271.429999999993</v>
      </c>
      <c r="I709" s="6">
        <v>818.31</v>
      </c>
      <c r="J709">
        <v>23</v>
      </c>
      <c r="K709">
        <v>35</v>
      </c>
      <c r="L709" t="s">
        <v>30</v>
      </c>
      <c r="M709" t="s">
        <v>31</v>
      </c>
      <c r="N709">
        <v>5</v>
      </c>
      <c r="O709" s="4"/>
      <c r="P709" s="4" t="str">
        <f>IF(Data_Set_2[[#This Row],[valor_bruto]]&gt;$W$13,"OUTLIER+","")</f>
        <v/>
      </c>
      <c r="Q709" s="4" t="str">
        <f>IF(Data_Set_2[[#This Row],[valor_bruto]]&lt;$W$14,"OUTLIER-","")</f>
        <v/>
      </c>
      <c r="R709" s="4"/>
      <c r="S709" s="4"/>
      <c r="AB709" t="str">
        <v>RES-100707</v>
      </c>
      <c r="AC709">
        <v>46266</v>
      </c>
      <c r="AD709">
        <v>0.89513888888888893</v>
      </c>
      <c r="AE709" t="str">
        <v>Envigado</v>
      </c>
      <c r="AF709" t="str">
        <v>Recoge</v>
      </c>
      <c r="AG709" t="str">
        <v>Parrilla</v>
      </c>
      <c r="AH709">
        <v>2</v>
      </c>
      <c r="AI709">
        <v>69271.429999999993</v>
      </c>
      <c r="AJ709">
        <v>818.31</v>
      </c>
      <c r="AK709">
        <v>23</v>
      </c>
      <c r="AL709">
        <v>35</v>
      </c>
      <c r="AM709" t="str">
        <v>App</v>
      </c>
      <c r="AN709" t="str">
        <v>Reembolsada</v>
      </c>
      <c r="AO709">
        <v>5</v>
      </c>
    </row>
    <row r="710" spans="1:41" x14ac:dyDescent="0.3">
      <c r="A710" t="s">
        <v>747</v>
      </c>
      <c r="B710" s="8">
        <v>46032</v>
      </c>
      <c r="C710" s="2">
        <v>0.44166666666666665</v>
      </c>
      <c r="D710" t="s">
        <v>15</v>
      </c>
      <c r="E710" t="s">
        <v>16</v>
      </c>
      <c r="F710" t="s">
        <v>34</v>
      </c>
      <c r="G710">
        <v>4</v>
      </c>
      <c r="H710" s="6">
        <v>56283.07</v>
      </c>
      <c r="I710" s="6">
        <v>7093.84</v>
      </c>
      <c r="J710">
        <v>25</v>
      </c>
      <c r="K710">
        <v>44</v>
      </c>
      <c r="L710" t="s">
        <v>18</v>
      </c>
      <c r="M710" t="s">
        <v>19</v>
      </c>
      <c r="N710">
        <v>5</v>
      </c>
      <c r="O710" s="4"/>
      <c r="P710" s="4" t="str">
        <f>IF(Data_Set_2[[#This Row],[valor_bruto]]&gt;$W$13,"OUTLIER+","")</f>
        <v/>
      </c>
      <c r="Q710" s="4" t="str">
        <f>IF(Data_Set_2[[#This Row],[valor_bruto]]&lt;$W$14,"OUTLIER-","")</f>
        <v/>
      </c>
      <c r="R710" s="4"/>
      <c r="S710" s="4"/>
      <c r="AB710" t="str">
        <v>RES-100708</v>
      </c>
      <c r="AC710">
        <v>46032</v>
      </c>
      <c r="AD710">
        <v>0.44166666666666665</v>
      </c>
      <c r="AE710" t="str">
        <v>Laureles</v>
      </c>
      <c r="AF710" t="str">
        <v>Mesa</v>
      </c>
      <c r="AG710" t="str">
        <v>Vegano</v>
      </c>
      <c r="AH710">
        <v>4</v>
      </c>
      <c r="AI710">
        <v>56283.07</v>
      </c>
      <c r="AJ710">
        <v>7093.84</v>
      </c>
      <c r="AK710">
        <v>25</v>
      </c>
      <c r="AL710">
        <v>44</v>
      </c>
      <c r="AM710" t="str">
        <v>Tarjeta</v>
      </c>
      <c r="AN710" t="str">
        <v>Entregada</v>
      </c>
      <c r="AO710">
        <v>5</v>
      </c>
    </row>
    <row r="711" spans="1:41" x14ac:dyDescent="0.3">
      <c r="A711" t="s">
        <v>748</v>
      </c>
      <c r="B711" s="8">
        <v>46033</v>
      </c>
      <c r="C711" s="2">
        <v>0.48819444444444443</v>
      </c>
      <c r="D711" t="s">
        <v>21</v>
      </c>
      <c r="E711" t="s">
        <v>22</v>
      </c>
      <c r="F711" t="s">
        <v>36</v>
      </c>
      <c r="G711">
        <v>5</v>
      </c>
      <c r="H711" s="6">
        <v>27857</v>
      </c>
      <c r="I711" s="6">
        <v>863.14</v>
      </c>
      <c r="J711">
        <v>24</v>
      </c>
      <c r="K711">
        <v>48</v>
      </c>
      <c r="L711" t="s">
        <v>24</v>
      </c>
      <c r="M711" t="s">
        <v>25</v>
      </c>
      <c r="N711">
        <v>3</v>
      </c>
      <c r="O711" s="4"/>
      <c r="P711" s="4" t="str">
        <f>IF(Data_Set_2[[#This Row],[valor_bruto]]&gt;$W$13,"OUTLIER+","")</f>
        <v/>
      </c>
      <c r="Q711" s="4" t="str">
        <f>IF(Data_Set_2[[#This Row],[valor_bruto]]&lt;$W$14,"OUTLIER-","")</f>
        <v/>
      </c>
      <c r="R711" s="4"/>
      <c r="S711" s="4"/>
      <c r="AB711" t="str">
        <v>RES-100709</v>
      </c>
      <c r="AC711">
        <v>46033</v>
      </c>
      <c r="AD711">
        <v>0.48819444444444443</v>
      </c>
      <c r="AE711" t="str">
        <v>Poblado</v>
      </c>
      <c r="AF711" t="str">
        <v>Domicilio</v>
      </c>
      <c r="AG711" t="str">
        <v>Bebidas</v>
      </c>
      <c r="AH711">
        <v>5</v>
      </c>
      <c r="AI711">
        <v>27857</v>
      </c>
      <c r="AJ711">
        <v>863.14</v>
      </c>
      <c r="AK711">
        <v>24</v>
      </c>
      <c r="AL711">
        <v>48</v>
      </c>
      <c r="AM711" t="str">
        <v>Efectivo</v>
      </c>
      <c r="AN711" t="str">
        <v>Cancelada</v>
      </c>
      <c r="AO711">
        <v>3</v>
      </c>
    </row>
    <row r="712" spans="1:41" x14ac:dyDescent="0.3">
      <c r="A712" t="s">
        <v>749</v>
      </c>
      <c r="B712" s="8">
        <v>46357</v>
      </c>
      <c r="C712" s="2">
        <v>0.53472222222222221</v>
      </c>
      <c r="D712" t="s">
        <v>27</v>
      </c>
      <c r="E712" t="s">
        <v>28</v>
      </c>
      <c r="F712" t="s">
        <v>17</v>
      </c>
      <c r="G712">
        <v>5</v>
      </c>
      <c r="H712" s="6">
        <v>44539.42</v>
      </c>
      <c r="I712" s="6">
        <v>2935.59</v>
      </c>
      <c r="J712">
        <v>18</v>
      </c>
      <c r="K712">
        <v>35</v>
      </c>
      <c r="L712" t="s">
        <v>30</v>
      </c>
      <c r="M712" t="s">
        <v>31</v>
      </c>
      <c r="N712">
        <v>4</v>
      </c>
      <c r="O712" s="4"/>
      <c r="P712" s="4" t="str">
        <f>IF(Data_Set_2[[#This Row],[valor_bruto]]&gt;$W$13,"OUTLIER+","")</f>
        <v/>
      </c>
      <c r="Q712" s="4" t="str">
        <f>IF(Data_Set_2[[#This Row],[valor_bruto]]&lt;$W$14,"OUTLIER-","")</f>
        <v/>
      </c>
      <c r="R712" s="4"/>
      <c r="S712" s="4"/>
      <c r="AB712" t="str">
        <v>RES-100710</v>
      </c>
      <c r="AC712">
        <v>46357</v>
      </c>
      <c r="AD712">
        <v>0.53472222222222221</v>
      </c>
      <c r="AE712" t="str">
        <v>Centro</v>
      </c>
      <c r="AF712" t="str">
        <v>Recoge</v>
      </c>
      <c r="AG712" t="str">
        <v>Comida rapida</v>
      </c>
      <c r="AH712">
        <v>5</v>
      </c>
      <c r="AI712">
        <v>44539.42</v>
      </c>
      <c r="AJ712">
        <v>2935.59</v>
      </c>
      <c r="AK712">
        <v>18</v>
      </c>
      <c r="AL712">
        <v>35</v>
      </c>
      <c r="AM712" t="str">
        <v>App</v>
      </c>
      <c r="AN712" t="str">
        <v>Reembolsada</v>
      </c>
      <c r="AO712">
        <v>4</v>
      </c>
    </row>
    <row r="713" spans="1:41" x14ac:dyDescent="0.3">
      <c r="A713" t="s">
        <v>750</v>
      </c>
      <c r="B713" s="8">
        <v>46035</v>
      </c>
      <c r="C713" s="2">
        <v>0.58125000000000004</v>
      </c>
      <c r="D713" t="s">
        <v>33</v>
      </c>
      <c r="E713" t="s">
        <v>16</v>
      </c>
      <c r="F713" t="s">
        <v>23</v>
      </c>
      <c r="G713">
        <v>3</v>
      </c>
      <c r="H713" s="6">
        <v>45396.08</v>
      </c>
      <c r="I713" s="6">
        <v>1741.96</v>
      </c>
      <c r="J713">
        <v>29</v>
      </c>
      <c r="K713">
        <v>26</v>
      </c>
      <c r="L713" t="s">
        <v>18</v>
      </c>
      <c r="M713" t="s">
        <v>19</v>
      </c>
      <c r="N713">
        <v>3</v>
      </c>
      <c r="O713" s="4"/>
      <c r="P713" s="4" t="str">
        <f>IF(Data_Set_2[[#This Row],[valor_bruto]]&gt;$W$13,"OUTLIER+","")</f>
        <v/>
      </c>
      <c r="Q713" s="4" t="str">
        <f>IF(Data_Set_2[[#This Row],[valor_bruto]]&lt;$W$14,"OUTLIER-","")</f>
        <v/>
      </c>
      <c r="R713" s="4"/>
      <c r="S713" s="4"/>
      <c r="AB713" t="str">
        <v>RES-100711</v>
      </c>
      <c r="AC713">
        <v>46035</v>
      </c>
      <c r="AD713">
        <v>0.58125000000000004</v>
      </c>
      <c r="AE713" t="str">
        <v>Envigado</v>
      </c>
      <c r="AF713" t="str">
        <v>Mesa</v>
      </c>
      <c r="AG713" t="str">
        <v>Pasta</v>
      </c>
      <c r="AH713">
        <v>3</v>
      </c>
      <c r="AI713">
        <v>45396.08</v>
      </c>
      <c r="AJ713">
        <v>1741.96</v>
      </c>
      <c r="AK713">
        <v>29</v>
      </c>
      <c r="AL713">
        <v>26</v>
      </c>
      <c r="AM713" t="str">
        <v>Tarjeta</v>
      </c>
      <c r="AN713" t="str">
        <v>Entregada</v>
      </c>
      <c r="AO713">
        <v>3</v>
      </c>
    </row>
    <row r="714" spans="1:41" x14ac:dyDescent="0.3">
      <c r="A714" t="s">
        <v>751</v>
      </c>
      <c r="B714" s="8">
        <v>46036</v>
      </c>
      <c r="C714" s="2">
        <v>0.58611111111111114</v>
      </c>
      <c r="D714" t="s">
        <v>15</v>
      </c>
      <c r="E714" t="s">
        <v>22</v>
      </c>
      <c r="F714" t="s">
        <v>29</v>
      </c>
      <c r="G714">
        <v>3</v>
      </c>
      <c r="H714" s="6">
        <v>58819.17</v>
      </c>
      <c r="I714" s="6">
        <v>6105.14</v>
      </c>
      <c r="J714">
        <v>31</v>
      </c>
      <c r="K714">
        <v>52</v>
      </c>
      <c r="L714" t="s">
        <v>24</v>
      </c>
      <c r="M714" t="s">
        <v>25</v>
      </c>
      <c r="N714">
        <v>4</v>
      </c>
      <c r="O714" s="4"/>
      <c r="P714" s="4" t="str">
        <f>IF(Data_Set_2[[#This Row],[valor_bruto]]&gt;$W$13,"OUTLIER+","")</f>
        <v/>
      </c>
      <c r="Q714" s="4" t="str">
        <f>IF(Data_Set_2[[#This Row],[valor_bruto]]&lt;$W$14,"OUTLIER-","")</f>
        <v/>
      </c>
      <c r="R714" s="4"/>
      <c r="S714" s="4"/>
      <c r="AB714" t="str">
        <v>RES-100712</v>
      </c>
      <c r="AC714">
        <v>46036</v>
      </c>
      <c r="AD714">
        <v>0.58611111111111114</v>
      </c>
      <c r="AE714" t="str">
        <v>Laureles</v>
      </c>
      <c r="AF714" t="str">
        <v>Domicilio</v>
      </c>
      <c r="AG714" t="str">
        <v>Parrilla</v>
      </c>
      <c r="AH714">
        <v>3</v>
      </c>
      <c r="AI714">
        <v>58819.17</v>
      </c>
      <c r="AJ714">
        <v>6105.14</v>
      </c>
      <c r="AK714">
        <v>31</v>
      </c>
      <c r="AL714">
        <v>52</v>
      </c>
      <c r="AM714" t="str">
        <v>Efectivo</v>
      </c>
      <c r="AN714" t="str">
        <v>Cancelada</v>
      </c>
      <c r="AO714">
        <v>4</v>
      </c>
    </row>
    <row r="715" spans="1:41" x14ac:dyDescent="0.3">
      <c r="A715" t="s">
        <v>752</v>
      </c>
      <c r="B715" s="8">
        <v>46037</v>
      </c>
      <c r="C715" s="2">
        <v>0.63263888888888886</v>
      </c>
      <c r="D715" t="s">
        <v>21</v>
      </c>
      <c r="E715" t="s">
        <v>28</v>
      </c>
      <c r="F715" t="s">
        <v>34</v>
      </c>
      <c r="G715">
        <v>6</v>
      </c>
      <c r="H715" s="6">
        <v>63875.68</v>
      </c>
      <c r="I715" s="6">
        <v>3808.16</v>
      </c>
      <c r="J715">
        <v>29</v>
      </c>
      <c r="K715">
        <v>26</v>
      </c>
      <c r="L715" t="s">
        <v>30</v>
      </c>
      <c r="M715" t="s">
        <v>31</v>
      </c>
      <c r="N715">
        <v>3</v>
      </c>
      <c r="O715" s="4"/>
      <c r="P715" s="4" t="str">
        <f>IF(Data_Set_2[[#This Row],[valor_bruto]]&gt;$W$13,"OUTLIER+","")</f>
        <v/>
      </c>
      <c r="Q715" s="4" t="str">
        <f>IF(Data_Set_2[[#This Row],[valor_bruto]]&lt;$W$14,"OUTLIER-","")</f>
        <v/>
      </c>
      <c r="R715" s="4"/>
      <c r="S715" s="4"/>
      <c r="AB715" t="str">
        <v>RES-100713</v>
      </c>
      <c r="AC715">
        <v>46037</v>
      </c>
      <c r="AD715">
        <v>0.63263888888888886</v>
      </c>
      <c r="AE715" t="str">
        <v>Poblado</v>
      </c>
      <c r="AF715" t="str">
        <v>Recoge</v>
      </c>
      <c r="AG715" t="str">
        <v>Vegano</v>
      </c>
      <c r="AH715">
        <v>6</v>
      </c>
      <c r="AI715">
        <v>63875.68</v>
      </c>
      <c r="AJ715">
        <v>3808.16</v>
      </c>
      <c r="AK715">
        <v>29</v>
      </c>
      <c r="AL715">
        <v>26</v>
      </c>
      <c r="AM715" t="str">
        <v>App</v>
      </c>
      <c r="AN715" t="str">
        <v>Reembolsada</v>
      </c>
      <c r="AO715">
        <v>3</v>
      </c>
    </row>
    <row r="716" spans="1:41" x14ac:dyDescent="0.3">
      <c r="A716" t="s">
        <v>753</v>
      </c>
      <c r="B716" s="8">
        <v>46038</v>
      </c>
      <c r="C716" s="2">
        <v>0.6791666666666667</v>
      </c>
      <c r="D716" t="s">
        <v>27</v>
      </c>
      <c r="E716" t="s">
        <v>16</v>
      </c>
      <c r="F716" t="s">
        <v>36</v>
      </c>
      <c r="G716">
        <v>4</v>
      </c>
      <c r="H716" s="6">
        <v>68394.559999999998</v>
      </c>
      <c r="I716" s="6">
        <v>5352.58</v>
      </c>
      <c r="J716">
        <v>18</v>
      </c>
      <c r="K716">
        <v>33</v>
      </c>
      <c r="L716" t="s">
        <v>18</v>
      </c>
      <c r="M716" t="s">
        <v>19</v>
      </c>
      <c r="N716">
        <v>4</v>
      </c>
      <c r="O716" s="4"/>
      <c r="P716" s="4" t="str">
        <f>IF(Data_Set_2[[#This Row],[valor_bruto]]&gt;$W$13,"OUTLIER+","")</f>
        <v/>
      </c>
      <c r="Q716" s="4" t="str">
        <f>IF(Data_Set_2[[#This Row],[valor_bruto]]&lt;$W$14,"OUTLIER-","")</f>
        <v/>
      </c>
      <c r="R716" s="4"/>
      <c r="S716" s="4"/>
      <c r="AB716" t="str">
        <v>RES-100714</v>
      </c>
      <c r="AC716">
        <v>46038</v>
      </c>
      <c r="AD716">
        <v>0.6791666666666667</v>
      </c>
      <c r="AE716" t="str">
        <v>Centro</v>
      </c>
      <c r="AF716" t="str">
        <v>Mesa</v>
      </c>
      <c r="AG716" t="str">
        <v>Bebidas</v>
      </c>
      <c r="AH716">
        <v>4</v>
      </c>
      <c r="AI716">
        <v>68394.559999999998</v>
      </c>
      <c r="AJ716">
        <v>5352.58</v>
      </c>
      <c r="AK716">
        <v>18</v>
      </c>
      <c r="AL716">
        <v>33</v>
      </c>
      <c r="AM716" t="str">
        <v>Tarjeta</v>
      </c>
      <c r="AN716" t="str">
        <v>Entregada</v>
      </c>
      <c r="AO716">
        <v>4</v>
      </c>
    </row>
    <row r="717" spans="1:41" x14ac:dyDescent="0.3">
      <c r="A717" t="s">
        <v>754</v>
      </c>
      <c r="B717" s="8">
        <v>46039</v>
      </c>
      <c r="C717" s="2">
        <v>0.72569444444444442</v>
      </c>
      <c r="D717" t="s">
        <v>33</v>
      </c>
      <c r="E717" t="s">
        <v>22</v>
      </c>
      <c r="F717" t="s">
        <v>17</v>
      </c>
      <c r="G717">
        <v>4</v>
      </c>
      <c r="H717" s="6">
        <v>46019.1</v>
      </c>
      <c r="I717" s="6">
        <v>3706.24</v>
      </c>
      <c r="J717">
        <v>26</v>
      </c>
      <c r="K717">
        <v>45</v>
      </c>
      <c r="L717" t="s">
        <v>24</v>
      </c>
      <c r="M717" t="s">
        <v>25</v>
      </c>
      <c r="N717">
        <v>4</v>
      </c>
      <c r="O717" s="4"/>
      <c r="P717" s="4" t="str">
        <f>IF(Data_Set_2[[#This Row],[valor_bruto]]&gt;$W$13,"OUTLIER+","")</f>
        <v/>
      </c>
      <c r="Q717" s="4" t="str">
        <f>IF(Data_Set_2[[#This Row],[valor_bruto]]&lt;$W$14,"OUTLIER-","")</f>
        <v/>
      </c>
      <c r="R717" s="4"/>
      <c r="S717" s="4"/>
      <c r="AB717" t="str">
        <v>RES-100715</v>
      </c>
      <c r="AC717">
        <v>46039</v>
      </c>
      <c r="AD717">
        <v>0.72569444444444442</v>
      </c>
      <c r="AE717" t="str">
        <v>Envigado</v>
      </c>
      <c r="AF717" t="str">
        <v>Domicilio</v>
      </c>
      <c r="AG717" t="str">
        <v>Comida rapida</v>
      </c>
      <c r="AH717">
        <v>4</v>
      </c>
      <c r="AI717">
        <v>46019.1</v>
      </c>
      <c r="AJ717">
        <v>3706.24</v>
      </c>
      <c r="AK717">
        <v>26</v>
      </c>
      <c r="AL717">
        <v>45</v>
      </c>
      <c r="AM717" t="str">
        <v>Efectivo</v>
      </c>
      <c r="AN717" t="str">
        <v>Cancelada</v>
      </c>
      <c r="AO717">
        <v>4</v>
      </c>
    </row>
    <row r="718" spans="1:41" x14ac:dyDescent="0.3">
      <c r="A718" t="s">
        <v>755</v>
      </c>
      <c r="B718" s="8">
        <v>46040</v>
      </c>
      <c r="C718" s="2">
        <v>0.77222222222222225</v>
      </c>
      <c r="D718" t="s">
        <v>15</v>
      </c>
      <c r="E718" t="s">
        <v>28</v>
      </c>
      <c r="F718" t="s">
        <v>23</v>
      </c>
      <c r="G718">
        <v>2</v>
      </c>
      <c r="H718" s="6">
        <v>38817.67</v>
      </c>
      <c r="I718" s="6">
        <v>806.58</v>
      </c>
      <c r="J718">
        <v>15</v>
      </c>
      <c r="K718">
        <v>52</v>
      </c>
      <c r="L718" t="s">
        <v>30</v>
      </c>
      <c r="M718" t="s">
        <v>31</v>
      </c>
      <c r="N718">
        <v>4</v>
      </c>
      <c r="O718" s="4"/>
      <c r="P718" s="4" t="str">
        <f>IF(Data_Set_2[[#This Row],[valor_bruto]]&gt;$W$13,"OUTLIER+","")</f>
        <v/>
      </c>
      <c r="Q718" s="4" t="str">
        <f>IF(Data_Set_2[[#This Row],[valor_bruto]]&lt;$W$14,"OUTLIER-","")</f>
        <v/>
      </c>
      <c r="R718" s="4"/>
      <c r="S718" s="4"/>
      <c r="AB718" t="str">
        <v>RES-100716</v>
      </c>
      <c r="AC718">
        <v>46040</v>
      </c>
      <c r="AD718">
        <v>0.77222222222222225</v>
      </c>
      <c r="AE718" t="str">
        <v>Laureles</v>
      </c>
      <c r="AF718" t="str">
        <v>Recoge</v>
      </c>
      <c r="AG718" t="str">
        <v>Pasta</v>
      </c>
      <c r="AH718">
        <v>2</v>
      </c>
      <c r="AI718">
        <v>38817.67</v>
      </c>
      <c r="AJ718">
        <v>806.58</v>
      </c>
      <c r="AK718">
        <v>15</v>
      </c>
      <c r="AL718">
        <v>52</v>
      </c>
      <c r="AM718" t="str">
        <v>App</v>
      </c>
      <c r="AN718" t="str">
        <v>Reembolsada</v>
      </c>
      <c r="AO718">
        <v>4</v>
      </c>
    </row>
    <row r="719" spans="1:41" x14ac:dyDescent="0.3">
      <c r="A719" t="s">
        <v>756</v>
      </c>
      <c r="B719" s="8">
        <v>46041</v>
      </c>
      <c r="C719" s="2">
        <v>0.81874999999999998</v>
      </c>
      <c r="D719" t="s">
        <v>21</v>
      </c>
      <c r="E719" t="s">
        <v>16</v>
      </c>
      <c r="F719" t="s">
        <v>29</v>
      </c>
      <c r="G719">
        <v>3</v>
      </c>
      <c r="H719" s="6">
        <v>36811.86</v>
      </c>
      <c r="I719" s="6">
        <v>8363.92</v>
      </c>
      <c r="J719">
        <v>31</v>
      </c>
      <c r="K719">
        <v>26</v>
      </c>
      <c r="L719" t="s">
        <v>18</v>
      </c>
      <c r="M719" t="s">
        <v>19</v>
      </c>
      <c r="N719">
        <v>4</v>
      </c>
      <c r="O719" s="4"/>
      <c r="P719" s="4" t="str">
        <f>IF(Data_Set_2[[#This Row],[valor_bruto]]&gt;$W$13,"OUTLIER+","")</f>
        <v/>
      </c>
      <c r="Q719" s="4" t="str">
        <f>IF(Data_Set_2[[#This Row],[valor_bruto]]&lt;$W$14,"OUTLIER-","")</f>
        <v/>
      </c>
      <c r="R719" s="4"/>
      <c r="S719" s="4"/>
      <c r="AB719" t="str">
        <v>RES-100717</v>
      </c>
      <c r="AC719">
        <v>46041</v>
      </c>
      <c r="AD719">
        <v>0.81874999999999998</v>
      </c>
      <c r="AE719" t="str">
        <v>Poblado</v>
      </c>
      <c r="AF719" t="str">
        <v>Mesa</v>
      </c>
      <c r="AG719" t="str">
        <v>Parrilla</v>
      </c>
      <c r="AH719">
        <v>3</v>
      </c>
      <c r="AI719">
        <v>36811.86</v>
      </c>
      <c r="AJ719">
        <v>8363.92</v>
      </c>
      <c r="AK719">
        <v>31</v>
      </c>
      <c r="AL719">
        <v>26</v>
      </c>
      <c r="AM719" t="str">
        <v>Tarjeta</v>
      </c>
      <c r="AN719" t="str">
        <v>Entregada</v>
      </c>
      <c r="AO719">
        <v>4</v>
      </c>
    </row>
    <row r="720" spans="1:41" x14ac:dyDescent="0.3">
      <c r="A720" t="s">
        <v>757</v>
      </c>
      <c r="B720" s="8">
        <v>46042</v>
      </c>
      <c r="C720" s="2">
        <v>0.86527777777777781</v>
      </c>
      <c r="D720" t="s">
        <v>27</v>
      </c>
      <c r="E720" t="s">
        <v>22</v>
      </c>
      <c r="F720" t="s">
        <v>34</v>
      </c>
      <c r="G720">
        <v>4</v>
      </c>
      <c r="H720" s="6">
        <v>53929.25</v>
      </c>
      <c r="I720" s="6">
        <v>3547.38</v>
      </c>
      <c r="J720">
        <v>20</v>
      </c>
      <c r="K720">
        <v>51</v>
      </c>
      <c r="L720" t="s">
        <v>24</v>
      </c>
      <c r="M720" t="s">
        <v>25</v>
      </c>
      <c r="N720">
        <v>4</v>
      </c>
      <c r="O720" s="4"/>
      <c r="P720" s="4" t="str">
        <f>IF(Data_Set_2[[#This Row],[valor_bruto]]&gt;$W$13,"OUTLIER+","")</f>
        <v/>
      </c>
      <c r="Q720" s="4" t="str">
        <f>IF(Data_Set_2[[#This Row],[valor_bruto]]&lt;$W$14,"OUTLIER-","")</f>
        <v/>
      </c>
      <c r="R720" s="4"/>
      <c r="S720" s="4"/>
      <c r="AB720" t="str">
        <v>RES-100718</v>
      </c>
      <c r="AC720">
        <v>46042</v>
      </c>
      <c r="AD720">
        <v>0.86527777777777781</v>
      </c>
      <c r="AE720" t="str">
        <v>Centro</v>
      </c>
      <c r="AF720" t="str">
        <v>Domicilio</v>
      </c>
      <c r="AG720" t="str">
        <v>Vegano</v>
      </c>
      <c r="AH720">
        <v>4</v>
      </c>
      <c r="AI720">
        <v>53929.25</v>
      </c>
      <c r="AJ720">
        <v>3547.38</v>
      </c>
      <c r="AK720">
        <v>20</v>
      </c>
      <c r="AL720">
        <v>51</v>
      </c>
      <c r="AM720" t="str">
        <v>Efectivo</v>
      </c>
      <c r="AN720" t="str">
        <v>Cancelada</v>
      </c>
      <c r="AO720">
        <v>4</v>
      </c>
    </row>
    <row r="721" spans="1:41" x14ac:dyDescent="0.3">
      <c r="A721" t="s">
        <v>758</v>
      </c>
      <c r="B721" s="8">
        <v>46043</v>
      </c>
      <c r="C721" s="2">
        <v>0.91180555555555554</v>
      </c>
      <c r="D721" t="s">
        <v>33</v>
      </c>
      <c r="E721" t="s">
        <v>28</v>
      </c>
      <c r="F721" t="s">
        <v>36</v>
      </c>
      <c r="G721">
        <v>3</v>
      </c>
      <c r="H721" s="6">
        <v>33683.53</v>
      </c>
      <c r="I721" s="6">
        <v>2596.27</v>
      </c>
      <c r="J721">
        <v>16</v>
      </c>
      <c r="K721">
        <v>40</v>
      </c>
      <c r="L721" t="s">
        <v>30</v>
      </c>
      <c r="M721" t="s">
        <v>31</v>
      </c>
      <c r="N721">
        <v>5</v>
      </c>
      <c r="O721" s="4"/>
      <c r="P721" s="4" t="str">
        <f>IF(Data_Set_2[[#This Row],[valor_bruto]]&gt;$W$13,"OUTLIER+","")</f>
        <v/>
      </c>
      <c r="Q721" s="4" t="str">
        <f>IF(Data_Set_2[[#This Row],[valor_bruto]]&lt;$W$14,"OUTLIER-","")</f>
        <v/>
      </c>
      <c r="R721" s="4"/>
      <c r="S721" s="4"/>
      <c r="AB721" t="str">
        <v>RES-100719</v>
      </c>
      <c r="AC721">
        <v>46043</v>
      </c>
      <c r="AD721">
        <v>0.91180555555555554</v>
      </c>
      <c r="AE721" t="str">
        <v>Envigado</v>
      </c>
      <c r="AF721" t="str">
        <v>Recoge</v>
      </c>
      <c r="AG721" t="str">
        <v>Bebidas</v>
      </c>
      <c r="AH721">
        <v>3</v>
      </c>
      <c r="AI721">
        <v>33683.53</v>
      </c>
      <c r="AJ721">
        <v>2596.27</v>
      </c>
      <c r="AK721">
        <v>16</v>
      </c>
      <c r="AL721">
        <v>40</v>
      </c>
      <c r="AM721" t="str">
        <v>App</v>
      </c>
      <c r="AN721" t="str">
        <v>Reembolsada</v>
      </c>
      <c r="AO721">
        <v>5</v>
      </c>
    </row>
    <row r="722" spans="1:41" x14ac:dyDescent="0.3">
      <c r="A722" t="s">
        <v>759</v>
      </c>
      <c r="B722" s="8">
        <v>46044</v>
      </c>
      <c r="C722" s="2">
        <v>0.41666666666666669</v>
      </c>
      <c r="D722" t="s">
        <v>15</v>
      </c>
      <c r="E722" t="s">
        <v>16</v>
      </c>
      <c r="F722" t="s">
        <v>17</v>
      </c>
      <c r="G722">
        <v>4</v>
      </c>
      <c r="H722" s="6">
        <v>52346.95</v>
      </c>
      <c r="I722" s="6">
        <v>7135.86</v>
      </c>
      <c r="J722">
        <v>29</v>
      </c>
      <c r="K722">
        <v>31</v>
      </c>
      <c r="L722" t="s">
        <v>18</v>
      </c>
      <c r="M722" t="s">
        <v>19</v>
      </c>
      <c r="N722">
        <v>3</v>
      </c>
      <c r="O722" s="4"/>
      <c r="P722" s="4" t="str">
        <f>IF(Data_Set_2[[#This Row],[valor_bruto]]&gt;$W$13,"OUTLIER+","")</f>
        <v/>
      </c>
      <c r="Q722" s="4" t="str">
        <f>IF(Data_Set_2[[#This Row],[valor_bruto]]&lt;$W$14,"OUTLIER-","")</f>
        <v/>
      </c>
      <c r="R722" s="4"/>
      <c r="S722" s="4"/>
      <c r="AB722" t="str">
        <v>RES-100720</v>
      </c>
      <c r="AC722">
        <v>46044</v>
      </c>
      <c r="AD722">
        <v>0.41666666666666669</v>
      </c>
      <c r="AE722" t="str">
        <v>Laureles</v>
      </c>
      <c r="AF722" t="str">
        <v>Mesa</v>
      </c>
      <c r="AG722" t="str">
        <v>Comida rapida</v>
      </c>
      <c r="AH722">
        <v>4</v>
      </c>
      <c r="AI722">
        <v>52346.95</v>
      </c>
      <c r="AJ722">
        <v>7135.86</v>
      </c>
      <c r="AK722">
        <v>29</v>
      </c>
      <c r="AL722">
        <v>31</v>
      </c>
      <c r="AM722" t="str">
        <v>Tarjeta</v>
      </c>
      <c r="AN722" t="str">
        <v>Entregada</v>
      </c>
      <c r="AO722">
        <v>3</v>
      </c>
    </row>
    <row r="723" spans="1:41" x14ac:dyDescent="0.3">
      <c r="A723" t="s">
        <v>760</v>
      </c>
      <c r="B723" s="8">
        <v>46045</v>
      </c>
      <c r="C723" s="2">
        <v>0.46319444444444446</v>
      </c>
      <c r="D723" t="s">
        <v>21</v>
      </c>
      <c r="E723" t="s">
        <v>22</v>
      </c>
      <c r="F723" t="s">
        <v>23</v>
      </c>
      <c r="G723">
        <v>2</v>
      </c>
      <c r="H723" s="6">
        <v>32709.54</v>
      </c>
      <c r="I723" s="6">
        <v>5995.43</v>
      </c>
      <c r="J723">
        <v>30</v>
      </c>
      <c r="K723">
        <v>50</v>
      </c>
      <c r="L723" t="s">
        <v>24</v>
      </c>
      <c r="M723" t="s">
        <v>25</v>
      </c>
      <c r="N723">
        <v>5</v>
      </c>
      <c r="O723" s="4"/>
      <c r="P723" s="4" t="str">
        <f>IF(Data_Set_2[[#This Row],[valor_bruto]]&gt;$W$13,"OUTLIER+","")</f>
        <v/>
      </c>
      <c r="Q723" s="4" t="str">
        <f>IF(Data_Set_2[[#This Row],[valor_bruto]]&lt;$W$14,"OUTLIER-","")</f>
        <v/>
      </c>
      <c r="R723" s="4"/>
      <c r="S723" s="4"/>
      <c r="AB723" t="str">
        <v>RES-100721</v>
      </c>
      <c r="AC723">
        <v>46045</v>
      </c>
      <c r="AD723">
        <v>0.46319444444444446</v>
      </c>
      <c r="AE723" t="str">
        <v>Poblado</v>
      </c>
      <c r="AF723" t="str">
        <v>Domicilio</v>
      </c>
      <c r="AG723" t="str">
        <v>Pasta</v>
      </c>
      <c r="AH723">
        <v>2</v>
      </c>
      <c r="AI723">
        <v>32709.54</v>
      </c>
      <c r="AJ723">
        <v>5995.43</v>
      </c>
      <c r="AK723">
        <v>30</v>
      </c>
      <c r="AL723">
        <v>50</v>
      </c>
      <c r="AM723" t="str">
        <v>Efectivo</v>
      </c>
      <c r="AN723" t="str">
        <v>Cancelada</v>
      </c>
      <c r="AO723">
        <v>5</v>
      </c>
    </row>
    <row r="724" spans="1:41" x14ac:dyDescent="0.3">
      <c r="A724" t="s">
        <v>761</v>
      </c>
      <c r="B724" s="8">
        <v>46046</v>
      </c>
      <c r="C724" s="2">
        <v>0.50972222222222219</v>
      </c>
      <c r="D724" t="s">
        <v>27</v>
      </c>
      <c r="E724" t="s">
        <v>28</v>
      </c>
      <c r="F724" t="s">
        <v>29</v>
      </c>
      <c r="G724">
        <v>4</v>
      </c>
      <c r="H724" s="6">
        <v>52526.48</v>
      </c>
      <c r="I724" s="6">
        <v>1089.45</v>
      </c>
      <c r="J724">
        <v>14</v>
      </c>
      <c r="K724">
        <v>46</v>
      </c>
      <c r="L724" t="s">
        <v>30</v>
      </c>
      <c r="M724" t="s">
        <v>31</v>
      </c>
      <c r="N724">
        <v>3</v>
      </c>
      <c r="O724" s="4"/>
      <c r="P724" s="4" t="str">
        <f>IF(Data_Set_2[[#This Row],[valor_bruto]]&gt;$W$13,"OUTLIER+","")</f>
        <v/>
      </c>
      <c r="Q724" s="4" t="str">
        <f>IF(Data_Set_2[[#This Row],[valor_bruto]]&lt;$W$14,"OUTLIER-","")</f>
        <v/>
      </c>
      <c r="R724" s="4"/>
      <c r="S724" s="4"/>
      <c r="AB724" t="str">
        <v>RES-100722</v>
      </c>
      <c r="AC724">
        <v>46046</v>
      </c>
      <c r="AD724">
        <v>0.50972222222222219</v>
      </c>
      <c r="AE724" t="str">
        <v>Centro</v>
      </c>
      <c r="AF724" t="str">
        <v>Recoge</v>
      </c>
      <c r="AG724" t="str">
        <v>Parrilla</v>
      </c>
      <c r="AH724">
        <v>4</v>
      </c>
      <c r="AI724">
        <v>52526.48</v>
      </c>
      <c r="AJ724">
        <v>1089.45</v>
      </c>
      <c r="AK724">
        <v>14</v>
      </c>
      <c r="AL724">
        <v>46</v>
      </c>
      <c r="AM724" t="str">
        <v>App</v>
      </c>
      <c r="AN724" t="str">
        <v>Reembolsada</v>
      </c>
      <c r="AO724">
        <v>3</v>
      </c>
    </row>
    <row r="725" spans="1:41" x14ac:dyDescent="0.3">
      <c r="A725" t="s">
        <v>762</v>
      </c>
      <c r="B725" s="8">
        <v>46047</v>
      </c>
      <c r="C725" s="2">
        <v>0.55625000000000002</v>
      </c>
      <c r="D725" t="s">
        <v>33</v>
      </c>
      <c r="E725" t="s">
        <v>16</v>
      </c>
      <c r="F725" t="s">
        <v>34</v>
      </c>
      <c r="G725">
        <v>3</v>
      </c>
      <c r="H725" s="6">
        <v>28817.18</v>
      </c>
      <c r="I725" s="6">
        <v>2126.8200000000002</v>
      </c>
      <c r="J725">
        <v>21</v>
      </c>
      <c r="K725">
        <v>29</v>
      </c>
      <c r="L725" t="s">
        <v>18</v>
      </c>
      <c r="M725" t="s">
        <v>19</v>
      </c>
      <c r="N725">
        <v>3</v>
      </c>
      <c r="O725" s="4"/>
      <c r="P725" s="4" t="str">
        <f>IF(Data_Set_2[[#This Row],[valor_bruto]]&gt;$W$13,"OUTLIER+","")</f>
        <v/>
      </c>
      <c r="Q725" s="4" t="str">
        <f>IF(Data_Set_2[[#This Row],[valor_bruto]]&lt;$W$14,"OUTLIER-","")</f>
        <v/>
      </c>
      <c r="R725" s="4"/>
      <c r="S725" s="4"/>
      <c r="AB725" t="str">
        <v>RES-100723</v>
      </c>
      <c r="AC725">
        <v>46047</v>
      </c>
      <c r="AD725">
        <v>0.55625000000000002</v>
      </c>
      <c r="AE725" t="str">
        <v>Envigado</v>
      </c>
      <c r="AF725" t="str">
        <v>Mesa</v>
      </c>
      <c r="AG725" t="str">
        <v>Vegano</v>
      </c>
      <c r="AH725">
        <v>3</v>
      </c>
      <c r="AI725">
        <v>28817.18</v>
      </c>
      <c r="AJ725">
        <v>2126.8200000000002</v>
      </c>
      <c r="AK725">
        <v>21</v>
      </c>
      <c r="AL725">
        <v>29</v>
      </c>
      <c r="AM725" t="str">
        <v>Tarjeta</v>
      </c>
      <c r="AN725" t="str">
        <v>Entregada</v>
      </c>
      <c r="AO725">
        <v>3</v>
      </c>
    </row>
    <row r="726" spans="1:41" x14ac:dyDescent="0.3">
      <c r="A726" t="s">
        <v>763</v>
      </c>
      <c r="B726" s="8">
        <v>46048</v>
      </c>
      <c r="C726" s="2">
        <v>0.60277777777777775</v>
      </c>
      <c r="D726" t="s">
        <v>15</v>
      </c>
      <c r="E726" t="s">
        <v>22</v>
      </c>
      <c r="F726" t="s">
        <v>36</v>
      </c>
      <c r="G726">
        <v>6</v>
      </c>
      <c r="H726" s="6">
        <v>65639.59</v>
      </c>
      <c r="I726" s="6">
        <v>5886.37</v>
      </c>
      <c r="J726">
        <v>20</v>
      </c>
      <c r="K726">
        <v>39</v>
      </c>
      <c r="L726" t="s">
        <v>24</v>
      </c>
      <c r="M726" t="s">
        <v>25</v>
      </c>
      <c r="N726">
        <v>5</v>
      </c>
      <c r="O726" s="4"/>
      <c r="P726" s="4" t="str">
        <f>IF(Data_Set_2[[#This Row],[valor_bruto]]&gt;$W$13,"OUTLIER+","")</f>
        <v/>
      </c>
      <c r="Q726" s="4" t="str">
        <f>IF(Data_Set_2[[#This Row],[valor_bruto]]&lt;$W$14,"OUTLIER-","")</f>
        <v/>
      </c>
      <c r="R726" s="4"/>
      <c r="S726" s="4"/>
      <c r="AB726" t="str">
        <v>RES-100724</v>
      </c>
      <c r="AC726">
        <v>46048</v>
      </c>
      <c r="AD726">
        <v>0.60277777777777775</v>
      </c>
      <c r="AE726" t="str">
        <v>Laureles</v>
      </c>
      <c r="AF726" t="str">
        <v>Domicilio</v>
      </c>
      <c r="AG726" t="str">
        <v>Bebidas</v>
      </c>
      <c r="AH726">
        <v>6</v>
      </c>
      <c r="AI726">
        <v>65639.59</v>
      </c>
      <c r="AJ726">
        <v>5886.37</v>
      </c>
      <c r="AK726">
        <v>20</v>
      </c>
      <c r="AL726">
        <v>39</v>
      </c>
      <c r="AM726" t="str">
        <v>Efectivo</v>
      </c>
      <c r="AN726" t="str">
        <v>Cancelada</v>
      </c>
      <c r="AO726">
        <v>5</v>
      </c>
    </row>
    <row r="727" spans="1:41" x14ac:dyDescent="0.3">
      <c r="A727" t="s">
        <v>764</v>
      </c>
      <c r="B727" s="8">
        <v>46049</v>
      </c>
      <c r="C727" s="2">
        <v>0.64930555555555558</v>
      </c>
      <c r="D727" t="s">
        <v>21</v>
      </c>
      <c r="E727" t="s">
        <v>28</v>
      </c>
      <c r="F727" t="s">
        <v>17</v>
      </c>
      <c r="G727">
        <v>6</v>
      </c>
      <c r="H727" s="6">
        <v>28028.5</v>
      </c>
      <c r="I727" s="6">
        <v>2558.89</v>
      </c>
      <c r="J727">
        <v>20</v>
      </c>
      <c r="K727">
        <v>23</v>
      </c>
      <c r="L727" t="s">
        <v>30</v>
      </c>
      <c r="M727" t="s">
        <v>31</v>
      </c>
      <c r="N727">
        <v>4</v>
      </c>
      <c r="O727" s="4"/>
      <c r="P727" s="4" t="str">
        <f>IF(Data_Set_2[[#This Row],[valor_bruto]]&gt;$W$13,"OUTLIER+","")</f>
        <v/>
      </c>
      <c r="Q727" s="4" t="str">
        <f>IF(Data_Set_2[[#This Row],[valor_bruto]]&lt;$W$14,"OUTLIER-","")</f>
        <v/>
      </c>
      <c r="R727" s="4"/>
      <c r="S727" s="4"/>
      <c r="AB727" t="str">
        <v>RES-100725</v>
      </c>
      <c r="AC727">
        <v>46049</v>
      </c>
      <c r="AD727">
        <v>0.64930555555555558</v>
      </c>
      <c r="AE727" t="str">
        <v>Poblado</v>
      </c>
      <c r="AF727" t="str">
        <v>Recoge</v>
      </c>
      <c r="AG727" t="str">
        <v>Comida rapida</v>
      </c>
      <c r="AH727">
        <v>6</v>
      </c>
      <c r="AI727">
        <v>28028.5</v>
      </c>
      <c r="AJ727">
        <v>2558.89</v>
      </c>
      <c r="AK727">
        <v>20</v>
      </c>
      <c r="AL727">
        <v>23</v>
      </c>
      <c r="AM727" t="str">
        <v>App</v>
      </c>
      <c r="AN727" t="str">
        <v>Reembolsada</v>
      </c>
      <c r="AO727">
        <v>4</v>
      </c>
    </row>
    <row r="728" spans="1:41" x14ac:dyDescent="0.3">
      <c r="A728" t="s">
        <v>765</v>
      </c>
      <c r="B728" s="8">
        <v>46050</v>
      </c>
      <c r="C728" s="2">
        <v>0.6958333333333333</v>
      </c>
      <c r="D728" t="s">
        <v>27</v>
      </c>
      <c r="E728" t="s">
        <v>16</v>
      </c>
      <c r="F728" t="s">
        <v>23</v>
      </c>
      <c r="G728">
        <v>4</v>
      </c>
      <c r="H728" s="6">
        <v>65668.899999999994</v>
      </c>
      <c r="I728" s="6">
        <v>5923.46</v>
      </c>
      <c r="J728">
        <v>27</v>
      </c>
      <c r="K728">
        <v>53</v>
      </c>
      <c r="L728" t="s">
        <v>18</v>
      </c>
      <c r="M728" t="s">
        <v>19</v>
      </c>
      <c r="N728">
        <v>3</v>
      </c>
      <c r="O728" s="4"/>
      <c r="P728" s="4" t="str">
        <f>IF(Data_Set_2[[#This Row],[valor_bruto]]&gt;$W$13,"OUTLIER+","")</f>
        <v/>
      </c>
      <c r="Q728" s="4" t="str">
        <f>IF(Data_Set_2[[#This Row],[valor_bruto]]&lt;$W$14,"OUTLIER-","")</f>
        <v/>
      </c>
      <c r="R728" s="4"/>
      <c r="S728" s="4"/>
      <c r="AB728" t="str">
        <v>RES-100726</v>
      </c>
      <c r="AC728">
        <v>46050</v>
      </c>
      <c r="AD728">
        <v>0.6958333333333333</v>
      </c>
      <c r="AE728" t="str">
        <v>Centro</v>
      </c>
      <c r="AF728" t="str">
        <v>Mesa</v>
      </c>
      <c r="AG728" t="str">
        <v>Pasta</v>
      </c>
      <c r="AH728">
        <v>4</v>
      </c>
      <c r="AI728">
        <v>65668.899999999994</v>
      </c>
      <c r="AJ728">
        <v>5923.46</v>
      </c>
      <c r="AK728">
        <v>27</v>
      </c>
      <c r="AL728">
        <v>53</v>
      </c>
      <c r="AM728" t="str">
        <v>Tarjeta</v>
      </c>
      <c r="AN728" t="str">
        <v>Entregada</v>
      </c>
      <c r="AO728">
        <v>3</v>
      </c>
    </row>
    <row r="729" spans="1:41" x14ac:dyDescent="0.3">
      <c r="A729" t="s">
        <v>766</v>
      </c>
      <c r="B729" s="8">
        <v>46051</v>
      </c>
      <c r="C729" s="2">
        <v>0.74236111111111114</v>
      </c>
      <c r="D729" t="s">
        <v>33</v>
      </c>
      <c r="E729" t="s">
        <v>22</v>
      </c>
      <c r="F729" t="s">
        <v>29</v>
      </c>
      <c r="G729">
        <v>4</v>
      </c>
      <c r="H729" s="6">
        <v>35863.040000000001</v>
      </c>
      <c r="I729" s="6">
        <v>698.08</v>
      </c>
      <c r="J729">
        <v>13</v>
      </c>
      <c r="K729">
        <v>41</v>
      </c>
      <c r="L729" t="s">
        <v>24</v>
      </c>
      <c r="M729" t="s">
        <v>25</v>
      </c>
      <c r="N729">
        <v>4</v>
      </c>
      <c r="O729" s="4"/>
      <c r="P729" s="4" t="str">
        <f>IF(Data_Set_2[[#This Row],[valor_bruto]]&gt;$W$13,"OUTLIER+","")</f>
        <v/>
      </c>
      <c r="Q729" s="4" t="str">
        <f>IF(Data_Set_2[[#This Row],[valor_bruto]]&lt;$W$14,"OUTLIER-","")</f>
        <v/>
      </c>
      <c r="R729" s="4"/>
      <c r="S729" s="4"/>
      <c r="AB729" t="str">
        <v>RES-100727</v>
      </c>
      <c r="AC729">
        <v>46051</v>
      </c>
      <c r="AD729">
        <v>0.74236111111111114</v>
      </c>
      <c r="AE729" t="str">
        <v>Envigado</v>
      </c>
      <c r="AF729" t="str">
        <v>Domicilio</v>
      </c>
      <c r="AG729" t="str">
        <v>Parrilla</v>
      </c>
      <c r="AH729">
        <v>4</v>
      </c>
      <c r="AI729">
        <v>35863.040000000001</v>
      </c>
      <c r="AJ729">
        <v>698.08</v>
      </c>
      <c r="AK729">
        <v>13</v>
      </c>
      <c r="AL729">
        <v>41</v>
      </c>
      <c r="AM729" t="str">
        <v>Efectivo</v>
      </c>
      <c r="AN729" t="str">
        <v>Cancelada</v>
      </c>
      <c r="AO729">
        <v>4</v>
      </c>
    </row>
    <row r="730" spans="1:41" x14ac:dyDescent="0.3">
      <c r="A730" t="s">
        <v>767</v>
      </c>
      <c r="B730" s="8">
        <v>46052</v>
      </c>
      <c r="C730" s="2">
        <v>0.78888888888888886</v>
      </c>
      <c r="D730" t="s">
        <v>15</v>
      </c>
      <c r="E730" t="s">
        <v>28</v>
      </c>
      <c r="F730" t="s">
        <v>34</v>
      </c>
      <c r="G730">
        <v>3</v>
      </c>
      <c r="H730" s="6">
        <v>54258.64</v>
      </c>
      <c r="I730" s="6">
        <v>5443.09</v>
      </c>
      <c r="J730">
        <v>23</v>
      </c>
      <c r="K730">
        <v>38</v>
      </c>
      <c r="L730" t="s">
        <v>30</v>
      </c>
      <c r="M730" t="s">
        <v>31</v>
      </c>
      <c r="N730">
        <v>5</v>
      </c>
      <c r="O730" s="4"/>
      <c r="P730" s="4" t="str">
        <f>IF(Data_Set_2[[#This Row],[valor_bruto]]&gt;$W$13,"OUTLIER+","")</f>
        <v/>
      </c>
      <c r="Q730" s="4" t="str">
        <f>IF(Data_Set_2[[#This Row],[valor_bruto]]&lt;$W$14,"OUTLIER-","")</f>
        <v/>
      </c>
      <c r="R730" s="4"/>
      <c r="S730" s="4"/>
      <c r="AB730" t="str">
        <v>RES-100728</v>
      </c>
      <c r="AC730">
        <v>46052</v>
      </c>
      <c r="AD730">
        <v>0.78888888888888886</v>
      </c>
      <c r="AE730" t="str">
        <v>Laureles</v>
      </c>
      <c r="AF730" t="str">
        <v>Recoge</v>
      </c>
      <c r="AG730" t="str">
        <v>Vegano</v>
      </c>
      <c r="AH730">
        <v>3</v>
      </c>
      <c r="AI730">
        <v>54258.64</v>
      </c>
      <c r="AJ730">
        <v>5443.09</v>
      </c>
      <c r="AK730">
        <v>23</v>
      </c>
      <c r="AL730">
        <v>38</v>
      </c>
      <c r="AM730" t="str">
        <v>App</v>
      </c>
      <c r="AN730" t="str">
        <v>Reembolsada</v>
      </c>
      <c r="AO730">
        <v>5</v>
      </c>
    </row>
    <row r="731" spans="1:41" x14ac:dyDescent="0.3">
      <c r="A731" t="s">
        <v>768</v>
      </c>
      <c r="B731" s="8">
        <v>46053</v>
      </c>
      <c r="C731" s="2">
        <v>0.79374999999999996</v>
      </c>
      <c r="D731" t="s">
        <v>21</v>
      </c>
      <c r="E731" t="s">
        <v>16</v>
      </c>
      <c r="F731" t="s">
        <v>36</v>
      </c>
      <c r="G731">
        <v>3</v>
      </c>
      <c r="H731" s="6">
        <v>49542.85</v>
      </c>
      <c r="I731" s="6">
        <v>3040</v>
      </c>
      <c r="J731">
        <v>22</v>
      </c>
      <c r="K731">
        <v>34</v>
      </c>
      <c r="L731" t="s">
        <v>18</v>
      </c>
      <c r="M731" t="s">
        <v>19</v>
      </c>
      <c r="N731">
        <v>4</v>
      </c>
      <c r="O731" s="4"/>
      <c r="P731" s="4" t="str">
        <f>IF(Data_Set_2[[#This Row],[valor_bruto]]&gt;$W$13,"OUTLIER+","")</f>
        <v/>
      </c>
      <c r="Q731" s="4" t="str">
        <f>IF(Data_Set_2[[#This Row],[valor_bruto]]&lt;$W$14,"OUTLIER-","")</f>
        <v/>
      </c>
      <c r="R731" s="4"/>
      <c r="S731" s="4"/>
      <c r="AB731" t="str">
        <v>RES-100729</v>
      </c>
      <c r="AC731">
        <v>46053</v>
      </c>
      <c r="AD731">
        <v>0.79374999999999996</v>
      </c>
      <c r="AE731" t="str">
        <v>Poblado</v>
      </c>
      <c r="AF731" t="str">
        <v>Mesa</v>
      </c>
      <c r="AG731" t="str">
        <v>Bebidas</v>
      </c>
      <c r="AH731">
        <v>3</v>
      </c>
      <c r="AI731">
        <v>49542.85</v>
      </c>
      <c r="AJ731">
        <v>3040</v>
      </c>
      <c r="AK731">
        <v>22</v>
      </c>
      <c r="AL731">
        <v>34</v>
      </c>
      <c r="AM731" t="str">
        <v>Tarjeta</v>
      </c>
      <c r="AN731" t="str">
        <v>Entregada</v>
      </c>
      <c r="AO731">
        <v>4</v>
      </c>
    </row>
    <row r="732" spans="1:41" x14ac:dyDescent="0.3">
      <c r="A732" t="s">
        <v>769</v>
      </c>
      <c r="B732" s="8">
        <v>45689</v>
      </c>
      <c r="C732" s="2">
        <v>0.84027777777777779</v>
      </c>
      <c r="D732" t="s">
        <v>27</v>
      </c>
      <c r="E732" t="s">
        <v>22</v>
      </c>
      <c r="F732" t="s">
        <v>17</v>
      </c>
      <c r="G732">
        <v>2</v>
      </c>
      <c r="H732" s="6">
        <v>57345.62</v>
      </c>
      <c r="I732" s="6">
        <v>4577.1499999999996</v>
      </c>
      <c r="J732">
        <v>18</v>
      </c>
      <c r="K732">
        <v>53</v>
      </c>
      <c r="L732" t="s">
        <v>24</v>
      </c>
      <c r="M732" t="s">
        <v>25</v>
      </c>
      <c r="N732">
        <v>4</v>
      </c>
      <c r="O732" s="4"/>
      <c r="P732" s="4" t="str">
        <f>IF(Data_Set_2[[#This Row],[valor_bruto]]&gt;$W$13,"OUTLIER+","")</f>
        <v/>
      </c>
      <c r="Q732" s="4" t="str">
        <f>IF(Data_Set_2[[#This Row],[valor_bruto]]&lt;$W$14,"OUTLIER-","")</f>
        <v/>
      </c>
      <c r="R732" s="4"/>
      <c r="S732" s="4"/>
      <c r="AB732" t="str">
        <v>RES-100730</v>
      </c>
      <c r="AC732">
        <v>45689</v>
      </c>
      <c r="AD732">
        <v>0.84027777777777779</v>
      </c>
      <c r="AE732" t="str">
        <v>Centro</v>
      </c>
      <c r="AF732" t="str">
        <v>Domicilio</v>
      </c>
      <c r="AG732" t="str">
        <v>Comida rapida</v>
      </c>
      <c r="AH732">
        <v>2</v>
      </c>
      <c r="AI732">
        <v>57345.62</v>
      </c>
      <c r="AJ732">
        <v>4577.1499999999996</v>
      </c>
      <c r="AK732">
        <v>18</v>
      </c>
      <c r="AL732">
        <v>53</v>
      </c>
      <c r="AM732" t="str">
        <v>Efectivo</v>
      </c>
      <c r="AN732" t="str">
        <v>Cancelada</v>
      </c>
      <c r="AO732">
        <v>4</v>
      </c>
    </row>
    <row r="733" spans="1:41" x14ac:dyDescent="0.3">
      <c r="A733" t="s">
        <v>770</v>
      </c>
      <c r="B733" s="8">
        <v>45690</v>
      </c>
      <c r="C733" s="2">
        <v>0.88680555555555551</v>
      </c>
      <c r="D733" t="s">
        <v>33</v>
      </c>
      <c r="E733" t="s">
        <v>28</v>
      </c>
      <c r="F733" t="s">
        <v>23</v>
      </c>
      <c r="G733">
        <v>2</v>
      </c>
      <c r="H733" s="6">
        <v>66343.199999999997</v>
      </c>
      <c r="I733" s="6">
        <v>8381.64</v>
      </c>
      <c r="J733">
        <v>25</v>
      </c>
      <c r="K733">
        <v>27</v>
      </c>
      <c r="L733" t="s">
        <v>30</v>
      </c>
      <c r="M733" t="s">
        <v>31</v>
      </c>
      <c r="N733">
        <v>3</v>
      </c>
      <c r="O733" s="4"/>
      <c r="P733" s="4" t="str">
        <f>IF(Data_Set_2[[#This Row],[valor_bruto]]&gt;$W$13,"OUTLIER+","")</f>
        <v/>
      </c>
      <c r="Q733" s="4" t="str">
        <f>IF(Data_Set_2[[#This Row],[valor_bruto]]&lt;$W$14,"OUTLIER-","")</f>
        <v/>
      </c>
      <c r="R733" s="4"/>
      <c r="S733" s="4"/>
      <c r="AB733" t="str">
        <v>RES-100731</v>
      </c>
      <c r="AC733">
        <v>45690</v>
      </c>
      <c r="AD733">
        <v>0.88680555555555551</v>
      </c>
      <c r="AE733" t="str">
        <v>Envigado</v>
      </c>
      <c r="AF733" t="str">
        <v>Recoge</v>
      </c>
      <c r="AG733" t="str">
        <v>Pasta</v>
      </c>
      <c r="AH733">
        <v>2</v>
      </c>
      <c r="AI733">
        <v>66343.199999999997</v>
      </c>
      <c r="AJ733">
        <v>8381.64</v>
      </c>
      <c r="AK733">
        <v>25</v>
      </c>
      <c r="AL733">
        <v>27</v>
      </c>
      <c r="AM733" t="str">
        <v>App</v>
      </c>
      <c r="AN733" t="str">
        <v>Reembolsada</v>
      </c>
      <c r="AO733">
        <v>3</v>
      </c>
    </row>
    <row r="734" spans="1:41" x14ac:dyDescent="0.3">
      <c r="A734" t="s">
        <v>771</v>
      </c>
      <c r="B734" s="8">
        <v>45691</v>
      </c>
      <c r="C734" s="2">
        <v>0.43333333333333335</v>
      </c>
      <c r="D734" t="s">
        <v>15</v>
      </c>
      <c r="E734" t="s">
        <v>16</v>
      </c>
      <c r="F734" t="s">
        <v>29</v>
      </c>
      <c r="G734">
        <v>6</v>
      </c>
      <c r="H734" s="6">
        <v>56700.68</v>
      </c>
      <c r="I734" s="6">
        <v>6415.72</v>
      </c>
      <c r="J734">
        <v>21</v>
      </c>
      <c r="K734">
        <v>38</v>
      </c>
      <c r="L734" t="s">
        <v>18</v>
      </c>
      <c r="M734" t="s">
        <v>19</v>
      </c>
      <c r="N734">
        <v>3</v>
      </c>
      <c r="O734" s="4"/>
      <c r="P734" s="4" t="str">
        <f>IF(Data_Set_2[[#This Row],[valor_bruto]]&gt;$W$13,"OUTLIER+","")</f>
        <v/>
      </c>
      <c r="Q734" s="4" t="str">
        <f>IF(Data_Set_2[[#This Row],[valor_bruto]]&lt;$W$14,"OUTLIER-","")</f>
        <v/>
      </c>
      <c r="R734" s="4"/>
      <c r="S734" s="4"/>
      <c r="AB734" t="str">
        <v>RES-100732</v>
      </c>
      <c r="AC734">
        <v>45691</v>
      </c>
      <c r="AD734">
        <v>0.43333333333333335</v>
      </c>
      <c r="AE734" t="str">
        <v>Laureles</v>
      </c>
      <c r="AF734" t="str">
        <v>Mesa</v>
      </c>
      <c r="AG734" t="str">
        <v>Parrilla</v>
      </c>
      <c r="AH734">
        <v>6</v>
      </c>
      <c r="AI734">
        <v>56700.68</v>
      </c>
      <c r="AJ734">
        <v>6415.72</v>
      </c>
      <c r="AK734">
        <v>21</v>
      </c>
      <c r="AL734">
        <v>38</v>
      </c>
      <c r="AM734" t="str">
        <v>Tarjeta</v>
      </c>
      <c r="AN734" t="str">
        <v>Entregada</v>
      </c>
      <c r="AO734">
        <v>3</v>
      </c>
    </row>
    <row r="735" spans="1:41" x14ac:dyDescent="0.3">
      <c r="A735" t="s">
        <v>772</v>
      </c>
      <c r="B735" s="8">
        <v>45692</v>
      </c>
      <c r="C735" s="2">
        <v>0.47986111111111113</v>
      </c>
      <c r="D735" t="s">
        <v>21</v>
      </c>
      <c r="E735" t="s">
        <v>22</v>
      </c>
      <c r="F735" t="s">
        <v>34</v>
      </c>
      <c r="G735">
        <v>4</v>
      </c>
      <c r="H735" s="6">
        <v>30415.599999999999</v>
      </c>
      <c r="I735" s="6">
        <v>4114.83</v>
      </c>
      <c r="J735">
        <v>25</v>
      </c>
      <c r="K735">
        <v>46</v>
      </c>
      <c r="L735" t="s">
        <v>24</v>
      </c>
      <c r="M735" t="s">
        <v>25</v>
      </c>
      <c r="N735">
        <v>3</v>
      </c>
      <c r="O735" s="4"/>
      <c r="P735" s="4" t="str">
        <f>IF(Data_Set_2[[#This Row],[valor_bruto]]&gt;$W$13,"OUTLIER+","")</f>
        <v/>
      </c>
      <c r="Q735" s="4" t="str">
        <f>IF(Data_Set_2[[#This Row],[valor_bruto]]&lt;$W$14,"OUTLIER-","")</f>
        <v/>
      </c>
      <c r="R735" s="4"/>
      <c r="S735" s="4"/>
      <c r="AB735" t="str">
        <v>RES-100733</v>
      </c>
      <c r="AC735">
        <v>45692</v>
      </c>
      <c r="AD735">
        <v>0.47986111111111113</v>
      </c>
      <c r="AE735" t="str">
        <v>Poblado</v>
      </c>
      <c r="AF735" t="str">
        <v>Domicilio</v>
      </c>
      <c r="AG735" t="str">
        <v>Vegano</v>
      </c>
      <c r="AH735">
        <v>4</v>
      </c>
      <c r="AI735">
        <v>30415.599999999999</v>
      </c>
      <c r="AJ735">
        <v>4114.83</v>
      </c>
      <c r="AK735">
        <v>25</v>
      </c>
      <c r="AL735">
        <v>46</v>
      </c>
      <c r="AM735" t="str">
        <v>Efectivo</v>
      </c>
      <c r="AN735" t="str">
        <v>Cancelada</v>
      </c>
      <c r="AO735">
        <v>3</v>
      </c>
    </row>
    <row r="736" spans="1:41" x14ac:dyDescent="0.3">
      <c r="A736" t="s">
        <v>773</v>
      </c>
      <c r="B736" s="8">
        <v>45779</v>
      </c>
      <c r="C736" s="2">
        <v>0.52638888888888891</v>
      </c>
      <c r="D736" t="s">
        <v>27</v>
      </c>
      <c r="E736" t="s">
        <v>28</v>
      </c>
      <c r="F736" t="s">
        <v>36</v>
      </c>
      <c r="G736">
        <v>6</v>
      </c>
      <c r="H736" s="6">
        <v>43337.17</v>
      </c>
      <c r="I736" s="6">
        <v>2740.36</v>
      </c>
      <c r="J736">
        <v>31</v>
      </c>
      <c r="K736">
        <v>45</v>
      </c>
      <c r="L736" t="s">
        <v>30</v>
      </c>
      <c r="M736" t="s">
        <v>31</v>
      </c>
      <c r="N736">
        <v>5</v>
      </c>
      <c r="O736" s="4"/>
      <c r="P736" s="4" t="str">
        <f>IF(Data_Set_2[[#This Row],[valor_bruto]]&gt;$W$13,"OUTLIER+","")</f>
        <v/>
      </c>
      <c r="Q736" s="4" t="str">
        <f>IF(Data_Set_2[[#This Row],[valor_bruto]]&lt;$W$14,"OUTLIER-","")</f>
        <v/>
      </c>
      <c r="R736" s="4"/>
      <c r="S736" s="4"/>
      <c r="AB736" t="str">
        <v>RES-100734</v>
      </c>
      <c r="AC736">
        <v>45779</v>
      </c>
      <c r="AD736">
        <v>0.52638888888888891</v>
      </c>
      <c r="AE736" t="str">
        <v>Centro</v>
      </c>
      <c r="AF736" t="str">
        <v>Recoge</v>
      </c>
      <c r="AG736" t="str">
        <v>Bebidas</v>
      </c>
      <c r="AH736">
        <v>6</v>
      </c>
      <c r="AI736">
        <v>43337.17</v>
      </c>
      <c r="AJ736">
        <v>2740.36</v>
      </c>
      <c r="AK736">
        <v>31</v>
      </c>
      <c r="AL736">
        <v>45</v>
      </c>
      <c r="AM736" t="str">
        <v>App</v>
      </c>
      <c r="AN736" t="str">
        <v>Reembolsada</v>
      </c>
      <c r="AO736">
        <v>5</v>
      </c>
    </row>
    <row r="737" spans="1:41" x14ac:dyDescent="0.3">
      <c r="A737" t="s">
        <v>774</v>
      </c>
      <c r="B737" s="8">
        <v>45694</v>
      </c>
      <c r="C737" s="2">
        <v>0.57291666666666663</v>
      </c>
      <c r="D737" t="s">
        <v>33</v>
      </c>
      <c r="E737" t="s">
        <v>16</v>
      </c>
      <c r="F737" t="s">
        <v>17</v>
      </c>
      <c r="G737">
        <v>2</v>
      </c>
      <c r="H737" s="6">
        <v>32645.49</v>
      </c>
      <c r="I737" s="6">
        <v>1250.03</v>
      </c>
      <c r="J737">
        <v>24</v>
      </c>
      <c r="K737">
        <v>27</v>
      </c>
      <c r="L737" t="s">
        <v>18</v>
      </c>
      <c r="M737" t="s">
        <v>19</v>
      </c>
      <c r="N737">
        <v>4</v>
      </c>
      <c r="O737" s="4"/>
      <c r="P737" s="4" t="str">
        <f>IF(Data_Set_2[[#This Row],[valor_bruto]]&gt;$W$13,"OUTLIER+","")</f>
        <v/>
      </c>
      <c r="Q737" s="4" t="str">
        <f>IF(Data_Set_2[[#This Row],[valor_bruto]]&lt;$W$14,"OUTLIER-","")</f>
        <v/>
      </c>
      <c r="R737" s="4"/>
      <c r="S737" s="4"/>
      <c r="AB737" t="str">
        <v>RES-100735</v>
      </c>
      <c r="AC737">
        <v>45694</v>
      </c>
      <c r="AD737">
        <v>0.57291666666666663</v>
      </c>
      <c r="AE737" t="str">
        <v>Envigado</v>
      </c>
      <c r="AF737" t="str">
        <v>Mesa</v>
      </c>
      <c r="AG737" t="str">
        <v>Comida rapida</v>
      </c>
      <c r="AH737">
        <v>2</v>
      </c>
      <c r="AI737">
        <v>32645.49</v>
      </c>
      <c r="AJ737">
        <v>1250.03</v>
      </c>
      <c r="AK737">
        <v>24</v>
      </c>
      <c r="AL737">
        <v>27</v>
      </c>
      <c r="AM737" t="str">
        <v>Tarjeta</v>
      </c>
      <c r="AN737" t="str">
        <v>Entregada</v>
      </c>
      <c r="AO737">
        <v>4</v>
      </c>
    </row>
    <row r="738" spans="1:41" x14ac:dyDescent="0.3">
      <c r="A738" t="s">
        <v>775</v>
      </c>
      <c r="B738" s="8">
        <v>45695</v>
      </c>
      <c r="C738" s="2">
        <v>0.61944444444444446</v>
      </c>
      <c r="D738" t="s">
        <v>15</v>
      </c>
      <c r="E738" t="s">
        <v>22</v>
      </c>
      <c r="F738" t="s">
        <v>23</v>
      </c>
      <c r="G738">
        <v>2</v>
      </c>
      <c r="H738" s="6">
        <v>39321.81</v>
      </c>
      <c r="I738" s="6">
        <v>5513.91</v>
      </c>
      <c r="J738">
        <v>14</v>
      </c>
      <c r="K738">
        <v>28</v>
      </c>
      <c r="L738" t="s">
        <v>24</v>
      </c>
      <c r="M738" t="s">
        <v>25</v>
      </c>
      <c r="N738">
        <v>5</v>
      </c>
      <c r="O738" s="4"/>
      <c r="P738" s="4" t="str">
        <f>IF(Data_Set_2[[#This Row],[valor_bruto]]&gt;$W$13,"OUTLIER+","")</f>
        <v/>
      </c>
      <c r="Q738" s="4" t="str">
        <f>IF(Data_Set_2[[#This Row],[valor_bruto]]&lt;$W$14,"OUTLIER-","")</f>
        <v/>
      </c>
      <c r="R738" s="4"/>
      <c r="S738" s="4"/>
      <c r="AB738" t="str">
        <v>RES-100736</v>
      </c>
      <c r="AC738">
        <v>45695</v>
      </c>
      <c r="AD738">
        <v>0.61944444444444446</v>
      </c>
      <c r="AE738" t="str">
        <v>Laureles</v>
      </c>
      <c r="AF738" t="str">
        <v>Domicilio</v>
      </c>
      <c r="AG738" t="str">
        <v>Pasta</v>
      </c>
      <c r="AH738">
        <v>2</v>
      </c>
      <c r="AI738">
        <v>39321.81</v>
      </c>
      <c r="AJ738">
        <v>5513.91</v>
      </c>
      <c r="AK738">
        <v>14</v>
      </c>
      <c r="AL738">
        <v>28</v>
      </c>
      <c r="AM738" t="str">
        <v>Efectivo</v>
      </c>
      <c r="AN738" t="str">
        <v>Cancelada</v>
      </c>
      <c r="AO738">
        <v>5</v>
      </c>
    </row>
    <row r="739" spans="1:41" x14ac:dyDescent="0.3">
      <c r="A739" t="s">
        <v>776</v>
      </c>
      <c r="B739" s="8">
        <v>45871</v>
      </c>
      <c r="C739" s="2">
        <v>0.66597222222222219</v>
      </c>
      <c r="D739" t="s">
        <v>21</v>
      </c>
      <c r="E739" t="s">
        <v>28</v>
      </c>
      <c r="F739" t="s">
        <v>29</v>
      </c>
      <c r="G739">
        <v>5</v>
      </c>
      <c r="H739" s="6">
        <v>36418.01</v>
      </c>
      <c r="I739" s="6">
        <v>5980.91</v>
      </c>
      <c r="J739">
        <v>25</v>
      </c>
      <c r="K739">
        <v>39</v>
      </c>
      <c r="L739" t="s">
        <v>30</v>
      </c>
      <c r="M739" t="s">
        <v>31</v>
      </c>
      <c r="N739">
        <v>3</v>
      </c>
      <c r="O739" s="4"/>
      <c r="P739" s="4" t="str">
        <f>IF(Data_Set_2[[#This Row],[valor_bruto]]&gt;$W$13,"OUTLIER+","")</f>
        <v/>
      </c>
      <c r="Q739" s="4" t="str">
        <f>IF(Data_Set_2[[#This Row],[valor_bruto]]&lt;$W$14,"OUTLIER-","")</f>
        <v/>
      </c>
      <c r="R739" s="4"/>
      <c r="S739" s="4"/>
      <c r="AB739" t="str">
        <v>RES-100737</v>
      </c>
      <c r="AC739">
        <v>45871</v>
      </c>
      <c r="AD739">
        <v>0.66597222222222219</v>
      </c>
      <c r="AE739" t="str">
        <v>Poblado</v>
      </c>
      <c r="AF739" t="str">
        <v>Recoge</v>
      </c>
      <c r="AG739" t="str">
        <v>Parrilla</v>
      </c>
      <c r="AH739">
        <v>5</v>
      </c>
      <c r="AI739">
        <v>36418.01</v>
      </c>
      <c r="AJ739">
        <v>5980.91</v>
      </c>
      <c r="AK739">
        <v>25</v>
      </c>
      <c r="AL739">
        <v>39</v>
      </c>
      <c r="AM739" t="str">
        <v>App</v>
      </c>
      <c r="AN739" t="str">
        <v>Reembolsada</v>
      </c>
      <c r="AO739">
        <v>3</v>
      </c>
    </row>
    <row r="740" spans="1:41" x14ac:dyDescent="0.3">
      <c r="A740" t="s">
        <v>777</v>
      </c>
      <c r="B740" s="8">
        <v>45697</v>
      </c>
      <c r="C740" s="2">
        <v>0.67083333333333328</v>
      </c>
      <c r="D740" t="s">
        <v>27</v>
      </c>
      <c r="E740" t="s">
        <v>16</v>
      </c>
      <c r="F740" t="s">
        <v>34</v>
      </c>
      <c r="G740">
        <v>3</v>
      </c>
      <c r="H740" s="6">
        <v>27316.44</v>
      </c>
      <c r="I740" s="6">
        <v>1229.5999999999999</v>
      </c>
      <c r="J740">
        <v>15</v>
      </c>
      <c r="K740">
        <v>28</v>
      </c>
      <c r="L740" t="s">
        <v>18</v>
      </c>
      <c r="M740" t="s">
        <v>19</v>
      </c>
      <c r="N740">
        <v>5</v>
      </c>
      <c r="O740" s="4"/>
      <c r="P740" s="4" t="str">
        <f>IF(Data_Set_2[[#This Row],[valor_bruto]]&gt;$W$13,"OUTLIER+","")</f>
        <v/>
      </c>
      <c r="Q740" s="4" t="str">
        <f>IF(Data_Set_2[[#This Row],[valor_bruto]]&lt;$W$14,"OUTLIER-","")</f>
        <v/>
      </c>
      <c r="R740" s="4"/>
      <c r="S740" s="4"/>
      <c r="AB740" t="str">
        <v>RES-100738</v>
      </c>
      <c r="AC740">
        <v>45697</v>
      </c>
      <c r="AD740">
        <v>0.67083333333333328</v>
      </c>
      <c r="AE740" t="str">
        <v>Centro</v>
      </c>
      <c r="AF740" t="str">
        <v>Mesa</v>
      </c>
      <c r="AG740" t="str">
        <v>Vegano</v>
      </c>
      <c r="AH740">
        <v>3</v>
      </c>
      <c r="AI740">
        <v>27316.44</v>
      </c>
      <c r="AJ740">
        <v>1229.5999999999999</v>
      </c>
      <c r="AK740">
        <v>15</v>
      </c>
      <c r="AL740">
        <v>28</v>
      </c>
      <c r="AM740" t="str">
        <v>Tarjeta</v>
      </c>
      <c r="AN740" t="str">
        <v>Entregada</v>
      </c>
      <c r="AO740">
        <v>5</v>
      </c>
    </row>
    <row r="741" spans="1:41" x14ac:dyDescent="0.3">
      <c r="A741" t="s">
        <v>778</v>
      </c>
      <c r="B741" s="8">
        <v>45698</v>
      </c>
      <c r="C741" s="2">
        <v>0.71736111111111112</v>
      </c>
      <c r="D741" t="s">
        <v>33</v>
      </c>
      <c r="E741" t="s">
        <v>22</v>
      </c>
      <c r="F741" t="s">
        <v>36</v>
      </c>
      <c r="G741">
        <v>6</v>
      </c>
      <c r="H741" s="6">
        <v>66040.31</v>
      </c>
      <c r="I741" s="6">
        <v>809.35</v>
      </c>
      <c r="J741">
        <v>21</v>
      </c>
      <c r="K741">
        <v>50</v>
      </c>
      <c r="L741" t="s">
        <v>24</v>
      </c>
      <c r="M741" t="s">
        <v>25</v>
      </c>
      <c r="N741">
        <v>5</v>
      </c>
      <c r="O741" s="4"/>
      <c r="P741" s="4" t="str">
        <f>IF(Data_Set_2[[#This Row],[valor_bruto]]&gt;$W$13,"OUTLIER+","")</f>
        <v/>
      </c>
      <c r="Q741" s="4" t="str">
        <f>IF(Data_Set_2[[#This Row],[valor_bruto]]&lt;$W$14,"OUTLIER-","")</f>
        <v/>
      </c>
      <c r="R741" s="4"/>
      <c r="S741" s="4"/>
      <c r="AB741" t="str">
        <v>RES-100739</v>
      </c>
      <c r="AC741">
        <v>45698</v>
      </c>
      <c r="AD741">
        <v>0.71736111111111112</v>
      </c>
      <c r="AE741" t="str">
        <v>Envigado</v>
      </c>
      <c r="AF741" t="str">
        <v>Domicilio</v>
      </c>
      <c r="AG741" t="str">
        <v>Bebidas</v>
      </c>
      <c r="AH741">
        <v>6</v>
      </c>
      <c r="AI741">
        <v>66040.31</v>
      </c>
      <c r="AJ741">
        <v>809.35</v>
      </c>
      <c r="AK741">
        <v>21</v>
      </c>
      <c r="AL741">
        <v>50</v>
      </c>
      <c r="AM741" t="str">
        <v>Efectivo</v>
      </c>
      <c r="AN741" t="str">
        <v>Cancelada</v>
      </c>
      <c r="AO741">
        <v>5</v>
      </c>
    </row>
    <row r="742" spans="1:41" x14ac:dyDescent="0.3">
      <c r="A742" t="s">
        <v>779</v>
      </c>
      <c r="B742" s="8">
        <v>45963</v>
      </c>
      <c r="C742" s="2">
        <v>0.76388888888888884</v>
      </c>
      <c r="D742" t="s">
        <v>15</v>
      </c>
      <c r="E742" t="s">
        <v>28</v>
      </c>
      <c r="F742" t="s">
        <v>17</v>
      </c>
      <c r="G742">
        <v>6</v>
      </c>
      <c r="H742" s="6">
        <v>46479.82</v>
      </c>
      <c r="I742" s="6">
        <v>4220.6099999999997</v>
      </c>
      <c r="J742">
        <v>26</v>
      </c>
      <c r="K742">
        <v>42</v>
      </c>
      <c r="L742" t="s">
        <v>30</v>
      </c>
      <c r="M742" t="s">
        <v>31</v>
      </c>
      <c r="N742">
        <v>5</v>
      </c>
      <c r="O742" s="4"/>
      <c r="P742" s="4" t="str">
        <f>IF(Data_Set_2[[#This Row],[valor_bruto]]&gt;$W$13,"OUTLIER+","")</f>
        <v/>
      </c>
      <c r="Q742" s="4" t="str">
        <f>IF(Data_Set_2[[#This Row],[valor_bruto]]&lt;$W$14,"OUTLIER-","")</f>
        <v/>
      </c>
      <c r="R742" s="4"/>
      <c r="S742" s="4"/>
      <c r="AB742" t="str">
        <v>RES-100740</v>
      </c>
      <c r="AC742">
        <v>45963</v>
      </c>
      <c r="AD742">
        <v>0.76388888888888884</v>
      </c>
      <c r="AE742" t="str">
        <v>Laureles</v>
      </c>
      <c r="AF742" t="str">
        <v>Recoge</v>
      </c>
      <c r="AG742" t="str">
        <v>Comida rapida</v>
      </c>
      <c r="AH742">
        <v>6</v>
      </c>
      <c r="AI742">
        <v>46479.82</v>
      </c>
      <c r="AJ742">
        <v>4220.6099999999997</v>
      </c>
      <c r="AK742">
        <v>26</v>
      </c>
      <c r="AL742">
        <v>42</v>
      </c>
      <c r="AM742" t="str">
        <v>App</v>
      </c>
      <c r="AN742" t="str">
        <v>Reembolsada</v>
      </c>
      <c r="AO742">
        <v>5</v>
      </c>
    </row>
    <row r="743" spans="1:41" x14ac:dyDescent="0.3">
      <c r="A743" t="s">
        <v>780</v>
      </c>
      <c r="B743" s="8">
        <v>45700</v>
      </c>
      <c r="C743" s="2">
        <v>0.81041666666666667</v>
      </c>
      <c r="D743" t="s">
        <v>21</v>
      </c>
      <c r="E743" t="s">
        <v>16</v>
      </c>
      <c r="F743" t="s">
        <v>23</v>
      </c>
      <c r="G743">
        <v>5</v>
      </c>
      <c r="H743" s="6">
        <v>40871.949999999997</v>
      </c>
      <c r="I743" s="6">
        <v>6472.46</v>
      </c>
      <c r="J743">
        <v>19</v>
      </c>
      <c r="K743">
        <v>38</v>
      </c>
      <c r="L743" t="s">
        <v>18</v>
      </c>
      <c r="M743" t="s">
        <v>19</v>
      </c>
      <c r="N743">
        <v>5</v>
      </c>
      <c r="O743" s="4"/>
      <c r="P743" s="4" t="str">
        <f>IF(Data_Set_2[[#This Row],[valor_bruto]]&gt;$W$13,"OUTLIER+","")</f>
        <v/>
      </c>
      <c r="Q743" s="4" t="str">
        <f>IF(Data_Set_2[[#This Row],[valor_bruto]]&lt;$W$14,"OUTLIER-","")</f>
        <v/>
      </c>
      <c r="R743" s="4"/>
      <c r="S743" s="4"/>
      <c r="AB743" t="str">
        <v>RES-100741</v>
      </c>
      <c r="AC743">
        <v>45700</v>
      </c>
      <c r="AD743">
        <v>0.81041666666666667</v>
      </c>
      <c r="AE743" t="str">
        <v>Poblado</v>
      </c>
      <c r="AF743" t="str">
        <v>Mesa</v>
      </c>
      <c r="AG743" t="str">
        <v>Pasta</v>
      </c>
      <c r="AH743">
        <v>5</v>
      </c>
      <c r="AI743">
        <v>40871.949999999997</v>
      </c>
      <c r="AJ743">
        <v>6472.46</v>
      </c>
      <c r="AK743">
        <v>19</v>
      </c>
      <c r="AL743">
        <v>38</v>
      </c>
      <c r="AM743" t="str">
        <v>Tarjeta</v>
      </c>
      <c r="AN743" t="str">
        <v>Entregada</v>
      </c>
      <c r="AO743">
        <v>5</v>
      </c>
    </row>
    <row r="744" spans="1:41" x14ac:dyDescent="0.3">
      <c r="A744" t="s">
        <v>781</v>
      </c>
      <c r="B744" s="8">
        <v>45701</v>
      </c>
      <c r="C744" s="2">
        <v>0.8569444444444444</v>
      </c>
      <c r="D744" t="s">
        <v>27</v>
      </c>
      <c r="E744" t="s">
        <v>22</v>
      </c>
      <c r="F744" t="s">
        <v>29</v>
      </c>
      <c r="G744">
        <v>2</v>
      </c>
      <c r="H744" s="6">
        <v>60089.15</v>
      </c>
      <c r="I744" s="6">
        <v>6407.81</v>
      </c>
      <c r="J744">
        <v>13</v>
      </c>
      <c r="K744">
        <v>45</v>
      </c>
      <c r="L744" t="s">
        <v>24</v>
      </c>
      <c r="M744" t="s">
        <v>25</v>
      </c>
      <c r="N744">
        <v>5</v>
      </c>
      <c r="O744" s="4"/>
      <c r="P744" s="4" t="str">
        <f>IF(Data_Set_2[[#This Row],[valor_bruto]]&gt;$W$13,"OUTLIER+","")</f>
        <v/>
      </c>
      <c r="Q744" s="4" t="str">
        <f>IF(Data_Set_2[[#This Row],[valor_bruto]]&lt;$W$14,"OUTLIER-","")</f>
        <v/>
      </c>
      <c r="R744" s="4"/>
      <c r="S744" s="4"/>
      <c r="AB744" t="str">
        <v>RES-100742</v>
      </c>
      <c r="AC744">
        <v>45701</v>
      </c>
      <c r="AD744">
        <v>0.8569444444444444</v>
      </c>
      <c r="AE744" t="str">
        <v>Centro</v>
      </c>
      <c r="AF744" t="str">
        <v>Domicilio</v>
      </c>
      <c r="AG744" t="str">
        <v>Parrilla</v>
      </c>
      <c r="AH744">
        <v>2</v>
      </c>
      <c r="AI744">
        <v>60089.15</v>
      </c>
      <c r="AJ744">
        <v>6407.81</v>
      </c>
      <c r="AK744">
        <v>13</v>
      </c>
      <c r="AL744">
        <v>45</v>
      </c>
      <c r="AM744" t="str">
        <v>Efectivo</v>
      </c>
      <c r="AN744" t="str">
        <v>Cancelada</v>
      </c>
      <c r="AO744">
        <v>5</v>
      </c>
    </row>
    <row r="745" spans="1:41" x14ac:dyDescent="0.3">
      <c r="A745" t="s">
        <v>782</v>
      </c>
      <c r="B745" s="8">
        <v>45702</v>
      </c>
      <c r="C745" s="2">
        <v>0.90347222222222223</v>
      </c>
      <c r="D745" t="s">
        <v>33</v>
      </c>
      <c r="E745" t="s">
        <v>28</v>
      </c>
      <c r="F745" t="s">
        <v>34</v>
      </c>
      <c r="G745">
        <v>4</v>
      </c>
      <c r="H745" s="6">
        <v>59389.67</v>
      </c>
      <c r="I745" s="6">
        <v>1817.32</v>
      </c>
      <c r="J745">
        <v>26</v>
      </c>
      <c r="K745">
        <v>49</v>
      </c>
      <c r="L745" t="s">
        <v>30</v>
      </c>
      <c r="M745" t="s">
        <v>31</v>
      </c>
      <c r="N745">
        <v>4</v>
      </c>
      <c r="O745" s="4"/>
      <c r="P745" s="4" t="str">
        <f>IF(Data_Set_2[[#This Row],[valor_bruto]]&gt;$W$13,"OUTLIER+","")</f>
        <v/>
      </c>
      <c r="Q745" s="4" t="str">
        <f>IF(Data_Set_2[[#This Row],[valor_bruto]]&lt;$W$14,"OUTLIER-","")</f>
        <v/>
      </c>
      <c r="R745" s="4"/>
      <c r="S745" s="4"/>
      <c r="AB745" t="str">
        <v>RES-100743</v>
      </c>
      <c r="AC745">
        <v>45702</v>
      </c>
      <c r="AD745">
        <v>0.90347222222222223</v>
      </c>
      <c r="AE745" t="str">
        <v>Envigado</v>
      </c>
      <c r="AF745" t="str">
        <v>Recoge</v>
      </c>
      <c r="AG745" t="str">
        <v>Vegano</v>
      </c>
      <c r="AH745">
        <v>4</v>
      </c>
      <c r="AI745">
        <v>59389.67</v>
      </c>
      <c r="AJ745">
        <v>1817.32</v>
      </c>
      <c r="AK745">
        <v>26</v>
      </c>
      <c r="AL745">
        <v>49</v>
      </c>
      <c r="AM745" t="str">
        <v>App</v>
      </c>
      <c r="AN745" t="str">
        <v>Reembolsada</v>
      </c>
      <c r="AO745">
        <v>4</v>
      </c>
    </row>
    <row r="746" spans="1:41" x14ac:dyDescent="0.3">
      <c r="A746" t="s">
        <v>783</v>
      </c>
      <c r="B746" s="8">
        <v>45703</v>
      </c>
      <c r="C746" s="2">
        <v>0.45</v>
      </c>
      <c r="D746" t="s">
        <v>15</v>
      </c>
      <c r="E746" t="s">
        <v>16</v>
      </c>
      <c r="F746" t="s">
        <v>36</v>
      </c>
      <c r="G746">
        <v>6</v>
      </c>
      <c r="H746" s="6">
        <v>65107.14</v>
      </c>
      <c r="I746" s="6">
        <v>5745.56</v>
      </c>
      <c r="J746">
        <v>14</v>
      </c>
      <c r="K746">
        <v>33</v>
      </c>
      <c r="L746" t="s">
        <v>18</v>
      </c>
      <c r="M746" t="s">
        <v>19</v>
      </c>
      <c r="N746">
        <v>3</v>
      </c>
      <c r="O746" s="4"/>
      <c r="P746" s="4" t="str">
        <f>IF(Data_Set_2[[#This Row],[valor_bruto]]&gt;$W$13,"OUTLIER+","")</f>
        <v/>
      </c>
      <c r="Q746" s="4" t="str">
        <f>IF(Data_Set_2[[#This Row],[valor_bruto]]&lt;$W$14,"OUTLIER-","")</f>
        <v/>
      </c>
      <c r="R746" s="4"/>
      <c r="S746" s="4"/>
      <c r="AB746" t="str">
        <v>RES-100744</v>
      </c>
      <c r="AC746">
        <v>45703</v>
      </c>
      <c r="AD746">
        <v>0.45</v>
      </c>
      <c r="AE746" t="str">
        <v>Laureles</v>
      </c>
      <c r="AF746" t="str">
        <v>Mesa</v>
      </c>
      <c r="AG746" t="str">
        <v>Bebidas</v>
      </c>
      <c r="AH746">
        <v>6</v>
      </c>
      <c r="AI746">
        <v>65107.14</v>
      </c>
      <c r="AJ746">
        <v>5745.56</v>
      </c>
      <c r="AK746">
        <v>14</v>
      </c>
      <c r="AL746">
        <v>33</v>
      </c>
      <c r="AM746" t="str">
        <v>Tarjeta</v>
      </c>
      <c r="AN746" t="str">
        <v>Entregada</v>
      </c>
      <c r="AO746">
        <v>3</v>
      </c>
    </row>
    <row r="747" spans="1:41" x14ac:dyDescent="0.3">
      <c r="A747" t="s">
        <v>784</v>
      </c>
      <c r="B747" s="8">
        <v>45704</v>
      </c>
      <c r="C747" s="2">
        <v>0.49652777777777779</v>
      </c>
      <c r="D747" t="s">
        <v>21</v>
      </c>
      <c r="E747" t="s">
        <v>22</v>
      </c>
      <c r="F747" t="s">
        <v>17</v>
      </c>
      <c r="G747">
        <v>4</v>
      </c>
      <c r="H747" s="6">
        <v>64513.97</v>
      </c>
      <c r="I747" s="6">
        <v>1373.91</v>
      </c>
      <c r="J747">
        <v>28</v>
      </c>
      <c r="K747">
        <v>44</v>
      </c>
      <c r="L747" t="s">
        <v>24</v>
      </c>
      <c r="M747" t="s">
        <v>25</v>
      </c>
      <c r="N747">
        <v>5</v>
      </c>
      <c r="O747" s="4"/>
      <c r="P747" s="4" t="str">
        <f>IF(Data_Set_2[[#This Row],[valor_bruto]]&gt;$W$13,"OUTLIER+","")</f>
        <v/>
      </c>
      <c r="Q747" s="4" t="str">
        <f>IF(Data_Set_2[[#This Row],[valor_bruto]]&lt;$W$14,"OUTLIER-","")</f>
        <v/>
      </c>
      <c r="R747" s="4"/>
      <c r="S747" s="4"/>
      <c r="AB747" t="str">
        <v>RES-100745</v>
      </c>
      <c r="AC747">
        <v>45704</v>
      </c>
      <c r="AD747">
        <v>0.49652777777777779</v>
      </c>
      <c r="AE747" t="str">
        <v>Poblado</v>
      </c>
      <c r="AF747" t="str">
        <v>Domicilio</v>
      </c>
      <c r="AG747" t="str">
        <v>Comida rapida</v>
      </c>
      <c r="AH747">
        <v>4</v>
      </c>
      <c r="AI747">
        <v>64513.97</v>
      </c>
      <c r="AJ747">
        <v>1373.91</v>
      </c>
      <c r="AK747">
        <v>28</v>
      </c>
      <c r="AL747">
        <v>44</v>
      </c>
      <c r="AM747" t="str">
        <v>Efectivo</v>
      </c>
      <c r="AN747" t="str">
        <v>Cancelada</v>
      </c>
      <c r="AO747">
        <v>5</v>
      </c>
    </row>
    <row r="748" spans="1:41" x14ac:dyDescent="0.3">
      <c r="A748" t="s">
        <v>785</v>
      </c>
      <c r="B748" s="8">
        <v>45705</v>
      </c>
      <c r="C748" s="2">
        <v>0.50138888888888888</v>
      </c>
      <c r="D748" t="s">
        <v>27</v>
      </c>
      <c r="E748" t="s">
        <v>28</v>
      </c>
      <c r="F748" t="s">
        <v>23</v>
      </c>
      <c r="G748">
        <v>5</v>
      </c>
      <c r="H748" s="6">
        <v>64045.06</v>
      </c>
      <c r="I748" s="6">
        <v>5771.13</v>
      </c>
      <c r="J748">
        <v>15</v>
      </c>
      <c r="K748">
        <v>46</v>
      </c>
      <c r="L748" t="s">
        <v>30</v>
      </c>
      <c r="M748" t="s">
        <v>31</v>
      </c>
      <c r="N748">
        <v>5</v>
      </c>
      <c r="O748" s="4"/>
      <c r="P748" s="4" t="str">
        <f>IF(Data_Set_2[[#This Row],[valor_bruto]]&gt;$W$13,"OUTLIER+","")</f>
        <v/>
      </c>
      <c r="Q748" s="4" t="str">
        <f>IF(Data_Set_2[[#This Row],[valor_bruto]]&lt;$W$14,"OUTLIER-","")</f>
        <v/>
      </c>
      <c r="R748" s="4"/>
      <c r="S748" s="4"/>
      <c r="AB748" t="str">
        <v>RES-100746</v>
      </c>
      <c r="AC748">
        <v>45705</v>
      </c>
      <c r="AD748">
        <v>0.50138888888888888</v>
      </c>
      <c r="AE748" t="str">
        <v>Centro</v>
      </c>
      <c r="AF748" t="str">
        <v>Recoge</v>
      </c>
      <c r="AG748" t="str">
        <v>Pasta</v>
      </c>
      <c r="AH748">
        <v>5</v>
      </c>
      <c r="AI748">
        <v>64045.06</v>
      </c>
      <c r="AJ748">
        <v>5771.13</v>
      </c>
      <c r="AK748">
        <v>15</v>
      </c>
      <c r="AL748">
        <v>46</v>
      </c>
      <c r="AM748" t="str">
        <v>App</v>
      </c>
      <c r="AN748" t="str">
        <v>Reembolsada</v>
      </c>
      <c r="AO748">
        <v>5</v>
      </c>
    </row>
    <row r="749" spans="1:41" x14ac:dyDescent="0.3">
      <c r="A749" t="s">
        <v>786</v>
      </c>
      <c r="B749" s="8">
        <v>45706</v>
      </c>
      <c r="C749" s="2">
        <v>0.54791666666666672</v>
      </c>
      <c r="D749" t="s">
        <v>33</v>
      </c>
      <c r="E749" t="s">
        <v>16</v>
      </c>
      <c r="F749" t="s">
        <v>29</v>
      </c>
      <c r="G749">
        <v>5</v>
      </c>
      <c r="H749" s="6">
        <v>42040.24</v>
      </c>
      <c r="I749" s="6">
        <v>7193.89</v>
      </c>
      <c r="J749">
        <v>26</v>
      </c>
      <c r="K749">
        <v>34</v>
      </c>
      <c r="L749" t="s">
        <v>18</v>
      </c>
      <c r="M749" t="s">
        <v>19</v>
      </c>
      <c r="N749">
        <v>3</v>
      </c>
      <c r="O749" s="4"/>
      <c r="P749" s="4" t="str">
        <f>IF(Data_Set_2[[#This Row],[valor_bruto]]&gt;$W$13,"OUTLIER+","")</f>
        <v/>
      </c>
      <c r="Q749" s="4" t="str">
        <f>IF(Data_Set_2[[#This Row],[valor_bruto]]&lt;$W$14,"OUTLIER-","")</f>
        <v/>
      </c>
      <c r="R749" s="4"/>
      <c r="S749" s="4"/>
      <c r="AB749" t="str">
        <v>RES-100747</v>
      </c>
      <c r="AC749">
        <v>45706</v>
      </c>
      <c r="AD749">
        <v>0.54791666666666672</v>
      </c>
      <c r="AE749" t="str">
        <v>Envigado</v>
      </c>
      <c r="AF749" t="str">
        <v>Mesa</v>
      </c>
      <c r="AG749" t="str">
        <v>Parrilla</v>
      </c>
      <c r="AH749">
        <v>5</v>
      </c>
      <c r="AI749">
        <v>42040.24</v>
      </c>
      <c r="AJ749">
        <v>7193.89</v>
      </c>
      <c r="AK749">
        <v>26</v>
      </c>
      <c r="AL749">
        <v>34</v>
      </c>
      <c r="AM749" t="str">
        <v>Tarjeta</v>
      </c>
      <c r="AN749" t="str">
        <v>Entregada</v>
      </c>
      <c r="AO749">
        <v>3</v>
      </c>
    </row>
    <row r="750" spans="1:41" x14ac:dyDescent="0.3">
      <c r="A750" t="s">
        <v>787</v>
      </c>
      <c r="B750" s="8">
        <v>45707</v>
      </c>
      <c r="C750" s="2">
        <v>0.59444444444444444</v>
      </c>
      <c r="D750" t="s">
        <v>15</v>
      </c>
      <c r="E750" t="s">
        <v>22</v>
      </c>
      <c r="F750" t="s">
        <v>34</v>
      </c>
      <c r="G750">
        <v>4</v>
      </c>
      <c r="H750" s="6">
        <v>50561.52</v>
      </c>
      <c r="I750" s="6">
        <v>5857.06</v>
      </c>
      <c r="J750">
        <v>17</v>
      </c>
      <c r="K750">
        <v>25</v>
      </c>
      <c r="L750" t="s">
        <v>24</v>
      </c>
      <c r="M750" t="s">
        <v>25</v>
      </c>
      <c r="N750">
        <v>5</v>
      </c>
      <c r="O750" s="4"/>
      <c r="P750" s="4" t="str">
        <f>IF(Data_Set_2[[#This Row],[valor_bruto]]&gt;$W$13,"OUTLIER+","")</f>
        <v/>
      </c>
      <c r="Q750" s="4" t="str">
        <f>IF(Data_Set_2[[#This Row],[valor_bruto]]&lt;$W$14,"OUTLIER-","")</f>
        <v/>
      </c>
      <c r="R750" s="4"/>
      <c r="S750" s="4"/>
      <c r="AB750" t="str">
        <v>RES-100748</v>
      </c>
      <c r="AC750">
        <v>45707</v>
      </c>
      <c r="AD750">
        <v>0.59444444444444444</v>
      </c>
      <c r="AE750" t="str">
        <v>Laureles</v>
      </c>
      <c r="AF750" t="str">
        <v>Domicilio</v>
      </c>
      <c r="AG750" t="str">
        <v>Vegano</v>
      </c>
      <c r="AH750">
        <v>4</v>
      </c>
      <c r="AI750">
        <v>50561.52</v>
      </c>
      <c r="AJ750">
        <v>5857.06</v>
      </c>
      <c r="AK750">
        <v>17</v>
      </c>
      <c r="AL750">
        <v>25</v>
      </c>
      <c r="AM750" t="str">
        <v>Efectivo</v>
      </c>
      <c r="AN750" t="str">
        <v>Cancelada</v>
      </c>
      <c r="AO750">
        <v>5</v>
      </c>
    </row>
    <row r="751" spans="1:41" x14ac:dyDescent="0.3">
      <c r="A751" t="s">
        <v>788</v>
      </c>
      <c r="B751" s="8">
        <v>45708</v>
      </c>
      <c r="C751" s="2">
        <v>0.64097222222222228</v>
      </c>
      <c r="D751" t="s">
        <v>21</v>
      </c>
      <c r="E751" t="s">
        <v>28</v>
      </c>
      <c r="F751" t="s">
        <v>36</v>
      </c>
      <c r="G751">
        <v>6</v>
      </c>
      <c r="H751" s="6">
        <v>45410.59</v>
      </c>
      <c r="I751" s="6">
        <v>3988.33</v>
      </c>
      <c r="J751">
        <v>23</v>
      </c>
      <c r="K751">
        <v>28</v>
      </c>
      <c r="L751" t="s">
        <v>30</v>
      </c>
      <c r="M751" t="s">
        <v>31</v>
      </c>
      <c r="N751">
        <v>4</v>
      </c>
      <c r="O751" s="4"/>
      <c r="P751" s="4" t="str">
        <f>IF(Data_Set_2[[#This Row],[valor_bruto]]&gt;$W$13,"OUTLIER+","")</f>
        <v/>
      </c>
      <c r="Q751" s="4" t="str">
        <f>IF(Data_Set_2[[#This Row],[valor_bruto]]&lt;$W$14,"OUTLIER-","")</f>
        <v/>
      </c>
      <c r="R751" s="4"/>
      <c r="S751" s="4"/>
      <c r="AB751" t="str">
        <v>RES-100749</v>
      </c>
      <c r="AC751">
        <v>45708</v>
      </c>
      <c r="AD751">
        <v>0.64097222222222228</v>
      </c>
      <c r="AE751" t="str">
        <v>Poblado</v>
      </c>
      <c r="AF751" t="str">
        <v>Recoge</v>
      </c>
      <c r="AG751" t="str">
        <v>Bebidas</v>
      </c>
      <c r="AH751">
        <v>6</v>
      </c>
      <c r="AI751">
        <v>45410.59</v>
      </c>
      <c r="AJ751">
        <v>3988.33</v>
      </c>
      <c r="AK751">
        <v>23</v>
      </c>
      <c r="AL751">
        <v>28</v>
      </c>
      <c r="AM751" t="str">
        <v>App</v>
      </c>
      <c r="AN751" t="str">
        <v>Reembolsada</v>
      </c>
      <c r="AO751">
        <v>4</v>
      </c>
    </row>
    <row r="752" spans="1:41" x14ac:dyDescent="0.3">
      <c r="A752" t="s">
        <v>789</v>
      </c>
      <c r="B752" s="8">
        <v>45709</v>
      </c>
      <c r="C752" s="2">
        <v>0.6875</v>
      </c>
      <c r="D752" t="s">
        <v>27</v>
      </c>
      <c r="E752" t="s">
        <v>16</v>
      </c>
      <c r="F752" t="s">
        <v>17</v>
      </c>
      <c r="G752">
        <v>2</v>
      </c>
      <c r="H752" s="6">
        <v>67873.23</v>
      </c>
      <c r="I752" s="6">
        <v>5494.82</v>
      </c>
      <c r="J752">
        <v>26</v>
      </c>
      <c r="K752">
        <v>33</v>
      </c>
      <c r="L752" t="s">
        <v>18</v>
      </c>
      <c r="M752" t="s">
        <v>19</v>
      </c>
      <c r="N752">
        <v>4</v>
      </c>
      <c r="O752" s="4"/>
      <c r="P752" s="4" t="str">
        <f>IF(Data_Set_2[[#This Row],[valor_bruto]]&gt;$W$13,"OUTLIER+","")</f>
        <v/>
      </c>
      <c r="Q752" s="4" t="str">
        <f>IF(Data_Set_2[[#This Row],[valor_bruto]]&lt;$W$14,"OUTLIER-","")</f>
        <v/>
      </c>
      <c r="R752" s="4"/>
      <c r="S752" s="4"/>
      <c r="AB752" t="str">
        <v>RES-100750</v>
      </c>
      <c r="AC752">
        <v>45709</v>
      </c>
      <c r="AD752">
        <v>0.6875</v>
      </c>
      <c r="AE752" t="str">
        <v>Centro</v>
      </c>
      <c r="AF752" t="str">
        <v>Mesa</v>
      </c>
      <c r="AG752" t="str">
        <v>Comida rapida</v>
      </c>
      <c r="AH752">
        <v>2</v>
      </c>
      <c r="AI752">
        <v>67873.23</v>
      </c>
      <c r="AJ752">
        <v>5494.82</v>
      </c>
      <c r="AK752">
        <v>26</v>
      </c>
      <c r="AL752">
        <v>33</v>
      </c>
      <c r="AM752" t="str">
        <v>Tarjeta</v>
      </c>
      <c r="AN752" t="str">
        <v>Entregada</v>
      </c>
      <c r="AO752">
        <v>4</v>
      </c>
    </row>
    <row r="753" spans="1:41" x14ac:dyDescent="0.3">
      <c r="A753" t="s">
        <v>790</v>
      </c>
      <c r="B753" s="8">
        <v>45710</v>
      </c>
      <c r="C753" s="2">
        <v>0.73402777777777772</v>
      </c>
      <c r="D753" t="s">
        <v>33</v>
      </c>
      <c r="E753" t="s">
        <v>22</v>
      </c>
      <c r="F753" t="s">
        <v>23</v>
      </c>
      <c r="G753">
        <v>6</v>
      </c>
      <c r="H753" s="6">
        <v>59230.75</v>
      </c>
      <c r="I753" s="6">
        <v>7187.72</v>
      </c>
      <c r="J753">
        <v>31</v>
      </c>
      <c r="K753">
        <v>33</v>
      </c>
      <c r="L753" t="s">
        <v>24</v>
      </c>
      <c r="M753" t="s">
        <v>25</v>
      </c>
      <c r="N753">
        <v>5</v>
      </c>
      <c r="O753" s="4"/>
      <c r="P753" s="4" t="str">
        <f>IF(Data_Set_2[[#This Row],[valor_bruto]]&gt;$W$13,"OUTLIER+","")</f>
        <v/>
      </c>
      <c r="Q753" s="4" t="str">
        <f>IF(Data_Set_2[[#This Row],[valor_bruto]]&lt;$W$14,"OUTLIER-","")</f>
        <v/>
      </c>
      <c r="R753" s="4"/>
      <c r="S753" s="4"/>
      <c r="AB753" t="str">
        <v>RES-100751</v>
      </c>
      <c r="AC753">
        <v>45710</v>
      </c>
      <c r="AD753">
        <v>0.73402777777777772</v>
      </c>
      <c r="AE753" t="str">
        <v>Envigado</v>
      </c>
      <c r="AF753" t="str">
        <v>Domicilio</v>
      </c>
      <c r="AG753" t="str">
        <v>Pasta</v>
      </c>
      <c r="AH753">
        <v>6</v>
      </c>
      <c r="AI753">
        <v>59230.75</v>
      </c>
      <c r="AJ753">
        <v>7187.72</v>
      </c>
      <c r="AK753">
        <v>31</v>
      </c>
      <c r="AL753">
        <v>33</v>
      </c>
      <c r="AM753" t="str">
        <v>Efectivo</v>
      </c>
      <c r="AN753" t="str">
        <v>Cancelada</v>
      </c>
      <c r="AO753">
        <v>5</v>
      </c>
    </row>
    <row r="754" spans="1:41" x14ac:dyDescent="0.3">
      <c r="A754" t="s">
        <v>791</v>
      </c>
      <c r="B754" s="8">
        <v>45711</v>
      </c>
      <c r="C754" s="2">
        <v>0.78055555555555556</v>
      </c>
      <c r="D754" t="s">
        <v>15</v>
      </c>
      <c r="E754" t="s">
        <v>28</v>
      </c>
      <c r="F754" t="s">
        <v>29</v>
      </c>
      <c r="G754">
        <v>3</v>
      </c>
      <c r="H754" s="6">
        <v>27604.79</v>
      </c>
      <c r="I754" s="6">
        <v>6733.2</v>
      </c>
      <c r="J754">
        <v>17</v>
      </c>
      <c r="K754">
        <v>47</v>
      </c>
      <c r="L754" t="s">
        <v>30</v>
      </c>
      <c r="M754" t="s">
        <v>31</v>
      </c>
      <c r="N754">
        <v>3</v>
      </c>
      <c r="O754" s="4"/>
      <c r="P754" s="4" t="str">
        <f>IF(Data_Set_2[[#This Row],[valor_bruto]]&gt;$W$13,"OUTLIER+","")</f>
        <v/>
      </c>
      <c r="Q754" s="4" t="str">
        <f>IF(Data_Set_2[[#This Row],[valor_bruto]]&lt;$W$14,"OUTLIER-","")</f>
        <v/>
      </c>
      <c r="R754" s="4"/>
      <c r="S754" s="4"/>
      <c r="AB754" t="str">
        <v>RES-100752</v>
      </c>
      <c r="AC754">
        <v>45711</v>
      </c>
      <c r="AD754">
        <v>0.78055555555555556</v>
      </c>
      <c r="AE754" t="str">
        <v>Laureles</v>
      </c>
      <c r="AF754" t="str">
        <v>Recoge</v>
      </c>
      <c r="AG754" t="str">
        <v>Parrilla</v>
      </c>
      <c r="AH754">
        <v>3</v>
      </c>
      <c r="AI754">
        <v>27604.79</v>
      </c>
      <c r="AJ754">
        <v>6733.2</v>
      </c>
      <c r="AK754">
        <v>17</v>
      </c>
      <c r="AL754">
        <v>47</v>
      </c>
      <c r="AM754" t="str">
        <v>App</v>
      </c>
      <c r="AN754" t="str">
        <v>Reembolsada</v>
      </c>
      <c r="AO754">
        <v>3</v>
      </c>
    </row>
    <row r="755" spans="1:41" x14ac:dyDescent="0.3">
      <c r="A755" t="s">
        <v>792</v>
      </c>
      <c r="B755" s="8">
        <v>45712</v>
      </c>
      <c r="C755" s="2">
        <v>0.82708333333333328</v>
      </c>
      <c r="D755" t="s">
        <v>21</v>
      </c>
      <c r="E755" t="s">
        <v>16</v>
      </c>
      <c r="F755" t="s">
        <v>34</v>
      </c>
      <c r="G755">
        <v>2</v>
      </c>
      <c r="H755" s="6">
        <v>39351.65</v>
      </c>
      <c r="I755" s="6">
        <v>5696.3</v>
      </c>
      <c r="J755">
        <v>21</v>
      </c>
      <c r="K755">
        <v>27</v>
      </c>
      <c r="L755" t="s">
        <v>18</v>
      </c>
      <c r="M755" t="s">
        <v>19</v>
      </c>
      <c r="N755">
        <v>4</v>
      </c>
      <c r="O755" s="4"/>
      <c r="P755" s="4" t="str">
        <f>IF(Data_Set_2[[#This Row],[valor_bruto]]&gt;$W$13,"OUTLIER+","")</f>
        <v/>
      </c>
      <c r="Q755" s="4" t="str">
        <f>IF(Data_Set_2[[#This Row],[valor_bruto]]&lt;$W$14,"OUTLIER-","")</f>
        <v/>
      </c>
      <c r="R755" s="4"/>
      <c r="S755" s="4"/>
      <c r="AB755" t="str">
        <v>RES-100753</v>
      </c>
      <c r="AC755">
        <v>45712</v>
      </c>
      <c r="AD755">
        <v>0.82708333333333328</v>
      </c>
      <c r="AE755" t="str">
        <v>Poblado</v>
      </c>
      <c r="AF755" t="str">
        <v>Mesa</v>
      </c>
      <c r="AG755" t="str">
        <v>Vegano</v>
      </c>
      <c r="AH755">
        <v>2</v>
      </c>
      <c r="AI755">
        <v>39351.65</v>
      </c>
      <c r="AJ755">
        <v>5696.3</v>
      </c>
      <c r="AK755">
        <v>21</v>
      </c>
      <c r="AL755">
        <v>27</v>
      </c>
      <c r="AM755" t="str">
        <v>Tarjeta</v>
      </c>
      <c r="AN755" t="str">
        <v>Entregada</v>
      </c>
      <c r="AO755">
        <v>4</v>
      </c>
    </row>
    <row r="756" spans="1:41" x14ac:dyDescent="0.3">
      <c r="A756" t="s">
        <v>793</v>
      </c>
      <c r="B756" s="8">
        <v>45713</v>
      </c>
      <c r="C756" s="2">
        <v>0.87361111111111112</v>
      </c>
      <c r="D756" t="s">
        <v>27</v>
      </c>
      <c r="E756" t="s">
        <v>22</v>
      </c>
      <c r="F756" t="s">
        <v>36</v>
      </c>
      <c r="G756">
        <v>3</v>
      </c>
      <c r="H756" s="6">
        <v>30926.21</v>
      </c>
      <c r="I756" s="6">
        <v>3876.81</v>
      </c>
      <c r="J756">
        <v>20</v>
      </c>
      <c r="K756">
        <v>42</v>
      </c>
      <c r="L756" t="s">
        <v>24</v>
      </c>
      <c r="M756" t="s">
        <v>25</v>
      </c>
      <c r="N756">
        <v>3</v>
      </c>
      <c r="O756" s="4"/>
      <c r="P756" s="4" t="str">
        <f>IF(Data_Set_2[[#This Row],[valor_bruto]]&gt;$W$13,"OUTLIER+","")</f>
        <v/>
      </c>
      <c r="Q756" s="4" t="str">
        <f>IF(Data_Set_2[[#This Row],[valor_bruto]]&lt;$W$14,"OUTLIER-","")</f>
        <v/>
      </c>
      <c r="R756" s="4"/>
      <c r="S756" s="4"/>
      <c r="AB756" t="str">
        <v>RES-100754</v>
      </c>
      <c r="AC756">
        <v>45713</v>
      </c>
      <c r="AD756">
        <v>0.87361111111111112</v>
      </c>
      <c r="AE756" t="str">
        <v>Centro</v>
      </c>
      <c r="AF756" t="str">
        <v>Domicilio</v>
      </c>
      <c r="AG756" t="str">
        <v>Bebidas</v>
      </c>
      <c r="AH756">
        <v>3</v>
      </c>
      <c r="AI756">
        <v>30926.21</v>
      </c>
      <c r="AJ756">
        <v>3876.81</v>
      </c>
      <c r="AK756">
        <v>20</v>
      </c>
      <c r="AL756">
        <v>42</v>
      </c>
      <c r="AM756" t="str">
        <v>Efectivo</v>
      </c>
      <c r="AN756" t="str">
        <v>Cancelada</v>
      </c>
      <c r="AO756">
        <v>3</v>
      </c>
    </row>
    <row r="757" spans="1:41" x14ac:dyDescent="0.3">
      <c r="A757" t="s">
        <v>794</v>
      </c>
      <c r="B757" s="8">
        <v>45714</v>
      </c>
      <c r="C757" s="2">
        <v>0.87847222222222221</v>
      </c>
      <c r="D757" t="s">
        <v>33</v>
      </c>
      <c r="E757" t="s">
        <v>28</v>
      </c>
      <c r="F757" t="s">
        <v>17</v>
      </c>
      <c r="G757">
        <v>2</v>
      </c>
      <c r="H757" s="6">
        <v>50601.85</v>
      </c>
      <c r="I757" s="6">
        <v>4040.85</v>
      </c>
      <c r="J757">
        <v>23</v>
      </c>
      <c r="K757">
        <v>30</v>
      </c>
      <c r="L757" t="s">
        <v>30</v>
      </c>
      <c r="M757" t="s">
        <v>31</v>
      </c>
      <c r="N757">
        <v>5</v>
      </c>
      <c r="O757" s="4"/>
      <c r="P757" s="4" t="str">
        <f>IF(Data_Set_2[[#This Row],[valor_bruto]]&gt;$W$13,"OUTLIER+","")</f>
        <v/>
      </c>
      <c r="Q757" s="4" t="str">
        <f>IF(Data_Set_2[[#This Row],[valor_bruto]]&lt;$W$14,"OUTLIER-","")</f>
        <v/>
      </c>
      <c r="R757" s="4"/>
      <c r="S757" s="4"/>
      <c r="AB757" t="str">
        <v>RES-100755</v>
      </c>
      <c r="AC757">
        <v>45714</v>
      </c>
      <c r="AD757">
        <v>0.87847222222222221</v>
      </c>
      <c r="AE757" t="str">
        <v>Envigado</v>
      </c>
      <c r="AF757" t="str">
        <v>Recoge</v>
      </c>
      <c r="AG757" t="str">
        <v>Comida rapida</v>
      </c>
      <c r="AH757">
        <v>2</v>
      </c>
      <c r="AI757">
        <v>50601.85</v>
      </c>
      <c r="AJ757">
        <v>4040.85</v>
      </c>
      <c r="AK757">
        <v>23</v>
      </c>
      <c r="AL757">
        <v>30</v>
      </c>
      <c r="AM757" t="str">
        <v>App</v>
      </c>
      <c r="AN757" t="str">
        <v>Reembolsada</v>
      </c>
      <c r="AO757">
        <v>5</v>
      </c>
    </row>
    <row r="758" spans="1:41" x14ac:dyDescent="0.3">
      <c r="A758" t="s">
        <v>795</v>
      </c>
      <c r="B758" s="8">
        <v>45715</v>
      </c>
      <c r="C758" s="2">
        <v>0.42499999999999999</v>
      </c>
      <c r="D758" t="s">
        <v>15</v>
      </c>
      <c r="E758" t="s">
        <v>16</v>
      </c>
      <c r="F758" t="s">
        <v>23</v>
      </c>
      <c r="G758">
        <v>3</v>
      </c>
      <c r="H758" s="6">
        <v>31201.42</v>
      </c>
      <c r="I758" s="6">
        <v>3947.16</v>
      </c>
      <c r="J758">
        <v>14</v>
      </c>
      <c r="K758">
        <v>48</v>
      </c>
      <c r="L758" t="s">
        <v>18</v>
      </c>
      <c r="M758" t="s">
        <v>19</v>
      </c>
      <c r="N758">
        <v>4</v>
      </c>
      <c r="O758" s="4"/>
      <c r="P758" s="4" t="str">
        <f>IF(Data_Set_2[[#This Row],[valor_bruto]]&gt;$W$13,"OUTLIER+","")</f>
        <v/>
      </c>
      <c r="Q758" s="4" t="str">
        <f>IF(Data_Set_2[[#This Row],[valor_bruto]]&lt;$W$14,"OUTLIER-","")</f>
        <v/>
      </c>
      <c r="R758" s="4"/>
      <c r="S758" s="4"/>
      <c r="AB758" t="str">
        <v>RES-100756</v>
      </c>
      <c r="AC758">
        <v>45715</v>
      </c>
      <c r="AD758">
        <v>0.42499999999999999</v>
      </c>
      <c r="AE758" t="str">
        <v>Laureles</v>
      </c>
      <c r="AF758" t="str">
        <v>Mesa</v>
      </c>
      <c r="AG758" t="str">
        <v>Pasta</v>
      </c>
      <c r="AH758">
        <v>3</v>
      </c>
      <c r="AI758">
        <v>31201.42</v>
      </c>
      <c r="AJ758">
        <v>3947.16</v>
      </c>
      <c r="AK758">
        <v>14</v>
      </c>
      <c r="AL758">
        <v>48</v>
      </c>
      <c r="AM758" t="str">
        <v>Tarjeta</v>
      </c>
      <c r="AN758" t="str">
        <v>Entregada</v>
      </c>
      <c r="AO758">
        <v>4</v>
      </c>
    </row>
    <row r="759" spans="1:41" x14ac:dyDescent="0.3">
      <c r="A759" t="s">
        <v>796</v>
      </c>
      <c r="B759" s="8">
        <v>45716</v>
      </c>
      <c r="C759" s="2">
        <v>0.47152777777777777</v>
      </c>
      <c r="D759" t="s">
        <v>21</v>
      </c>
      <c r="E759" t="s">
        <v>22</v>
      </c>
      <c r="F759" t="s">
        <v>29</v>
      </c>
      <c r="G759">
        <v>4</v>
      </c>
      <c r="H759" s="6">
        <v>38174.01</v>
      </c>
      <c r="I759" s="6">
        <v>5458.17</v>
      </c>
      <c r="J759">
        <v>17</v>
      </c>
      <c r="K759">
        <v>35</v>
      </c>
      <c r="L759" t="s">
        <v>24</v>
      </c>
      <c r="M759" t="s">
        <v>25</v>
      </c>
      <c r="N759">
        <v>5</v>
      </c>
      <c r="O759" s="4"/>
      <c r="P759" s="4" t="str">
        <f>IF(Data_Set_2[[#This Row],[valor_bruto]]&gt;$W$13,"OUTLIER+","")</f>
        <v/>
      </c>
      <c r="Q759" s="4" t="str">
        <f>IF(Data_Set_2[[#This Row],[valor_bruto]]&lt;$W$14,"OUTLIER-","")</f>
        <v/>
      </c>
      <c r="R759" s="4"/>
      <c r="S759" s="4"/>
      <c r="AB759" t="str">
        <v>RES-100757</v>
      </c>
      <c r="AC759">
        <v>45716</v>
      </c>
      <c r="AD759">
        <v>0.47152777777777777</v>
      </c>
      <c r="AE759" t="str">
        <v>Poblado</v>
      </c>
      <c r="AF759" t="str">
        <v>Domicilio</v>
      </c>
      <c r="AG759" t="str">
        <v>Parrilla</v>
      </c>
      <c r="AH759">
        <v>4</v>
      </c>
      <c r="AI759">
        <v>38174.01</v>
      </c>
      <c r="AJ759">
        <v>5458.17</v>
      </c>
      <c r="AK759">
        <v>17</v>
      </c>
      <c r="AL759">
        <v>35</v>
      </c>
      <c r="AM759" t="str">
        <v>Efectivo</v>
      </c>
      <c r="AN759" t="str">
        <v>Cancelada</v>
      </c>
      <c r="AO759">
        <v>5</v>
      </c>
    </row>
    <row r="760" spans="1:41" x14ac:dyDescent="0.3">
      <c r="A760" t="s">
        <v>797</v>
      </c>
      <c r="B760" s="8">
        <v>45660</v>
      </c>
      <c r="C760" s="2">
        <v>0.5180555555555556</v>
      </c>
      <c r="D760" t="s">
        <v>27</v>
      </c>
      <c r="E760" t="s">
        <v>28</v>
      </c>
      <c r="F760" t="s">
        <v>34</v>
      </c>
      <c r="G760">
        <v>4</v>
      </c>
      <c r="H760" s="6">
        <v>51946.93</v>
      </c>
      <c r="I760" s="6">
        <v>4940.74</v>
      </c>
      <c r="J760">
        <v>20</v>
      </c>
      <c r="K760">
        <v>53</v>
      </c>
      <c r="L760" t="s">
        <v>30</v>
      </c>
      <c r="M760" t="s">
        <v>31</v>
      </c>
      <c r="N760">
        <v>5</v>
      </c>
      <c r="O760" s="4"/>
      <c r="P760" s="4" t="str">
        <f>IF(Data_Set_2[[#This Row],[valor_bruto]]&gt;$W$13,"OUTLIER+","")</f>
        <v/>
      </c>
      <c r="Q760" s="4" t="str">
        <f>IF(Data_Set_2[[#This Row],[valor_bruto]]&lt;$W$14,"OUTLIER-","")</f>
        <v/>
      </c>
      <c r="R760" s="4"/>
      <c r="S760" s="4"/>
      <c r="AB760" t="str">
        <v>RES-100758</v>
      </c>
      <c r="AC760">
        <v>45660</v>
      </c>
      <c r="AD760">
        <v>0.5180555555555556</v>
      </c>
      <c r="AE760" t="str">
        <v>Centro</v>
      </c>
      <c r="AF760" t="str">
        <v>Recoge</v>
      </c>
      <c r="AG760" t="str">
        <v>Vegano</v>
      </c>
      <c r="AH760">
        <v>4</v>
      </c>
      <c r="AI760">
        <v>51946.93</v>
      </c>
      <c r="AJ760">
        <v>4940.74</v>
      </c>
      <c r="AK760">
        <v>20</v>
      </c>
      <c r="AL760">
        <v>53</v>
      </c>
      <c r="AM760" t="str">
        <v>App</v>
      </c>
      <c r="AN760" t="str">
        <v>Reembolsada</v>
      </c>
      <c r="AO760">
        <v>5</v>
      </c>
    </row>
    <row r="761" spans="1:41" x14ac:dyDescent="0.3">
      <c r="A761" t="s">
        <v>798</v>
      </c>
      <c r="B761" s="8">
        <v>45718</v>
      </c>
      <c r="C761" s="2">
        <v>0.56458333333333333</v>
      </c>
      <c r="D761" t="s">
        <v>33</v>
      </c>
      <c r="E761" t="s">
        <v>16</v>
      </c>
      <c r="F761" t="s">
        <v>36</v>
      </c>
      <c r="G761">
        <v>3</v>
      </c>
      <c r="H761" s="6">
        <v>62629.19</v>
      </c>
      <c r="I761" s="6">
        <v>4377.46</v>
      </c>
      <c r="J761">
        <v>13</v>
      </c>
      <c r="K761">
        <v>49</v>
      </c>
      <c r="L761" t="s">
        <v>18</v>
      </c>
      <c r="M761" t="s">
        <v>19</v>
      </c>
      <c r="N761">
        <v>5</v>
      </c>
      <c r="O761" s="4"/>
      <c r="P761" s="4" t="str">
        <f>IF(Data_Set_2[[#This Row],[valor_bruto]]&gt;$W$13,"OUTLIER+","")</f>
        <v/>
      </c>
      <c r="Q761" s="4" t="str">
        <f>IF(Data_Set_2[[#This Row],[valor_bruto]]&lt;$W$14,"OUTLIER-","")</f>
        <v/>
      </c>
      <c r="R761" s="4"/>
      <c r="S761" s="4"/>
      <c r="AB761" t="str">
        <v>RES-100759</v>
      </c>
      <c r="AC761">
        <v>45718</v>
      </c>
      <c r="AD761">
        <v>0.56458333333333333</v>
      </c>
      <c r="AE761" t="str">
        <v>Envigado</v>
      </c>
      <c r="AF761" t="str">
        <v>Mesa</v>
      </c>
      <c r="AG761" t="str">
        <v>Bebidas</v>
      </c>
      <c r="AH761">
        <v>3</v>
      </c>
      <c r="AI761">
        <v>62629.19</v>
      </c>
      <c r="AJ761">
        <v>4377.46</v>
      </c>
      <c r="AK761">
        <v>13</v>
      </c>
      <c r="AL761">
        <v>49</v>
      </c>
      <c r="AM761" t="str">
        <v>Tarjeta</v>
      </c>
      <c r="AN761" t="str">
        <v>Entregada</v>
      </c>
      <c r="AO761">
        <v>5</v>
      </c>
    </row>
    <row r="762" spans="1:41" x14ac:dyDescent="0.3">
      <c r="A762" t="s">
        <v>799</v>
      </c>
      <c r="B762" s="8">
        <v>45719</v>
      </c>
      <c r="C762" s="2">
        <v>0.61111111111111116</v>
      </c>
      <c r="D762" t="s">
        <v>15</v>
      </c>
      <c r="E762" t="s">
        <v>22</v>
      </c>
      <c r="F762" t="s">
        <v>17</v>
      </c>
      <c r="G762">
        <v>3</v>
      </c>
      <c r="H762" s="6">
        <v>52888.02</v>
      </c>
      <c r="I762" s="6">
        <v>4090.19</v>
      </c>
      <c r="J762">
        <v>14</v>
      </c>
      <c r="K762">
        <v>51</v>
      </c>
      <c r="L762" t="s">
        <v>24</v>
      </c>
      <c r="M762" t="s">
        <v>25</v>
      </c>
      <c r="N762">
        <v>5</v>
      </c>
      <c r="O762" s="4"/>
      <c r="P762" s="4" t="str">
        <f>IF(Data_Set_2[[#This Row],[valor_bruto]]&gt;$W$13,"OUTLIER+","")</f>
        <v/>
      </c>
      <c r="Q762" s="4" t="str">
        <f>IF(Data_Set_2[[#This Row],[valor_bruto]]&lt;$W$14,"OUTLIER-","")</f>
        <v/>
      </c>
      <c r="R762" s="4"/>
      <c r="S762" s="4"/>
      <c r="AB762" t="str">
        <v>RES-100760</v>
      </c>
      <c r="AC762">
        <v>45719</v>
      </c>
      <c r="AD762">
        <v>0.61111111111111116</v>
      </c>
      <c r="AE762" t="str">
        <v>Laureles</v>
      </c>
      <c r="AF762" t="str">
        <v>Domicilio</v>
      </c>
      <c r="AG762" t="str">
        <v>Comida rapida</v>
      </c>
      <c r="AH762">
        <v>3</v>
      </c>
      <c r="AI762">
        <v>52888.02</v>
      </c>
      <c r="AJ762">
        <v>4090.19</v>
      </c>
      <c r="AK762">
        <v>14</v>
      </c>
      <c r="AL762">
        <v>51</v>
      </c>
      <c r="AM762" t="str">
        <v>Efectivo</v>
      </c>
      <c r="AN762" t="str">
        <v>Cancelada</v>
      </c>
      <c r="AO762">
        <v>5</v>
      </c>
    </row>
    <row r="763" spans="1:41" x14ac:dyDescent="0.3">
      <c r="A763" t="s">
        <v>800</v>
      </c>
      <c r="B763" s="8">
        <v>45750</v>
      </c>
      <c r="C763" s="2">
        <v>0.65763888888888888</v>
      </c>
      <c r="D763" t="s">
        <v>21</v>
      </c>
      <c r="E763" t="s">
        <v>28</v>
      </c>
      <c r="F763" t="s">
        <v>23</v>
      </c>
      <c r="G763">
        <v>4</v>
      </c>
      <c r="H763" s="6">
        <v>66254.320000000007</v>
      </c>
      <c r="I763" s="6">
        <v>7658.66</v>
      </c>
      <c r="J763">
        <v>23</v>
      </c>
      <c r="K763">
        <v>42</v>
      </c>
      <c r="L763" t="s">
        <v>30</v>
      </c>
      <c r="M763" t="s">
        <v>31</v>
      </c>
      <c r="N763">
        <v>5</v>
      </c>
      <c r="O763" s="4"/>
      <c r="P763" s="4" t="str">
        <f>IF(Data_Set_2[[#This Row],[valor_bruto]]&gt;$W$13,"OUTLIER+","")</f>
        <v/>
      </c>
      <c r="Q763" s="4" t="str">
        <f>IF(Data_Set_2[[#This Row],[valor_bruto]]&lt;$W$14,"OUTLIER-","")</f>
        <v/>
      </c>
      <c r="R763" s="4"/>
      <c r="S763" s="4"/>
      <c r="AB763" t="str">
        <v>RES-100761</v>
      </c>
      <c r="AC763">
        <v>45750</v>
      </c>
      <c r="AD763">
        <v>0.65763888888888888</v>
      </c>
      <c r="AE763" t="str">
        <v>Poblado</v>
      </c>
      <c r="AF763" t="str">
        <v>Recoge</v>
      </c>
      <c r="AG763" t="str">
        <v>Pasta</v>
      </c>
      <c r="AH763">
        <v>4</v>
      </c>
      <c r="AI763">
        <v>66254.320000000007</v>
      </c>
      <c r="AJ763">
        <v>7658.66</v>
      </c>
      <c r="AK763">
        <v>23</v>
      </c>
      <c r="AL763">
        <v>42</v>
      </c>
      <c r="AM763" t="str">
        <v>App</v>
      </c>
      <c r="AN763" t="str">
        <v>Reembolsada</v>
      </c>
      <c r="AO763">
        <v>5</v>
      </c>
    </row>
    <row r="764" spans="1:41" x14ac:dyDescent="0.3">
      <c r="A764" t="s">
        <v>801</v>
      </c>
      <c r="B764" s="8">
        <v>45721</v>
      </c>
      <c r="C764" s="2">
        <v>0.70416666666666672</v>
      </c>
      <c r="D764" t="s">
        <v>27</v>
      </c>
      <c r="E764" t="s">
        <v>16</v>
      </c>
      <c r="F764" t="s">
        <v>29</v>
      </c>
      <c r="G764">
        <v>5</v>
      </c>
      <c r="H764" s="6">
        <v>33857.019999999997</v>
      </c>
      <c r="I764" s="6">
        <v>4188.43</v>
      </c>
      <c r="J764">
        <v>27</v>
      </c>
      <c r="K764">
        <v>43</v>
      </c>
      <c r="L764" t="s">
        <v>18</v>
      </c>
      <c r="M764" t="s">
        <v>19</v>
      </c>
      <c r="N764">
        <v>5</v>
      </c>
      <c r="O764" s="4"/>
      <c r="P764" s="4" t="str">
        <f>IF(Data_Set_2[[#This Row],[valor_bruto]]&gt;$W$13,"OUTLIER+","")</f>
        <v/>
      </c>
      <c r="Q764" s="4" t="str">
        <f>IF(Data_Set_2[[#This Row],[valor_bruto]]&lt;$W$14,"OUTLIER-","")</f>
        <v/>
      </c>
      <c r="R764" s="4"/>
      <c r="S764" s="4"/>
      <c r="AB764" t="str">
        <v>RES-100762</v>
      </c>
      <c r="AC764">
        <v>45721</v>
      </c>
      <c r="AD764">
        <v>0.70416666666666672</v>
      </c>
      <c r="AE764" t="str">
        <v>Centro</v>
      </c>
      <c r="AF764" t="str">
        <v>Mesa</v>
      </c>
      <c r="AG764" t="str">
        <v>Parrilla</v>
      </c>
      <c r="AH764">
        <v>5</v>
      </c>
      <c r="AI764">
        <v>33857.019999999997</v>
      </c>
      <c r="AJ764">
        <v>4188.43</v>
      </c>
      <c r="AK764">
        <v>27</v>
      </c>
      <c r="AL764">
        <v>43</v>
      </c>
      <c r="AM764" t="str">
        <v>Tarjeta</v>
      </c>
      <c r="AN764" t="str">
        <v>Entregada</v>
      </c>
      <c r="AO764">
        <v>5</v>
      </c>
    </row>
    <row r="765" spans="1:41" x14ac:dyDescent="0.3">
      <c r="A765" t="s">
        <v>802</v>
      </c>
      <c r="B765" s="8">
        <v>45722</v>
      </c>
      <c r="C765" s="2">
        <v>0.70902777777777781</v>
      </c>
      <c r="D765" t="s">
        <v>33</v>
      </c>
      <c r="E765" t="s">
        <v>22</v>
      </c>
      <c r="F765" t="s">
        <v>34</v>
      </c>
      <c r="G765">
        <v>3</v>
      </c>
      <c r="H765" s="6">
        <v>49886.080000000002</v>
      </c>
      <c r="I765" s="6">
        <v>2590.2600000000002</v>
      </c>
      <c r="J765">
        <v>22</v>
      </c>
      <c r="K765">
        <v>52</v>
      </c>
      <c r="L765" t="s">
        <v>24</v>
      </c>
      <c r="M765" t="s">
        <v>25</v>
      </c>
      <c r="N765">
        <v>3</v>
      </c>
      <c r="O765" s="4"/>
      <c r="P765" s="4" t="str">
        <f>IF(Data_Set_2[[#This Row],[valor_bruto]]&gt;$W$13,"OUTLIER+","")</f>
        <v/>
      </c>
      <c r="Q765" s="4" t="str">
        <f>IF(Data_Set_2[[#This Row],[valor_bruto]]&lt;$W$14,"OUTLIER-","")</f>
        <v/>
      </c>
      <c r="R765" s="4"/>
      <c r="S765" s="4"/>
      <c r="AB765" t="str">
        <v>RES-100763</v>
      </c>
      <c r="AC765">
        <v>45722</v>
      </c>
      <c r="AD765">
        <v>0.70902777777777781</v>
      </c>
      <c r="AE765" t="str">
        <v>Envigado</v>
      </c>
      <c r="AF765" t="str">
        <v>Domicilio</v>
      </c>
      <c r="AG765" t="str">
        <v>Vegano</v>
      </c>
      <c r="AH765">
        <v>3</v>
      </c>
      <c r="AI765">
        <v>49886.080000000002</v>
      </c>
      <c r="AJ765">
        <v>2590.2600000000002</v>
      </c>
      <c r="AK765">
        <v>22</v>
      </c>
      <c r="AL765">
        <v>52</v>
      </c>
      <c r="AM765" t="str">
        <v>Efectivo</v>
      </c>
      <c r="AN765" t="str">
        <v>Cancelada</v>
      </c>
      <c r="AO765">
        <v>3</v>
      </c>
    </row>
    <row r="766" spans="1:41" x14ac:dyDescent="0.3">
      <c r="A766" t="s">
        <v>803</v>
      </c>
      <c r="B766" s="8">
        <v>45841</v>
      </c>
      <c r="C766" s="2">
        <v>0.75555555555555554</v>
      </c>
      <c r="D766" t="s">
        <v>15</v>
      </c>
      <c r="E766" t="s">
        <v>28</v>
      </c>
      <c r="F766" t="s">
        <v>36</v>
      </c>
      <c r="G766">
        <v>4</v>
      </c>
      <c r="H766" s="6">
        <v>47545.91</v>
      </c>
      <c r="I766" s="6">
        <v>1567.5</v>
      </c>
      <c r="J766">
        <v>17</v>
      </c>
      <c r="K766">
        <v>34</v>
      </c>
      <c r="L766" t="s">
        <v>30</v>
      </c>
      <c r="M766" t="s">
        <v>31</v>
      </c>
      <c r="N766">
        <v>5</v>
      </c>
      <c r="O766" s="4"/>
      <c r="P766" s="4" t="str">
        <f>IF(Data_Set_2[[#This Row],[valor_bruto]]&gt;$W$13,"OUTLIER+","")</f>
        <v/>
      </c>
      <c r="Q766" s="4" t="str">
        <f>IF(Data_Set_2[[#This Row],[valor_bruto]]&lt;$W$14,"OUTLIER-","")</f>
        <v/>
      </c>
      <c r="R766" s="4"/>
      <c r="S766" s="4"/>
      <c r="AB766" t="str">
        <v>RES-100764</v>
      </c>
      <c r="AC766">
        <v>45841</v>
      </c>
      <c r="AD766">
        <v>0.75555555555555554</v>
      </c>
      <c r="AE766" t="str">
        <v>Laureles</v>
      </c>
      <c r="AF766" t="str">
        <v>Recoge</v>
      </c>
      <c r="AG766" t="str">
        <v>Bebidas</v>
      </c>
      <c r="AH766">
        <v>4</v>
      </c>
      <c r="AI766">
        <v>47545.91</v>
      </c>
      <c r="AJ766">
        <v>1567.5</v>
      </c>
      <c r="AK766">
        <v>17</v>
      </c>
      <c r="AL766">
        <v>34</v>
      </c>
      <c r="AM766" t="str">
        <v>App</v>
      </c>
      <c r="AN766" t="str">
        <v>Reembolsada</v>
      </c>
      <c r="AO766">
        <v>5</v>
      </c>
    </row>
    <row r="767" spans="1:41" x14ac:dyDescent="0.3">
      <c r="A767" t="s">
        <v>804</v>
      </c>
      <c r="B767" s="8">
        <v>45724</v>
      </c>
      <c r="C767" s="2">
        <v>0.80208333333333337</v>
      </c>
      <c r="D767" t="s">
        <v>21</v>
      </c>
      <c r="E767" t="s">
        <v>16</v>
      </c>
      <c r="F767" t="s">
        <v>17</v>
      </c>
      <c r="G767">
        <v>4</v>
      </c>
      <c r="H767" s="6">
        <v>62425.49</v>
      </c>
      <c r="I767" s="6">
        <v>7338.14</v>
      </c>
      <c r="J767">
        <v>27</v>
      </c>
      <c r="K767">
        <v>47</v>
      </c>
      <c r="L767" t="s">
        <v>18</v>
      </c>
      <c r="M767" t="s">
        <v>19</v>
      </c>
      <c r="N767">
        <v>5</v>
      </c>
      <c r="O767" s="4"/>
      <c r="P767" s="4" t="str">
        <f>IF(Data_Set_2[[#This Row],[valor_bruto]]&gt;$W$13,"OUTLIER+","")</f>
        <v/>
      </c>
      <c r="Q767" s="4" t="str">
        <f>IF(Data_Set_2[[#This Row],[valor_bruto]]&lt;$W$14,"OUTLIER-","")</f>
        <v/>
      </c>
      <c r="R767" s="4"/>
      <c r="S767" s="4"/>
      <c r="AB767" t="str">
        <v>RES-100765</v>
      </c>
      <c r="AC767">
        <v>45724</v>
      </c>
      <c r="AD767">
        <v>0.80208333333333337</v>
      </c>
      <c r="AE767" t="str">
        <v>Poblado</v>
      </c>
      <c r="AF767" t="str">
        <v>Mesa</v>
      </c>
      <c r="AG767" t="str">
        <v>Comida rapida</v>
      </c>
      <c r="AH767">
        <v>4</v>
      </c>
      <c r="AI767">
        <v>62425.49</v>
      </c>
      <c r="AJ767">
        <v>7338.14</v>
      </c>
      <c r="AK767">
        <v>27</v>
      </c>
      <c r="AL767">
        <v>47</v>
      </c>
      <c r="AM767" t="str">
        <v>Tarjeta</v>
      </c>
      <c r="AN767" t="str">
        <v>Entregada</v>
      </c>
      <c r="AO767">
        <v>5</v>
      </c>
    </row>
    <row r="768" spans="1:41" x14ac:dyDescent="0.3">
      <c r="A768" t="s">
        <v>805</v>
      </c>
      <c r="B768" s="8">
        <v>45725</v>
      </c>
      <c r="C768" s="2">
        <v>0.84861111111111109</v>
      </c>
      <c r="D768" t="s">
        <v>27</v>
      </c>
      <c r="E768" t="s">
        <v>22</v>
      </c>
      <c r="F768" t="s">
        <v>23</v>
      </c>
      <c r="G768">
        <v>6</v>
      </c>
      <c r="H768" s="6">
        <v>41124.78</v>
      </c>
      <c r="I768" s="6">
        <v>6755.55</v>
      </c>
      <c r="J768">
        <v>13</v>
      </c>
      <c r="K768">
        <v>31</v>
      </c>
      <c r="L768" t="s">
        <v>24</v>
      </c>
      <c r="M768" t="s">
        <v>25</v>
      </c>
      <c r="N768">
        <v>5</v>
      </c>
      <c r="O768" s="4"/>
      <c r="P768" s="4" t="str">
        <f>IF(Data_Set_2[[#This Row],[valor_bruto]]&gt;$W$13,"OUTLIER+","")</f>
        <v/>
      </c>
      <c r="Q768" s="4" t="str">
        <f>IF(Data_Set_2[[#This Row],[valor_bruto]]&lt;$W$14,"OUTLIER-","")</f>
        <v/>
      </c>
      <c r="R768" s="4"/>
      <c r="S768" s="4"/>
      <c r="AB768" t="str">
        <v>RES-100766</v>
      </c>
      <c r="AC768">
        <v>45725</v>
      </c>
      <c r="AD768">
        <v>0.84861111111111109</v>
      </c>
      <c r="AE768" t="str">
        <v>Centro</v>
      </c>
      <c r="AF768" t="str">
        <v>Domicilio</v>
      </c>
      <c r="AG768" t="str">
        <v>Pasta</v>
      </c>
      <c r="AH768">
        <v>6</v>
      </c>
      <c r="AI768">
        <v>41124.78</v>
      </c>
      <c r="AJ768">
        <v>6755.55</v>
      </c>
      <c r="AK768">
        <v>13</v>
      </c>
      <c r="AL768">
        <v>31</v>
      </c>
      <c r="AM768" t="str">
        <v>Efectivo</v>
      </c>
      <c r="AN768" t="str">
        <v>Cancelada</v>
      </c>
      <c r="AO768">
        <v>5</v>
      </c>
    </row>
    <row r="769" spans="1:41" x14ac:dyDescent="0.3">
      <c r="A769" t="s">
        <v>806</v>
      </c>
      <c r="B769" s="8">
        <v>45933</v>
      </c>
      <c r="C769" s="2">
        <v>0.89513888888888893</v>
      </c>
      <c r="D769" t="s">
        <v>33</v>
      </c>
      <c r="E769" t="s">
        <v>28</v>
      </c>
      <c r="F769" t="s">
        <v>29</v>
      </c>
      <c r="G769">
        <v>5</v>
      </c>
      <c r="H769" s="6">
        <v>26473.75</v>
      </c>
      <c r="I769" s="6">
        <v>5452.92</v>
      </c>
      <c r="J769">
        <v>23</v>
      </c>
      <c r="K769">
        <v>39</v>
      </c>
      <c r="L769" t="s">
        <v>30</v>
      </c>
      <c r="M769" t="s">
        <v>31</v>
      </c>
      <c r="N769">
        <v>5</v>
      </c>
      <c r="O769" s="4"/>
      <c r="P769" s="4" t="str">
        <f>IF(Data_Set_2[[#This Row],[valor_bruto]]&gt;$W$13,"OUTLIER+","")</f>
        <v/>
      </c>
      <c r="Q769" s="4" t="str">
        <f>IF(Data_Set_2[[#This Row],[valor_bruto]]&lt;$W$14,"OUTLIER-","")</f>
        <v/>
      </c>
      <c r="R769" s="4"/>
      <c r="S769" s="4"/>
      <c r="AB769" t="str">
        <v>RES-100767</v>
      </c>
      <c r="AC769">
        <v>45933</v>
      </c>
      <c r="AD769">
        <v>0.89513888888888893</v>
      </c>
      <c r="AE769" t="str">
        <v>Envigado</v>
      </c>
      <c r="AF769" t="str">
        <v>Recoge</v>
      </c>
      <c r="AG769" t="str">
        <v>Parrilla</v>
      </c>
      <c r="AH769">
        <v>5</v>
      </c>
      <c r="AI769">
        <v>26473.75</v>
      </c>
      <c r="AJ769">
        <v>5452.92</v>
      </c>
      <c r="AK769">
        <v>23</v>
      </c>
      <c r="AL769">
        <v>39</v>
      </c>
      <c r="AM769" t="str">
        <v>App</v>
      </c>
      <c r="AN769" t="str">
        <v>Reembolsada</v>
      </c>
      <c r="AO769">
        <v>5</v>
      </c>
    </row>
    <row r="770" spans="1:41" x14ac:dyDescent="0.3">
      <c r="A770" t="s">
        <v>807</v>
      </c>
      <c r="B770" s="8">
        <v>45727</v>
      </c>
      <c r="C770" s="2">
        <v>0.44166666666666665</v>
      </c>
      <c r="D770" t="s">
        <v>15</v>
      </c>
      <c r="E770" t="s">
        <v>16</v>
      </c>
      <c r="F770" t="s">
        <v>34</v>
      </c>
      <c r="G770">
        <v>4</v>
      </c>
      <c r="H770" s="6">
        <v>69559.429999999993</v>
      </c>
      <c r="I770" s="6">
        <v>5751.14</v>
      </c>
      <c r="J770">
        <v>17</v>
      </c>
      <c r="K770">
        <v>34</v>
      </c>
      <c r="L770" t="s">
        <v>18</v>
      </c>
      <c r="M770" t="s">
        <v>19</v>
      </c>
      <c r="N770">
        <v>3</v>
      </c>
      <c r="O770" s="4"/>
      <c r="P770" s="4" t="str">
        <f>IF(Data_Set_2[[#This Row],[valor_bruto]]&gt;$W$13,"OUTLIER+","")</f>
        <v/>
      </c>
      <c r="Q770" s="4" t="str">
        <f>IF(Data_Set_2[[#This Row],[valor_bruto]]&lt;$W$14,"OUTLIER-","")</f>
        <v/>
      </c>
      <c r="R770" s="4"/>
      <c r="S770" s="4"/>
      <c r="AB770" t="str">
        <v>RES-100768</v>
      </c>
      <c r="AC770">
        <v>45727</v>
      </c>
      <c r="AD770">
        <v>0.44166666666666665</v>
      </c>
      <c r="AE770" t="str">
        <v>Laureles</v>
      </c>
      <c r="AF770" t="str">
        <v>Mesa</v>
      </c>
      <c r="AG770" t="str">
        <v>Vegano</v>
      </c>
      <c r="AH770">
        <v>4</v>
      </c>
      <c r="AI770">
        <v>69559.429999999993</v>
      </c>
      <c r="AJ770">
        <v>5751.14</v>
      </c>
      <c r="AK770">
        <v>17</v>
      </c>
      <c r="AL770">
        <v>34</v>
      </c>
      <c r="AM770" t="str">
        <v>Tarjeta</v>
      </c>
      <c r="AN770" t="str">
        <v>Entregada</v>
      </c>
      <c r="AO770">
        <v>3</v>
      </c>
    </row>
    <row r="771" spans="1:41" x14ac:dyDescent="0.3">
      <c r="A771" t="s">
        <v>808</v>
      </c>
      <c r="B771" s="8">
        <v>45728</v>
      </c>
      <c r="C771" s="2">
        <v>0.48819444444444443</v>
      </c>
      <c r="D771" t="s">
        <v>21</v>
      </c>
      <c r="E771" t="s">
        <v>22</v>
      </c>
      <c r="F771" t="s">
        <v>36</v>
      </c>
      <c r="G771">
        <v>2</v>
      </c>
      <c r="H771" s="6">
        <v>44245</v>
      </c>
      <c r="I771" s="6">
        <v>2795.58</v>
      </c>
      <c r="J771">
        <v>23</v>
      </c>
      <c r="K771">
        <v>25</v>
      </c>
      <c r="L771" t="s">
        <v>24</v>
      </c>
      <c r="M771" t="s">
        <v>25</v>
      </c>
      <c r="N771">
        <v>4</v>
      </c>
      <c r="O771" s="4"/>
      <c r="P771" s="4" t="str">
        <f>IF(Data_Set_2[[#This Row],[valor_bruto]]&gt;$W$13,"OUTLIER+","")</f>
        <v/>
      </c>
      <c r="Q771" s="4" t="str">
        <f>IF(Data_Set_2[[#This Row],[valor_bruto]]&lt;$W$14,"OUTLIER-","")</f>
        <v/>
      </c>
      <c r="R771" s="4"/>
      <c r="S771" s="4"/>
      <c r="AB771" t="str">
        <v>RES-100769</v>
      </c>
      <c r="AC771">
        <v>45728</v>
      </c>
      <c r="AD771">
        <v>0.48819444444444443</v>
      </c>
      <c r="AE771" t="str">
        <v>Poblado</v>
      </c>
      <c r="AF771" t="str">
        <v>Domicilio</v>
      </c>
      <c r="AG771" t="str">
        <v>Bebidas</v>
      </c>
      <c r="AH771">
        <v>2</v>
      </c>
      <c r="AI771">
        <v>44245</v>
      </c>
      <c r="AJ771">
        <v>2795.58</v>
      </c>
      <c r="AK771">
        <v>23</v>
      </c>
      <c r="AL771">
        <v>25</v>
      </c>
      <c r="AM771" t="str">
        <v>Efectivo</v>
      </c>
      <c r="AN771" t="str">
        <v>Cancelada</v>
      </c>
      <c r="AO771">
        <v>4</v>
      </c>
    </row>
    <row r="772" spans="1:41" x14ac:dyDescent="0.3">
      <c r="A772" t="s">
        <v>809</v>
      </c>
      <c r="B772" s="8">
        <v>45729</v>
      </c>
      <c r="C772" s="2">
        <v>0.53472222222222221</v>
      </c>
      <c r="D772" t="s">
        <v>27</v>
      </c>
      <c r="E772" t="s">
        <v>28</v>
      </c>
      <c r="F772" t="s">
        <v>17</v>
      </c>
      <c r="G772">
        <v>3</v>
      </c>
      <c r="H772" s="6">
        <v>58847.360000000001</v>
      </c>
      <c r="I772" s="6">
        <v>5703.07</v>
      </c>
      <c r="J772">
        <v>26</v>
      </c>
      <c r="K772">
        <v>37</v>
      </c>
      <c r="L772" t="s">
        <v>30</v>
      </c>
      <c r="M772" t="s">
        <v>31</v>
      </c>
      <c r="N772">
        <v>5</v>
      </c>
      <c r="O772" s="4"/>
      <c r="P772" s="4" t="str">
        <f>IF(Data_Set_2[[#This Row],[valor_bruto]]&gt;$W$13,"OUTLIER+","")</f>
        <v/>
      </c>
      <c r="Q772" s="4" t="str">
        <f>IF(Data_Set_2[[#This Row],[valor_bruto]]&lt;$W$14,"OUTLIER-","")</f>
        <v/>
      </c>
      <c r="R772" s="4"/>
      <c r="S772" s="4"/>
      <c r="AB772" t="str">
        <v>RES-100770</v>
      </c>
      <c r="AC772">
        <v>45729</v>
      </c>
      <c r="AD772">
        <v>0.53472222222222221</v>
      </c>
      <c r="AE772" t="str">
        <v>Centro</v>
      </c>
      <c r="AF772" t="str">
        <v>Recoge</v>
      </c>
      <c r="AG772" t="str">
        <v>Comida rapida</v>
      </c>
      <c r="AH772">
        <v>3</v>
      </c>
      <c r="AI772">
        <v>58847.360000000001</v>
      </c>
      <c r="AJ772">
        <v>5703.07</v>
      </c>
      <c r="AK772">
        <v>26</v>
      </c>
      <c r="AL772">
        <v>37</v>
      </c>
      <c r="AM772" t="str">
        <v>App</v>
      </c>
      <c r="AN772" t="str">
        <v>Reembolsada</v>
      </c>
      <c r="AO772">
        <v>5</v>
      </c>
    </row>
    <row r="773" spans="1:41" x14ac:dyDescent="0.3">
      <c r="A773" t="s">
        <v>810</v>
      </c>
      <c r="B773" s="8">
        <v>45730</v>
      </c>
      <c r="C773" s="2">
        <v>0.58125000000000004</v>
      </c>
      <c r="D773" t="s">
        <v>33</v>
      </c>
      <c r="E773" t="s">
        <v>16</v>
      </c>
      <c r="F773" t="s">
        <v>23</v>
      </c>
      <c r="G773">
        <v>2</v>
      </c>
      <c r="H773" s="6">
        <v>48118.29</v>
      </c>
      <c r="I773" s="6">
        <v>8103.87</v>
      </c>
      <c r="J773">
        <v>15</v>
      </c>
      <c r="K773">
        <v>38</v>
      </c>
      <c r="L773" t="s">
        <v>18</v>
      </c>
      <c r="M773" t="s">
        <v>19</v>
      </c>
      <c r="N773">
        <v>3</v>
      </c>
      <c r="O773" s="4"/>
      <c r="P773" s="4" t="str">
        <f>IF(Data_Set_2[[#This Row],[valor_bruto]]&gt;$W$13,"OUTLIER+","")</f>
        <v/>
      </c>
      <c r="Q773" s="4" t="str">
        <f>IF(Data_Set_2[[#This Row],[valor_bruto]]&lt;$W$14,"OUTLIER-","")</f>
        <v/>
      </c>
      <c r="R773" s="4"/>
      <c r="S773" s="4"/>
      <c r="AB773" t="str">
        <v>RES-100771</v>
      </c>
      <c r="AC773">
        <v>45730</v>
      </c>
      <c r="AD773">
        <v>0.58125000000000004</v>
      </c>
      <c r="AE773" t="str">
        <v>Envigado</v>
      </c>
      <c r="AF773" t="str">
        <v>Mesa</v>
      </c>
      <c r="AG773" t="str">
        <v>Pasta</v>
      </c>
      <c r="AH773">
        <v>2</v>
      </c>
      <c r="AI773">
        <v>48118.29</v>
      </c>
      <c r="AJ773">
        <v>8103.87</v>
      </c>
      <c r="AK773">
        <v>15</v>
      </c>
      <c r="AL773">
        <v>38</v>
      </c>
      <c r="AM773" t="str">
        <v>Tarjeta</v>
      </c>
      <c r="AN773" t="str">
        <v>Entregada</v>
      </c>
      <c r="AO773">
        <v>3</v>
      </c>
    </row>
    <row r="774" spans="1:41" x14ac:dyDescent="0.3">
      <c r="A774" t="s">
        <v>811</v>
      </c>
      <c r="B774" s="8">
        <v>45731</v>
      </c>
      <c r="C774" s="2">
        <v>0.58611111111111114</v>
      </c>
      <c r="D774" t="s">
        <v>15</v>
      </c>
      <c r="E774" t="s">
        <v>22</v>
      </c>
      <c r="F774" t="s">
        <v>29</v>
      </c>
      <c r="G774">
        <v>5</v>
      </c>
      <c r="H774" s="6">
        <v>42166.97</v>
      </c>
      <c r="I774" s="6">
        <v>8106.02</v>
      </c>
      <c r="J774">
        <v>31</v>
      </c>
      <c r="K774">
        <v>47</v>
      </c>
      <c r="L774" t="s">
        <v>24</v>
      </c>
      <c r="M774" t="s">
        <v>25</v>
      </c>
      <c r="N774">
        <v>3</v>
      </c>
      <c r="O774" s="4"/>
      <c r="P774" s="4" t="str">
        <f>IF(Data_Set_2[[#This Row],[valor_bruto]]&gt;$W$13,"OUTLIER+","")</f>
        <v/>
      </c>
      <c r="Q774" s="4" t="str">
        <f>IF(Data_Set_2[[#This Row],[valor_bruto]]&lt;$W$14,"OUTLIER-","")</f>
        <v/>
      </c>
      <c r="R774" s="4"/>
      <c r="S774" s="4"/>
      <c r="AB774" t="str">
        <v>RES-100772</v>
      </c>
      <c r="AC774">
        <v>45731</v>
      </c>
      <c r="AD774">
        <v>0.58611111111111114</v>
      </c>
      <c r="AE774" t="str">
        <v>Laureles</v>
      </c>
      <c r="AF774" t="str">
        <v>Domicilio</v>
      </c>
      <c r="AG774" t="str">
        <v>Parrilla</v>
      </c>
      <c r="AH774">
        <v>5</v>
      </c>
      <c r="AI774">
        <v>42166.97</v>
      </c>
      <c r="AJ774">
        <v>8106.02</v>
      </c>
      <c r="AK774">
        <v>31</v>
      </c>
      <c r="AL774">
        <v>47</v>
      </c>
      <c r="AM774" t="str">
        <v>Efectivo</v>
      </c>
      <c r="AN774" t="str">
        <v>Cancelada</v>
      </c>
      <c r="AO774">
        <v>3</v>
      </c>
    </row>
    <row r="775" spans="1:41" x14ac:dyDescent="0.3">
      <c r="A775" t="s">
        <v>812</v>
      </c>
      <c r="B775" s="8">
        <v>45732</v>
      </c>
      <c r="C775" s="2">
        <v>0.63263888888888886</v>
      </c>
      <c r="D775" t="s">
        <v>21</v>
      </c>
      <c r="E775" t="s">
        <v>28</v>
      </c>
      <c r="F775" t="s">
        <v>34</v>
      </c>
      <c r="G775">
        <v>5</v>
      </c>
      <c r="H775" s="6">
        <v>69027.100000000006</v>
      </c>
      <c r="I775" s="6">
        <v>7491.83</v>
      </c>
      <c r="J775">
        <v>18</v>
      </c>
      <c r="K775">
        <v>23</v>
      </c>
      <c r="L775" t="s">
        <v>30</v>
      </c>
      <c r="M775" t="s">
        <v>31</v>
      </c>
      <c r="N775">
        <v>5</v>
      </c>
      <c r="O775" s="4"/>
      <c r="P775" s="4" t="str">
        <f>IF(Data_Set_2[[#This Row],[valor_bruto]]&gt;$W$13,"OUTLIER+","")</f>
        <v/>
      </c>
      <c r="Q775" s="4" t="str">
        <f>IF(Data_Set_2[[#This Row],[valor_bruto]]&lt;$W$14,"OUTLIER-","")</f>
        <v/>
      </c>
      <c r="R775" s="4"/>
      <c r="S775" s="4"/>
      <c r="AB775" t="str">
        <v>RES-100773</v>
      </c>
      <c r="AC775">
        <v>45732</v>
      </c>
      <c r="AD775">
        <v>0.63263888888888886</v>
      </c>
      <c r="AE775" t="str">
        <v>Poblado</v>
      </c>
      <c r="AF775" t="str">
        <v>Recoge</v>
      </c>
      <c r="AG775" t="str">
        <v>Vegano</v>
      </c>
      <c r="AH775">
        <v>5</v>
      </c>
      <c r="AI775">
        <v>69027.100000000006</v>
      </c>
      <c r="AJ775">
        <v>7491.83</v>
      </c>
      <c r="AK775">
        <v>18</v>
      </c>
      <c r="AL775">
        <v>23</v>
      </c>
      <c r="AM775" t="str">
        <v>App</v>
      </c>
      <c r="AN775" t="str">
        <v>Reembolsada</v>
      </c>
      <c r="AO775">
        <v>5</v>
      </c>
    </row>
    <row r="776" spans="1:41" x14ac:dyDescent="0.3">
      <c r="A776" t="s">
        <v>813</v>
      </c>
      <c r="B776" s="8">
        <v>45733</v>
      </c>
      <c r="C776" s="2">
        <v>0.6791666666666667</v>
      </c>
      <c r="D776" t="s">
        <v>27</v>
      </c>
      <c r="E776" t="s">
        <v>16</v>
      </c>
      <c r="F776" t="s">
        <v>36</v>
      </c>
      <c r="G776">
        <v>5</v>
      </c>
      <c r="H776" s="6">
        <v>41305.39</v>
      </c>
      <c r="I776" s="6">
        <v>4362.6499999999996</v>
      </c>
      <c r="J776">
        <v>25</v>
      </c>
      <c r="K776">
        <v>25</v>
      </c>
      <c r="L776" t="s">
        <v>18</v>
      </c>
      <c r="M776" t="s">
        <v>19</v>
      </c>
      <c r="N776">
        <v>3</v>
      </c>
      <c r="O776" s="4"/>
      <c r="P776" s="4" t="str">
        <f>IF(Data_Set_2[[#This Row],[valor_bruto]]&gt;$W$13,"OUTLIER+","")</f>
        <v/>
      </c>
      <c r="Q776" s="4" t="str">
        <f>IF(Data_Set_2[[#This Row],[valor_bruto]]&lt;$W$14,"OUTLIER-","")</f>
        <v/>
      </c>
      <c r="R776" s="4"/>
      <c r="S776" s="4"/>
      <c r="AB776" t="str">
        <v>RES-100774</v>
      </c>
      <c r="AC776">
        <v>45733</v>
      </c>
      <c r="AD776">
        <v>0.6791666666666667</v>
      </c>
      <c r="AE776" t="str">
        <v>Centro</v>
      </c>
      <c r="AF776" t="str">
        <v>Mesa</v>
      </c>
      <c r="AG776" t="str">
        <v>Bebidas</v>
      </c>
      <c r="AH776">
        <v>5</v>
      </c>
      <c r="AI776">
        <v>41305.39</v>
      </c>
      <c r="AJ776">
        <v>4362.6499999999996</v>
      </c>
      <c r="AK776">
        <v>25</v>
      </c>
      <c r="AL776">
        <v>25</v>
      </c>
      <c r="AM776" t="str">
        <v>Tarjeta</v>
      </c>
      <c r="AN776" t="str">
        <v>Entregada</v>
      </c>
      <c r="AO776">
        <v>3</v>
      </c>
    </row>
    <row r="777" spans="1:41" x14ac:dyDescent="0.3">
      <c r="A777" t="s">
        <v>814</v>
      </c>
      <c r="B777" s="8">
        <v>45734</v>
      </c>
      <c r="C777" s="2">
        <v>0.72569444444444442</v>
      </c>
      <c r="D777" t="s">
        <v>33</v>
      </c>
      <c r="E777" t="s">
        <v>22</v>
      </c>
      <c r="F777" t="s">
        <v>17</v>
      </c>
      <c r="G777">
        <v>4</v>
      </c>
      <c r="H777" s="6">
        <v>69755.97</v>
      </c>
      <c r="I777" s="6">
        <v>7048.06</v>
      </c>
      <c r="J777">
        <v>13</v>
      </c>
      <c r="K777">
        <v>40</v>
      </c>
      <c r="L777" t="s">
        <v>24</v>
      </c>
      <c r="M777" t="s">
        <v>25</v>
      </c>
      <c r="N777">
        <v>3</v>
      </c>
      <c r="O777" s="4"/>
      <c r="P777" s="4" t="str">
        <f>IF(Data_Set_2[[#This Row],[valor_bruto]]&gt;$W$13,"OUTLIER+","")</f>
        <v/>
      </c>
      <c r="Q777" s="4" t="str">
        <f>IF(Data_Set_2[[#This Row],[valor_bruto]]&lt;$W$14,"OUTLIER-","")</f>
        <v/>
      </c>
      <c r="R777" s="4"/>
      <c r="S777" s="4"/>
      <c r="AB777" t="str">
        <v>RES-100775</v>
      </c>
      <c r="AC777">
        <v>45734</v>
      </c>
      <c r="AD777">
        <v>0.72569444444444442</v>
      </c>
      <c r="AE777" t="str">
        <v>Envigado</v>
      </c>
      <c r="AF777" t="str">
        <v>Domicilio</v>
      </c>
      <c r="AG777" t="str">
        <v>Comida rapida</v>
      </c>
      <c r="AH777">
        <v>4</v>
      </c>
      <c r="AI777">
        <v>69755.97</v>
      </c>
      <c r="AJ777">
        <v>7048.06</v>
      </c>
      <c r="AK777">
        <v>13</v>
      </c>
      <c r="AL777">
        <v>40</v>
      </c>
      <c r="AM777" t="str">
        <v>Efectivo</v>
      </c>
      <c r="AN777" t="str">
        <v>Cancelada</v>
      </c>
      <c r="AO777">
        <v>3</v>
      </c>
    </row>
    <row r="778" spans="1:41" x14ac:dyDescent="0.3">
      <c r="A778" t="s">
        <v>815</v>
      </c>
      <c r="B778" s="8">
        <v>45735</v>
      </c>
      <c r="C778" s="2">
        <v>0.77222222222222225</v>
      </c>
      <c r="D778" t="s">
        <v>15</v>
      </c>
      <c r="E778" t="s">
        <v>28</v>
      </c>
      <c r="F778" t="s">
        <v>23</v>
      </c>
      <c r="G778">
        <v>2</v>
      </c>
      <c r="H778" s="6">
        <v>42792.79</v>
      </c>
      <c r="I778" s="6">
        <v>6732.02</v>
      </c>
      <c r="J778">
        <v>25</v>
      </c>
      <c r="K778">
        <v>25</v>
      </c>
      <c r="L778" t="s">
        <v>30</v>
      </c>
      <c r="M778" t="s">
        <v>31</v>
      </c>
      <c r="N778">
        <v>4</v>
      </c>
      <c r="O778" s="4"/>
      <c r="P778" s="4" t="str">
        <f>IF(Data_Set_2[[#This Row],[valor_bruto]]&gt;$W$13,"OUTLIER+","")</f>
        <v/>
      </c>
      <c r="Q778" s="4" t="str">
        <f>IF(Data_Set_2[[#This Row],[valor_bruto]]&lt;$W$14,"OUTLIER-","")</f>
        <v/>
      </c>
      <c r="R778" s="4"/>
      <c r="S778" s="4"/>
      <c r="AB778" t="str">
        <v>RES-100776</v>
      </c>
      <c r="AC778">
        <v>45735</v>
      </c>
      <c r="AD778">
        <v>0.77222222222222225</v>
      </c>
      <c r="AE778" t="str">
        <v>Laureles</v>
      </c>
      <c r="AF778" t="str">
        <v>Recoge</v>
      </c>
      <c r="AG778" t="str">
        <v>Pasta</v>
      </c>
      <c r="AH778">
        <v>2</v>
      </c>
      <c r="AI778">
        <v>42792.79</v>
      </c>
      <c r="AJ778">
        <v>6732.02</v>
      </c>
      <c r="AK778">
        <v>25</v>
      </c>
      <c r="AL778">
        <v>25</v>
      </c>
      <c r="AM778" t="str">
        <v>App</v>
      </c>
      <c r="AN778" t="str">
        <v>Reembolsada</v>
      </c>
      <c r="AO778">
        <v>4</v>
      </c>
    </row>
    <row r="779" spans="1:41" x14ac:dyDescent="0.3">
      <c r="A779" t="s">
        <v>816</v>
      </c>
      <c r="B779" s="8">
        <v>45736</v>
      </c>
      <c r="C779" s="2">
        <v>0.81874999999999998</v>
      </c>
      <c r="D779" t="s">
        <v>21</v>
      </c>
      <c r="E779" t="s">
        <v>16</v>
      </c>
      <c r="F779" t="s">
        <v>29</v>
      </c>
      <c r="G779">
        <v>4</v>
      </c>
      <c r="H779" s="6">
        <v>48038.55</v>
      </c>
      <c r="I779" s="6">
        <v>3640.99</v>
      </c>
      <c r="J779">
        <v>14</v>
      </c>
      <c r="K779">
        <v>53</v>
      </c>
      <c r="L779" t="s">
        <v>18</v>
      </c>
      <c r="M779" t="s">
        <v>19</v>
      </c>
      <c r="N779">
        <v>5</v>
      </c>
      <c r="O779" s="4"/>
      <c r="P779" s="4" t="str">
        <f>IF(Data_Set_2[[#This Row],[valor_bruto]]&gt;$W$13,"OUTLIER+","")</f>
        <v/>
      </c>
      <c r="Q779" s="4" t="str">
        <f>IF(Data_Set_2[[#This Row],[valor_bruto]]&lt;$W$14,"OUTLIER-","")</f>
        <v/>
      </c>
      <c r="R779" s="4"/>
      <c r="S779" s="4"/>
      <c r="AB779" t="str">
        <v>RES-100777</v>
      </c>
      <c r="AC779">
        <v>45736</v>
      </c>
      <c r="AD779">
        <v>0.81874999999999998</v>
      </c>
      <c r="AE779" t="str">
        <v>Poblado</v>
      </c>
      <c r="AF779" t="str">
        <v>Mesa</v>
      </c>
      <c r="AG779" t="str">
        <v>Parrilla</v>
      </c>
      <c r="AH779">
        <v>4</v>
      </c>
      <c r="AI779">
        <v>48038.55</v>
      </c>
      <c r="AJ779">
        <v>3640.99</v>
      </c>
      <c r="AK779">
        <v>14</v>
      </c>
      <c r="AL779">
        <v>53</v>
      </c>
      <c r="AM779" t="str">
        <v>Tarjeta</v>
      </c>
      <c r="AN779" t="str">
        <v>Entregada</v>
      </c>
      <c r="AO779">
        <v>5</v>
      </c>
    </row>
    <row r="780" spans="1:41" x14ac:dyDescent="0.3">
      <c r="A780" t="s">
        <v>817</v>
      </c>
      <c r="B780" s="8">
        <v>45737</v>
      </c>
      <c r="C780" s="2">
        <v>0.86527777777777781</v>
      </c>
      <c r="D780" t="s">
        <v>27</v>
      </c>
      <c r="E780" t="s">
        <v>22</v>
      </c>
      <c r="F780" t="s">
        <v>34</v>
      </c>
      <c r="G780">
        <v>4</v>
      </c>
      <c r="H780" s="6">
        <v>39473.47</v>
      </c>
      <c r="I780" s="6">
        <v>1664.82</v>
      </c>
      <c r="J780">
        <v>18</v>
      </c>
      <c r="K780" t="s">
        <v>818</v>
      </c>
      <c r="L780" t="s">
        <v>24</v>
      </c>
      <c r="M780" t="s">
        <v>25</v>
      </c>
      <c r="N780">
        <v>4</v>
      </c>
      <c r="O780" s="4"/>
      <c r="P780" s="4" t="str">
        <f>IF(Data_Set_2[[#This Row],[valor_bruto]]&gt;$W$13,"OUTLIER+","")</f>
        <v/>
      </c>
      <c r="Q780" s="4" t="str">
        <f>IF(Data_Set_2[[#This Row],[valor_bruto]]&lt;$W$14,"OUTLIER-","")</f>
        <v/>
      </c>
      <c r="R780" s="4"/>
      <c r="S780" s="4"/>
      <c r="AB780" t="str">
        <v>RES-100778</v>
      </c>
      <c r="AC780">
        <v>45737</v>
      </c>
      <c r="AD780">
        <v>0.86527777777777781</v>
      </c>
      <c r="AE780" t="str">
        <v>Centro</v>
      </c>
      <c r="AF780" t="str">
        <v>Domicilio</v>
      </c>
      <c r="AG780" t="str">
        <v>Vegano</v>
      </c>
      <c r="AH780">
        <v>4</v>
      </c>
      <c r="AI780">
        <v>39473.47</v>
      </c>
      <c r="AJ780">
        <v>1664.82</v>
      </c>
      <c r="AK780">
        <v>18</v>
      </c>
      <c r="AL780" t="str">
        <v>162.4</v>
      </c>
      <c r="AM780" t="str">
        <v>Efectivo</v>
      </c>
      <c r="AN780" t="str">
        <v>Cancelada</v>
      </c>
      <c r="AO780">
        <v>4</v>
      </c>
    </row>
    <row r="781" spans="1:41" x14ac:dyDescent="0.3">
      <c r="A781" t="s">
        <v>819</v>
      </c>
      <c r="B781" s="8">
        <v>45738</v>
      </c>
      <c r="C781" s="2">
        <v>0.91180555555555554</v>
      </c>
      <c r="D781" t="s">
        <v>33</v>
      </c>
      <c r="E781" t="s">
        <v>28</v>
      </c>
      <c r="F781" t="s">
        <v>36</v>
      </c>
      <c r="G781">
        <v>5</v>
      </c>
      <c r="H781" s="6">
        <v>27021.51</v>
      </c>
      <c r="I781" s="6">
        <v>7866.08</v>
      </c>
      <c r="J781">
        <v>28</v>
      </c>
      <c r="K781">
        <v>52</v>
      </c>
      <c r="L781" t="s">
        <v>30</v>
      </c>
      <c r="M781" t="s">
        <v>31</v>
      </c>
      <c r="N781">
        <v>5</v>
      </c>
      <c r="O781" s="4"/>
      <c r="P781" s="4" t="str">
        <f>IF(Data_Set_2[[#This Row],[valor_bruto]]&gt;$W$13,"OUTLIER+","")</f>
        <v/>
      </c>
      <c r="Q781" s="4" t="str">
        <f>IF(Data_Set_2[[#This Row],[valor_bruto]]&lt;$W$14,"OUTLIER-","")</f>
        <v/>
      </c>
      <c r="R781" s="4"/>
      <c r="S781" s="4"/>
      <c r="AB781" t="str">
        <v>RES-100779</v>
      </c>
      <c r="AC781">
        <v>45738</v>
      </c>
      <c r="AD781">
        <v>0.91180555555555554</v>
      </c>
      <c r="AE781" t="str">
        <v>Envigado</v>
      </c>
      <c r="AF781" t="str">
        <v>Recoge</v>
      </c>
      <c r="AG781" t="str">
        <v>Bebidas</v>
      </c>
      <c r="AH781">
        <v>5</v>
      </c>
      <c r="AI781">
        <v>27021.51</v>
      </c>
      <c r="AJ781">
        <v>7866.08</v>
      </c>
      <c r="AK781">
        <v>28</v>
      </c>
      <c r="AL781">
        <v>52</v>
      </c>
      <c r="AM781" t="str">
        <v>App</v>
      </c>
      <c r="AN781" t="str">
        <v>Reembolsada</v>
      </c>
      <c r="AO781">
        <v>5</v>
      </c>
    </row>
    <row r="782" spans="1:41" x14ac:dyDescent="0.3">
      <c r="A782" t="s">
        <v>820</v>
      </c>
      <c r="B782" s="8">
        <v>45739</v>
      </c>
      <c r="C782" s="2">
        <v>0.41666666666666669</v>
      </c>
      <c r="D782" t="s">
        <v>15</v>
      </c>
      <c r="E782" t="s">
        <v>16</v>
      </c>
      <c r="F782" t="s">
        <v>17</v>
      </c>
      <c r="G782">
        <v>4</v>
      </c>
      <c r="H782" s="6">
        <v>54395.48</v>
      </c>
      <c r="I782" s="6">
        <v>5435.09</v>
      </c>
      <c r="J782">
        <v>23</v>
      </c>
      <c r="K782">
        <v>40</v>
      </c>
      <c r="L782" t="s">
        <v>18</v>
      </c>
      <c r="M782" t="s">
        <v>19</v>
      </c>
      <c r="N782">
        <v>3</v>
      </c>
      <c r="O782" s="4"/>
      <c r="P782" s="4" t="str">
        <f>IF(Data_Set_2[[#This Row],[valor_bruto]]&gt;$W$13,"OUTLIER+","")</f>
        <v/>
      </c>
      <c r="Q782" s="4" t="str">
        <f>IF(Data_Set_2[[#This Row],[valor_bruto]]&lt;$W$14,"OUTLIER-","")</f>
        <v/>
      </c>
      <c r="R782" s="4"/>
      <c r="S782" s="4"/>
      <c r="AB782" t="str">
        <v>RES-100780</v>
      </c>
      <c r="AC782">
        <v>45739</v>
      </c>
      <c r="AD782">
        <v>0.41666666666666669</v>
      </c>
      <c r="AE782" t="str">
        <v>Laureles</v>
      </c>
      <c r="AF782" t="str">
        <v>Mesa</v>
      </c>
      <c r="AG782" t="str">
        <v>Comida rapida</v>
      </c>
      <c r="AH782">
        <v>4</v>
      </c>
      <c r="AI782">
        <v>54395.48</v>
      </c>
      <c r="AJ782">
        <v>5435.09</v>
      </c>
      <c r="AK782">
        <v>23</v>
      </c>
      <c r="AL782">
        <v>40</v>
      </c>
      <c r="AM782" t="str">
        <v>Tarjeta</v>
      </c>
      <c r="AN782" t="str">
        <v>Entregada</v>
      </c>
      <c r="AO782">
        <v>3</v>
      </c>
    </row>
    <row r="783" spans="1:41" x14ac:dyDescent="0.3">
      <c r="A783" t="s">
        <v>821</v>
      </c>
      <c r="B783" s="8">
        <v>45740</v>
      </c>
      <c r="C783" s="2">
        <v>0.46319444444444446</v>
      </c>
      <c r="D783" t="s">
        <v>21</v>
      </c>
      <c r="E783" t="s">
        <v>22</v>
      </c>
      <c r="F783" t="s">
        <v>23</v>
      </c>
      <c r="G783">
        <v>3</v>
      </c>
      <c r="H783" s="6">
        <v>42756.51</v>
      </c>
      <c r="I783" s="6">
        <v>4828.1400000000003</v>
      </c>
      <c r="J783">
        <v>23</v>
      </c>
      <c r="K783">
        <v>33</v>
      </c>
      <c r="L783" t="s">
        <v>24</v>
      </c>
      <c r="M783" t="s">
        <v>25</v>
      </c>
      <c r="N783">
        <v>5</v>
      </c>
      <c r="O783" s="4"/>
      <c r="P783" s="4" t="str">
        <f>IF(Data_Set_2[[#This Row],[valor_bruto]]&gt;$W$13,"OUTLIER+","")</f>
        <v/>
      </c>
      <c r="Q783" s="4" t="str">
        <f>IF(Data_Set_2[[#This Row],[valor_bruto]]&lt;$W$14,"OUTLIER-","")</f>
        <v/>
      </c>
      <c r="R783" s="4"/>
      <c r="S783" s="4"/>
      <c r="AB783" t="str">
        <v>RES-100781</v>
      </c>
      <c r="AC783">
        <v>45740</v>
      </c>
      <c r="AD783">
        <v>0.46319444444444446</v>
      </c>
      <c r="AE783" t="str">
        <v>Poblado</v>
      </c>
      <c r="AF783" t="str">
        <v>Domicilio</v>
      </c>
      <c r="AG783" t="str">
        <v>Pasta</v>
      </c>
      <c r="AH783">
        <v>3</v>
      </c>
      <c r="AI783">
        <v>42756.51</v>
      </c>
      <c r="AJ783">
        <v>4828.1400000000003</v>
      </c>
      <c r="AK783">
        <v>23</v>
      </c>
      <c r="AL783">
        <v>33</v>
      </c>
      <c r="AM783" t="str">
        <v>Efectivo</v>
      </c>
      <c r="AN783" t="str">
        <v>Cancelada</v>
      </c>
      <c r="AO783">
        <v>5</v>
      </c>
    </row>
    <row r="784" spans="1:41" x14ac:dyDescent="0.3">
      <c r="A784" t="s">
        <v>822</v>
      </c>
      <c r="B784" s="8">
        <v>45741</v>
      </c>
      <c r="C784" s="2">
        <v>0.50972222222222219</v>
      </c>
      <c r="D784" t="s">
        <v>27</v>
      </c>
      <c r="E784" t="s">
        <v>28</v>
      </c>
      <c r="F784" t="s">
        <v>29</v>
      </c>
      <c r="G784">
        <v>3</v>
      </c>
      <c r="H784" s="6">
        <v>47364.34</v>
      </c>
      <c r="I784" s="6">
        <v>5208.66</v>
      </c>
      <c r="J784">
        <v>14</v>
      </c>
      <c r="K784">
        <v>34</v>
      </c>
      <c r="L784" t="s">
        <v>30</v>
      </c>
      <c r="M784" t="s">
        <v>31</v>
      </c>
      <c r="N784">
        <v>3</v>
      </c>
      <c r="O784" s="4"/>
      <c r="P784" s="4" t="str">
        <f>IF(Data_Set_2[[#This Row],[valor_bruto]]&gt;$W$13,"OUTLIER+","")</f>
        <v/>
      </c>
      <c r="Q784" s="4" t="str">
        <f>IF(Data_Set_2[[#This Row],[valor_bruto]]&lt;$W$14,"OUTLIER-","")</f>
        <v/>
      </c>
      <c r="R784" s="4"/>
      <c r="S784" s="4"/>
      <c r="AB784" t="str">
        <v>RES-100782</v>
      </c>
      <c r="AC784">
        <v>45741</v>
      </c>
      <c r="AD784">
        <v>0.50972222222222219</v>
      </c>
      <c r="AE784" t="str">
        <v>Centro</v>
      </c>
      <c r="AF784" t="str">
        <v>Recoge</v>
      </c>
      <c r="AG784" t="str">
        <v>Parrilla</v>
      </c>
      <c r="AH784">
        <v>3</v>
      </c>
      <c r="AI784">
        <v>47364.34</v>
      </c>
      <c r="AJ784">
        <v>5208.66</v>
      </c>
      <c r="AK784">
        <v>14</v>
      </c>
      <c r="AL784">
        <v>34</v>
      </c>
      <c r="AM784" t="str">
        <v>App</v>
      </c>
      <c r="AN784" t="str">
        <v>Reembolsada</v>
      </c>
      <c r="AO784">
        <v>3</v>
      </c>
    </row>
    <row r="785" spans="1:41" x14ac:dyDescent="0.3">
      <c r="A785" t="s">
        <v>823</v>
      </c>
      <c r="B785" s="8">
        <v>45742</v>
      </c>
      <c r="C785" s="2">
        <v>0.55625000000000002</v>
      </c>
      <c r="D785" t="s">
        <v>33</v>
      </c>
      <c r="E785" t="s">
        <v>16</v>
      </c>
      <c r="F785" t="s">
        <v>34</v>
      </c>
      <c r="G785">
        <v>2</v>
      </c>
      <c r="H785" s="6">
        <v>51092.33</v>
      </c>
      <c r="I785" s="6">
        <v>7917.95</v>
      </c>
      <c r="J785">
        <v>16</v>
      </c>
      <c r="K785">
        <v>31</v>
      </c>
      <c r="L785" t="s">
        <v>18</v>
      </c>
      <c r="M785" t="s">
        <v>19</v>
      </c>
      <c r="N785">
        <v>5</v>
      </c>
      <c r="O785" s="4"/>
      <c r="P785" s="4" t="str">
        <f>IF(Data_Set_2[[#This Row],[valor_bruto]]&gt;$W$13,"OUTLIER+","")</f>
        <v/>
      </c>
      <c r="Q785" s="4" t="str">
        <f>IF(Data_Set_2[[#This Row],[valor_bruto]]&lt;$W$14,"OUTLIER-","")</f>
        <v/>
      </c>
      <c r="R785" s="4"/>
      <c r="S785" s="4"/>
      <c r="AB785" t="str">
        <v>RES-100783</v>
      </c>
      <c r="AC785">
        <v>45742</v>
      </c>
      <c r="AD785">
        <v>0.55625000000000002</v>
      </c>
      <c r="AE785" t="str">
        <v>Envigado</v>
      </c>
      <c r="AF785" t="str">
        <v>Mesa</v>
      </c>
      <c r="AG785" t="str">
        <v>Vegano</v>
      </c>
      <c r="AH785">
        <v>2</v>
      </c>
      <c r="AI785">
        <v>51092.33</v>
      </c>
      <c r="AJ785">
        <v>7917.95</v>
      </c>
      <c r="AK785">
        <v>16</v>
      </c>
      <c r="AL785">
        <v>31</v>
      </c>
      <c r="AM785" t="str">
        <v>Tarjeta</v>
      </c>
      <c r="AN785" t="str">
        <v>Entregada</v>
      </c>
      <c r="AO785">
        <v>5</v>
      </c>
    </row>
    <row r="786" spans="1:41" x14ac:dyDescent="0.3">
      <c r="A786" t="s">
        <v>824</v>
      </c>
      <c r="B786" s="8">
        <v>45743</v>
      </c>
      <c r="C786" s="2">
        <v>0.60277777777777775</v>
      </c>
      <c r="D786" t="s">
        <v>15</v>
      </c>
      <c r="E786" t="s">
        <v>22</v>
      </c>
      <c r="F786" t="s">
        <v>36</v>
      </c>
      <c r="G786">
        <v>5</v>
      </c>
      <c r="H786" s="6">
        <v>68531.210000000006</v>
      </c>
      <c r="I786" s="6">
        <v>6096.27</v>
      </c>
      <c r="J786">
        <v>26</v>
      </c>
      <c r="K786">
        <v>48</v>
      </c>
      <c r="L786" t="s">
        <v>24</v>
      </c>
      <c r="M786" t="s">
        <v>25</v>
      </c>
      <c r="N786">
        <v>3</v>
      </c>
      <c r="O786" s="4"/>
      <c r="P786" s="4" t="str">
        <f>IF(Data_Set_2[[#This Row],[valor_bruto]]&gt;$W$13,"OUTLIER+","")</f>
        <v/>
      </c>
      <c r="Q786" s="4" t="str">
        <f>IF(Data_Set_2[[#This Row],[valor_bruto]]&lt;$W$14,"OUTLIER-","")</f>
        <v/>
      </c>
      <c r="R786" s="4"/>
      <c r="S786" s="4"/>
      <c r="AB786" t="str">
        <v>RES-100784</v>
      </c>
      <c r="AC786">
        <v>45743</v>
      </c>
      <c r="AD786">
        <v>0.60277777777777775</v>
      </c>
      <c r="AE786" t="str">
        <v>Laureles</v>
      </c>
      <c r="AF786" t="str">
        <v>Domicilio</v>
      </c>
      <c r="AG786" t="str">
        <v>Bebidas</v>
      </c>
      <c r="AH786">
        <v>5</v>
      </c>
      <c r="AI786">
        <v>68531.210000000006</v>
      </c>
      <c r="AJ786">
        <v>6096.27</v>
      </c>
      <c r="AK786">
        <v>26</v>
      </c>
      <c r="AL786">
        <v>48</v>
      </c>
      <c r="AM786" t="str">
        <v>Efectivo</v>
      </c>
      <c r="AN786" t="str">
        <v>Cancelada</v>
      </c>
      <c r="AO786">
        <v>3</v>
      </c>
    </row>
    <row r="787" spans="1:41" x14ac:dyDescent="0.3">
      <c r="A787" t="s">
        <v>825</v>
      </c>
      <c r="B787" s="8">
        <v>45744</v>
      </c>
      <c r="C787" s="2">
        <v>0.64930555555555558</v>
      </c>
      <c r="D787" t="s">
        <v>21</v>
      </c>
      <c r="E787" t="s">
        <v>28</v>
      </c>
      <c r="F787" t="s">
        <v>17</v>
      </c>
      <c r="G787">
        <v>5</v>
      </c>
      <c r="H787" s="6">
        <v>50945.16</v>
      </c>
      <c r="I787" s="6">
        <v>2096.89</v>
      </c>
      <c r="J787">
        <v>18</v>
      </c>
      <c r="K787">
        <v>53</v>
      </c>
      <c r="L787" t="s">
        <v>30</v>
      </c>
      <c r="M787" t="s">
        <v>31</v>
      </c>
      <c r="N787">
        <v>5</v>
      </c>
      <c r="O787" s="4"/>
      <c r="P787" s="4" t="str">
        <f>IF(Data_Set_2[[#This Row],[valor_bruto]]&gt;$W$13,"OUTLIER+","")</f>
        <v/>
      </c>
      <c r="Q787" s="4" t="str">
        <f>IF(Data_Set_2[[#This Row],[valor_bruto]]&lt;$W$14,"OUTLIER-","")</f>
        <v/>
      </c>
      <c r="R787" s="4"/>
      <c r="S787" s="4"/>
      <c r="AB787" t="str">
        <v>RES-100785</v>
      </c>
      <c r="AC787">
        <v>45744</v>
      </c>
      <c r="AD787">
        <v>0.64930555555555558</v>
      </c>
      <c r="AE787" t="str">
        <v>Poblado</v>
      </c>
      <c r="AF787" t="str">
        <v>Recoge</v>
      </c>
      <c r="AG787" t="str">
        <v>Comida rapida</v>
      </c>
      <c r="AH787">
        <v>5</v>
      </c>
      <c r="AI787">
        <v>50945.16</v>
      </c>
      <c r="AJ787">
        <v>2096.89</v>
      </c>
      <c r="AK787">
        <v>18</v>
      </c>
      <c r="AL787">
        <v>53</v>
      </c>
      <c r="AM787" t="str">
        <v>App</v>
      </c>
      <c r="AN787" t="str">
        <v>Reembolsada</v>
      </c>
      <c r="AO787">
        <v>5</v>
      </c>
    </row>
    <row r="788" spans="1:41" x14ac:dyDescent="0.3">
      <c r="A788" t="s">
        <v>826</v>
      </c>
      <c r="B788" s="8">
        <v>45745</v>
      </c>
      <c r="C788" s="2">
        <v>0.6958333333333333</v>
      </c>
      <c r="D788" t="s">
        <v>27</v>
      </c>
      <c r="E788" t="s">
        <v>16</v>
      </c>
      <c r="F788" t="s">
        <v>23</v>
      </c>
      <c r="G788">
        <v>6</v>
      </c>
      <c r="H788" s="6">
        <v>59818.9</v>
      </c>
      <c r="I788" s="6">
        <v>5071.83</v>
      </c>
      <c r="J788">
        <v>21</v>
      </c>
      <c r="K788">
        <v>39</v>
      </c>
      <c r="L788" t="s">
        <v>18</v>
      </c>
      <c r="M788" t="s">
        <v>19</v>
      </c>
      <c r="N788">
        <v>3</v>
      </c>
      <c r="O788" s="4"/>
      <c r="P788" s="4" t="str">
        <f>IF(Data_Set_2[[#This Row],[valor_bruto]]&gt;$W$13,"OUTLIER+","")</f>
        <v/>
      </c>
      <c r="Q788" s="4" t="str">
        <f>IF(Data_Set_2[[#This Row],[valor_bruto]]&lt;$W$14,"OUTLIER-","")</f>
        <v/>
      </c>
      <c r="R788" s="4"/>
      <c r="S788" s="4"/>
      <c r="AB788" t="str">
        <v>RES-100786</v>
      </c>
      <c r="AC788">
        <v>45745</v>
      </c>
      <c r="AD788">
        <v>0.6958333333333333</v>
      </c>
      <c r="AE788" t="str">
        <v>Centro</v>
      </c>
      <c r="AF788" t="str">
        <v>Mesa</v>
      </c>
      <c r="AG788" t="str">
        <v>Pasta</v>
      </c>
      <c r="AH788">
        <v>6</v>
      </c>
      <c r="AI788">
        <v>59818.9</v>
      </c>
      <c r="AJ788">
        <v>5071.83</v>
      </c>
      <c r="AK788">
        <v>21</v>
      </c>
      <c r="AL788">
        <v>39</v>
      </c>
      <c r="AM788" t="str">
        <v>Tarjeta</v>
      </c>
      <c r="AN788" t="str">
        <v>Entregada</v>
      </c>
      <c r="AO788">
        <v>3</v>
      </c>
    </row>
    <row r="789" spans="1:41" x14ac:dyDescent="0.3">
      <c r="A789" t="s">
        <v>827</v>
      </c>
      <c r="B789" s="8">
        <v>45746</v>
      </c>
      <c r="C789" s="2">
        <v>0.74236111111111114</v>
      </c>
      <c r="D789" t="s">
        <v>33</v>
      </c>
      <c r="E789" t="s">
        <v>22</v>
      </c>
      <c r="F789" t="s">
        <v>29</v>
      </c>
      <c r="G789">
        <v>6</v>
      </c>
      <c r="H789" s="6">
        <v>45137.18</v>
      </c>
      <c r="I789" s="6">
        <v>1273.8800000000001</v>
      </c>
      <c r="J789">
        <v>26</v>
      </c>
      <c r="K789">
        <v>35</v>
      </c>
      <c r="L789" t="s">
        <v>24</v>
      </c>
      <c r="M789" t="s">
        <v>25</v>
      </c>
      <c r="N789">
        <v>5</v>
      </c>
      <c r="O789" s="4"/>
      <c r="P789" s="4" t="str">
        <f>IF(Data_Set_2[[#This Row],[valor_bruto]]&gt;$W$13,"OUTLIER+","")</f>
        <v/>
      </c>
      <c r="Q789" s="4" t="str">
        <f>IF(Data_Set_2[[#This Row],[valor_bruto]]&lt;$W$14,"OUTLIER-","")</f>
        <v/>
      </c>
      <c r="R789" s="4"/>
      <c r="S789" s="4"/>
      <c r="AB789" t="str">
        <v>RES-100787</v>
      </c>
      <c r="AC789">
        <v>45746</v>
      </c>
      <c r="AD789">
        <v>0.74236111111111114</v>
      </c>
      <c r="AE789" t="str">
        <v>Envigado</v>
      </c>
      <c r="AF789" t="str">
        <v>Domicilio</v>
      </c>
      <c r="AG789" t="str">
        <v>Parrilla</v>
      </c>
      <c r="AH789">
        <v>6</v>
      </c>
      <c r="AI789">
        <v>45137.18</v>
      </c>
      <c r="AJ789">
        <v>1273.8800000000001</v>
      </c>
      <c r="AK789">
        <v>26</v>
      </c>
      <c r="AL789">
        <v>35</v>
      </c>
      <c r="AM789" t="str">
        <v>Efectivo</v>
      </c>
      <c r="AN789" t="str">
        <v>Cancelada</v>
      </c>
      <c r="AO789">
        <v>5</v>
      </c>
    </row>
    <row r="790" spans="1:41" x14ac:dyDescent="0.3">
      <c r="A790" t="s">
        <v>828</v>
      </c>
      <c r="B790" s="8">
        <v>45747</v>
      </c>
      <c r="C790" s="2">
        <v>0.78888888888888886</v>
      </c>
      <c r="D790" t="s">
        <v>15</v>
      </c>
      <c r="E790" t="s">
        <v>28</v>
      </c>
      <c r="F790" t="s">
        <v>34</v>
      </c>
      <c r="G790">
        <v>5</v>
      </c>
      <c r="H790" s="6">
        <v>40532.44</v>
      </c>
      <c r="I790" s="6">
        <v>3227.74</v>
      </c>
      <c r="J790">
        <v>20</v>
      </c>
      <c r="K790">
        <v>37</v>
      </c>
      <c r="L790" t="s">
        <v>30</v>
      </c>
      <c r="M790" t="s">
        <v>31</v>
      </c>
      <c r="N790">
        <v>4</v>
      </c>
      <c r="O790" s="4"/>
      <c r="P790" s="4" t="str">
        <f>IF(Data_Set_2[[#This Row],[valor_bruto]]&gt;$W$13,"OUTLIER+","")</f>
        <v/>
      </c>
      <c r="Q790" s="4" t="str">
        <f>IF(Data_Set_2[[#This Row],[valor_bruto]]&lt;$W$14,"OUTLIER-","")</f>
        <v/>
      </c>
      <c r="R790" s="4"/>
      <c r="S790" s="4"/>
      <c r="AB790" t="str">
        <v>RES-100788</v>
      </c>
      <c r="AC790">
        <v>45747</v>
      </c>
      <c r="AD790">
        <v>0.78888888888888886</v>
      </c>
      <c r="AE790" t="str">
        <v>Laureles</v>
      </c>
      <c r="AF790" t="str">
        <v>Recoge</v>
      </c>
      <c r="AG790" t="str">
        <v>Vegano</v>
      </c>
      <c r="AH790">
        <v>5</v>
      </c>
      <c r="AI790">
        <v>40532.44</v>
      </c>
      <c r="AJ790">
        <v>3227.74</v>
      </c>
      <c r="AK790">
        <v>20</v>
      </c>
      <c r="AL790">
        <v>37</v>
      </c>
      <c r="AM790" t="str">
        <v>App</v>
      </c>
      <c r="AN790" t="str">
        <v>Reembolsada</v>
      </c>
      <c r="AO790">
        <v>4</v>
      </c>
    </row>
    <row r="791" spans="1:41" x14ac:dyDescent="0.3">
      <c r="A791" t="s">
        <v>829</v>
      </c>
      <c r="B791" s="8">
        <v>45748</v>
      </c>
      <c r="C791" s="2">
        <v>0.79374999999999996</v>
      </c>
      <c r="D791" t="s">
        <v>21</v>
      </c>
      <c r="E791" t="s">
        <v>16</v>
      </c>
      <c r="F791" t="s">
        <v>36</v>
      </c>
      <c r="G791">
        <v>5</v>
      </c>
      <c r="H791" s="6">
        <v>40756.97</v>
      </c>
      <c r="I791" s="6">
        <v>8157.65</v>
      </c>
      <c r="J791">
        <v>17</v>
      </c>
      <c r="K791">
        <v>33</v>
      </c>
      <c r="L791" t="s">
        <v>18</v>
      </c>
      <c r="M791" t="s">
        <v>19</v>
      </c>
      <c r="N791">
        <v>5</v>
      </c>
      <c r="O791" s="4"/>
      <c r="P791" s="4" t="str">
        <f>IF(Data_Set_2[[#This Row],[valor_bruto]]&gt;$W$13,"OUTLIER+","")</f>
        <v/>
      </c>
      <c r="Q791" s="4" t="str">
        <f>IF(Data_Set_2[[#This Row],[valor_bruto]]&lt;$W$14,"OUTLIER-","")</f>
        <v/>
      </c>
      <c r="R791" s="4"/>
      <c r="S791" s="4"/>
      <c r="AB791" t="str">
        <v>RES-100789</v>
      </c>
      <c r="AC791">
        <v>45748</v>
      </c>
      <c r="AD791">
        <v>0.79374999999999996</v>
      </c>
      <c r="AE791" t="str">
        <v>Poblado</v>
      </c>
      <c r="AF791" t="str">
        <v>Mesa</v>
      </c>
      <c r="AG791" t="str">
        <v>Bebidas</v>
      </c>
      <c r="AH791">
        <v>5</v>
      </c>
      <c r="AI791">
        <v>40756.97</v>
      </c>
      <c r="AJ791">
        <v>8157.65</v>
      </c>
      <c r="AK791">
        <v>17</v>
      </c>
      <c r="AL791">
        <v>33</v>
      </c>
      <c r="AM791" t="str">
        <v>Tarjeta</v>
      </c>
      <c r="AN791" t="str">
        <v>Entregada</v>
      </c>
      <c r="AO791">
        <v>5</v>
      </c>
    </row>
    <row r="792" spans="1:41" x14ac:dyDescent="0.3">
      <c r="A792" t="s">
        <v>830</v>
      </c>
      <c r="B792" s="8">
        <v>45749</v>
      </c>
      <c r="C792" s="2">
        <v>0.84027777777777779</v>
      </c>
      <c r="D792" t="s">
        <v>27</v>
      </c>
      <c r="E792" t="s">
        <v>22</v>
      </c>
      <c r="F792" t="s">
        <v>17</v>
      </c>
      <c r="G792">
        <v>3</v>
      </c>
      <c r="H792" s="6">
        <v>28427.91</v>
      </c>
      <c r="I792" s="6">
        <v>1534.49</v>
      </c>
      <c r="J792">
        <v>26</v>
      </c>
      <c r="K792">
        <v>43</v>
      </c>
      <c r="L792" t="s">
        <v>24</v>
      </c>
      <c r="M792" t="s">
        <v>25</v>
      </c>
      <c r="N792">
        <v>5</v>
      </c>
      <c r="O792" s="4"/>
      <c r="P792" s="4" t="str">
        <f>IF(Data_Set_2[[#This Row],[valor_bruto]]&gt;$W$13,"OUTLIER+","")</f>
        <v/>
      </c>
      <c r="Q792" s="4" t="str">
        <f>IF(Data_Set_2[[#This Row],[valor_bruto]]&lt;$W$14,"OUTLIER-","")</f>
        <v/>
      </c>
      <c r="R792" s="4"/>
      <c r="S792" s="4"/>
      <c r="AB792" t="str">
        <v>RES-100790</v>
      </c>
      <c r="AC792">
        <v>45749</v>
      </c>
      <c r="AD792">
        <v>0.84027777777777779</v>
      </c>
      <c r="AE792" t="str">
        <v>Centro</v>
      </c>
      <c r="AF792" t="str">
        <v>Domicilio</v>
      </c>
      <c r="AG792" t="str">
        <v>Comida rapida</v>
      </c>
      <c r="AH792">
        <v>3</v>
      </c>
      <c r="AI792">
        <v>28427.91</v>
      </c>
      <c r="AJ792">
        <v>1534.49</v>
      </c>
      <c r="AK792">
        <v>26</v>
      </c>
      <c r="AL792">
        <v>43</v>
      </c>
      <c r="AM792" t="str">
        <v>Efectivo</v>
      </c>
      <c r="AN792" t="str">
        <v>Cancelada</v>
      </c>
      <c r="AO792">
        <v>5</v>
      </c>
    </row>
    <row r="793" spans="1:41" x14ac:dyDescent="0.3">
      <c r="A793" t="s">
        <v>831</v>
      </c>
      <c r="B793" s="8">
        <v>45720</v>
      </c>
      <c r="C793" s="2">
        <v>0.88680555555555551</v>
      </c>
      <c r="D793" t="s">
        <v>33</v>
      </c>
      <c r="E793" t="s">
        <v>28</v>
      </c>
      <c r="F793" t="s">
        <v>23</v>
      </c>
      <c r="G793">
        <v>5</v>
      </c>
      <c r="H793" s="6">
        <v>32787.96</v>
      </c>
      <c r="I793" s="6">
        <v>4612.6099999999997</v>
      </c>
      <c r="J793">
        <v>25</v>
      </c>
      <c r="K793">
        <v>42</v>
      </c>
      <c r="L793" t="s">
        <v>30</v>
      </c>
      <c r="M793" t="s">
        <v>31</v>
      </c>
      <c r="N793">
        <v>3</v>
      </c>
      <c r="O793" s="4"/>
      <c r="P793" s="4" t="str">
        <f>IF(Data_Set_2[[#This Row],[valor_bruto]]&gt;$W$13,"OUTLIER+","")</f>
        <v/>
      </c>
      <c r="Q793" s="4" t="str">
        <f>IF(Data_Set_2[[#This Row],[valor_bruto]]&lt;$W$14,"OUTLIER-","")</f>
        <v/>
      </c>
      <c r="R793" s="4"/>
      <c r="S793" s="4"/>
      <c r="AB793" t="str">
        <v>RES-100791</v>
      </c>
      <c r="AC793">
        <v>45720</v>
      </c>
      <c r="AD793">
        <v>0.88680555555555551</v>
      </c>
      <c r="AE793" t="str">
        <v>Envigado</v>
      </c>
      <c r="AF793" t="str">
        <v>Recoge</v>
      </c>
      <c r="AG793" t="str">
        <v>Pasta</v>
      </c>
      <c r="AH793">
        <v>5</v>
      </c>
      <c r="AI793">
        <v>32787.96</v>
      </c>
      <c r="AJ793">
        <v>4612.6099999999997</v>
      </c>
      <c r="AK793">
        <v>25</v>
      </c>
      <c r="AL793">
        <v>42</v>
      </c>
      <c r="AM793" t="str">
        <v>App</v>
      </c>
      <c r="AN793" t="str">
        <v>Reembolsada</v>
      </c>
      <c r="AO793">
        <v>3</v>
      </c>
    </row>
    <row r="794" spans="1:41" x14ac:dyDescent="0.3">
      <c r="A794" t="s">
        <v>832</v>
      </c>
      <c r="B794" s="8">
        <v>45751</v>
      </c>
      <c r="C794" s="2">
        <v>0.43333333333333335</v>
      </c>
      <c r="D794" t="s">
        <v>15</v>
      </c>
      <c r="E794" t="s">
        <v>16</v>
      </c>
      <c r="F794" t="s">
        <v>29</v>
      </c>
      <c r="G794">
        <v>4</v>
      </c>
      <c r="H794" s="6">
        <v>45148.15</v>
      </c>
      <c r="I794" s="6">
        <v>7963.66</v>
      </c>
      <c r="J794">
        <v>22</v>
      </c>
      <c r="K794">
        <v>49</v>
      </c>
      <c r="L794" t="s">
        <v>18</v>
      </c>
      <c r="M794" t="s">
        <v>19</v>
      </c>
      <c r="N794">
        <v>4</v>
      </c>
      <c r="O794" s="4"/>
      <c r="P794" s="4" t="str">
        <f>IF(Data_Set_2[[#This Row],[valor_bruto]]&gt;$W$13,"OUTLIER+","")</f>
        <v/>
      </c>
      <c r="Q794" s="4" t="str">
        <f>IF(Data_Set_2[[#This Row],[valor_bruto]]&lt;$W$14,"OUTLIER-","")</f>
        <v/>
      </c>
      <c r="R794" s="4"/>
      <c r="S794" s="4"/>
      <c r="AB794" t="str">
        <v>RES-100792</v>
      </c>
      <c r="AC794">
        <v>45751</v>
      </c>
      <c r="AD794">
        <v>0.43333333333333335</v>
      </c>
      <c r="AE794" t="str">
        <v>Laureles</v>
      </c>
      <c r="AF794" t="str">
        <v>Mesa</v>
      </c>
      <c r="AG794" t="str">
        <v>Parrilla</v>
      </c>
      <c r="AH794">
        <v>4</v>
      </c>
      <c r="AI794">
        <v>45148.15</v>
      </c>
      <c r="AJ794">
        <v>7963.66</v>
      </c>
      <c r="AK794">
        <v>22</v>
      </c>
      <c r="AL794">
        <v>49</v>
      </c>
      <c r="AM794" t="str">
        <v>Tarjeta</v>
      </c>
      <c r="AN794" t="str">
        <v>Entregada</v>
      </c>
      <c r="AO794">
        <v>4</v>
      </c>
    </row>
    <row r="795" spans="1:41" x14ac:dyDescent="0.3">
      <c r="A795" t="s">
        <v>833</v>
      </c>
      <c r="B795" s="8">
        <v>45752</v>
      </c>
      <c r="C795" s="2">
        <v>0.47986111111111113</v>
      </c>
      <c r="D795" t="s">
        <v>21</v>
      </c>
      <c r="E795" t="s">
        <v>22</v>
      </c>
      <c r="F795" t="s">
        <v>34</v>
      </c>
      <c r="G795">
        <v>3</v>
      </c>
      <c r="H795" s="6">
        <v>47499.18</v>
      </c>
      <c r="I795" s="6">
        <v>4465.1499999999996</v>
      </c>
      <c r="J795">
        <v>30</v>
      </c>
      <c r="K795">
        <v>41</v>
      </c>
      <c r="L795" t="s">
        <v>24</v>
      </c>
      <c r="M795" t="s">
        <v>25</v>
      </c>
      <c r="N795">
        <v>5</v>
      </c>
      <c r="O795" s="4"/>
      <c r="P795" s="4" t="str">
        <f>IF(Data_Set_2[[#This Row],[valor_bruto]]&gt;$W$13,"OUTLIER+","")</f>
        <v/>
      </c>
      <c r="Q795" s="4" t="str">
        <f>IF(Data_Set_2[[#This Row],[valor_bruto]]&lt;$W$14,"OUTLIER-","")</f>
        <v/>
      </c>
      <c r="R795" s="4"/>
      <c r="S795" s="4"/>
      <c r="AB795" t="str">
        <v>RES-100793</v>
      </c>
      <c r="AC795">
        <v>45752</v>
      </c>
      <c r="AD795">
        <v>0.47986111111111113</v>
      </c>
      <c r="AE795" t="str">
        <v>Poblado</v>
      </c>
      <c r="AF795" t="str">
        <v>Domicilio</v>
      </c>
      <c r="AG795" t="str">
        <v>Vegano</v>
      </c>
      <c r="AH795">
        <v>3</v>
      </c>
      <c r="AI795">
        <v>47499.18</v>
      </c>
      <c r="AJ795">
        <v>4465.1499999999996</v>
      </c>
      <c r="AK795">
        <v>30</v>
      </c>
      <c r="AL795">
        <v>41</v>
      </c>
      <c r="AM795" t="str">
        <v>Efectivo</v>
      </c>
      <c r="AN795" t="str">
        <v>Cancelada</v>
      </c>
      <c r="AO795">
        <v>5</v>
      </c>
    </row>
    <row r="796" spans="1:41" x14ac:dyDescent="0.3">
      <c r="A796" t="s">
        <v>834</v>
      </c>
      <c r="B796" s="8">
        <v>45812</v>
      </c>
      <c r="C796" s="2">
        <v>0.52638888888888891</v>
      </c>
      <c r="D796" t="s">
        <v>27</v>
      </c>
      <c r="E796" t="s">
        <v>28</v>
      </c>
      <c r="F796" t="s">
        <v>36</v>
      </c>
      <c r="G796">
        <v>5</v>
      </c>
      <c r="H796" s="6">
        <v>69151.42</v>
      </c>
      <c r="I796" s="6">
        <v>4643.8100000000004</v>
      </c>
      <c r="J796">
        <v>27</v>
      </c>
      <c r="K796">
        <v>37</v>
      </c>
      <c r="L796" t="s">
        <v>30</v>
      </c>
      <c r="M796" t="s">
        <v>31</v>
      </c>
      <c r="N796">
        <v>3</v>
      </c>
      <c r="O796" s="4"/>
      <c r="P796" s="4" t="str">
        <f>IF(Data_Set_2[[#This Row],[valor_bruto]]&gt;$W$13,"OUTLIER+","")</f>
        <v/>
      </c>
      <c r="Q796" s="4" t="str">
        <f>IF(Data_Set_2[[#This Row],[valor_bruto]]&lt;$W$14,"OUTLIER-","")</f>
        <v/>
      </c>
      <c r="R796" s="4"/>
      <c r="S796" s="4"/>
      <c r="AB796" t="str">
        <v>RES-100794</v>
      </c>
      <c r="AC796">
        <v>45812</v>
      </c>
      <c r="AD796">
        <v>0.52638888888888891</v>
      </c>
      <c r="AE796" t="str">
        <v>Centro</v>
      </c>
      <c r="AF796" t="str">
        <v>Recoge</v>
      </c>
      <c r="AG796" t="str">
        <v>Bebidas</v>
      </c>
      <c r="AH796">
        <v>5</v>
      </c>
      <c r="AI796">
        <v>69151.42</v>
      </c>
      <c r="AJ796">
        <v>4643.8100000000004</v>
      </c>
      <c r="AK796">
        <v>27</v>
      </c>
      <c r="AL796">
        <v>37</v>
      </c>
      <c r="AM796" t="str">
        <v>App</v>
      </c>
      <c r="AN796" t="str">
        <v>Reembolsada</v>
      </c>
      <c r="AO796">
        <v>3</v>
      </c>
    </row>
    <row r="797" spans="1:41" x14ac:dyDescent="0.3">
      <c r="A797" t="s">
        <v>835</v>
      </c>
      <c r="B797" s="8">
        <v>45754</v>
      </c>
      <c r="C797" s="2">
        <v>0.57291666666666663</v>
      </c>
      <c r="D797" t="s">
        <v>33</v>
      </c>
      <c r="E797" t="s">
        <v>16</v>
      </c>
      <c r="F797" t="s">
        <v>17</v>
      </c>
      <c r="G797">
        <v>5</v>
      </c>
      <c r="H797" s="6">
        <v>63261.71</v>
      </c>
      <c r="I797" s="6">
        <v>6503.92</v>
      </c>
      <c r="J797">
        <v>16</v>
      </c>
      <c r="K797">
        <v>25</v>
      </c>
      <c r="L797" t="s">
        <v>18</v>
      </c>
      <c r="M797" t="s">
        <v>19</v>
      </c>
      <c r="N797">
        <v>5</v>
      </c>
      <c r="O797" s="4"/>
      <c r="P797" s="4" t="str">
        <f>IF(Data_Set_2[[#This Row],[valor_bruto]]&gt;$W$13,"OUTLIER+","")</f>
        <v/>
      </c>
      <c r="Q797" s="4" t="str">
        <f>IF(Data_Set_2[[#This Row],[valor_bruto]]&lt;$W$14,"OUTLIER-","")</f>
        <v/>
      </c>
      <c r="R797" s="4"/>
      <c r="S797" s="4"/>
      <c r="AB797" t="str">
        <v>RES-100795</v>
      </c>
      <c r="AC797">
        <v>45754</v>
      </c>
      <c r="AD797">
        <v>0.57291666666666663</v>
      </c>
      <c r="AE797" t="str">
        <v>Envigado</v>
      </c>
      <c r="AF797" t="str">
        <v>Mesa</v>
      </c>
      <c r="AG797" t="str">
        <v>Comida rapida</v>
      </c>
      <c r="AH797">
        <v>5</v>
      </c>
      <c r="AI797">
        <v>63261.71</v>
      </c>
      <c r="AJ797">
        <v>6503.92</v>
      </c>
      <c r="AK797">
        <v>16</v>
      </c>
      <c r="AL797">
        <v>25</v>
      </c>
      <c r="AM797" t="str">
        <v>Tarjeta</v>
      </c>
      <c r="AN797" t="str">
        <v>Entregada</v>
      </c>
      <c r="AO797">
        <v>5</v>
      </c>
    </row>
    <row r="798" spans="1:41" x14ac:dyDescent="0.3">
      <c r="A798" t="s">
        <v>836</v>
      </c>
      <c r="B798" s="8">
        <v>45755</v>
      </c>
      <c r="C798" s="2">
        <v>0.61944444444444446</v>
      </c>
      <c r="D798" t="s">
        <v>15</v>
      </c>
      <c r="E798" t="s">
        <v>22</v>
      </c>
      <c r="F798" t="s">
        <v>23</v>
      </c>
      <c r="G798">
        <v>4</v>
      </c>
      <c r="H798" s="6">
        <v>58241.64</v>
      </c>
      <c r="I798" s="6">
        <v>2414.77</v>
      </c>
      <c r="J798">
        <v>30</v>
      </c>
      <c r="K798">
        <v>31</v>
      </c>
      <c r="L798" t="s">
        <v>24</v>
      </c>
      <c r="M798" t="s">
        <v>25</v>
      </c>
      <c r="N798">
        <v>4</v>
      </c>
      <c r="O798" s="4"/>
      <c r="P798" s="4" t="str">
        <f>IF(Data_Set_2[[#This Row],[valor_bruto]]&gt;$W$13,"OUTLIER+","")</f>
        <v/>
      </c>
      <c r="Q798" s="4" t="str">
        <f>IF(Data_Set_2[[#This Row],[valor_bruto]]&lt;$W$14,"OUTLIER-","")</f>
        <v/>
      </c>
      <c r="R798" s="4"/>
      <c r="S798" s="4"/>
      <c r="AB798" t="str">
        <v>RES-100796</v>
      </c>
      <c r="AC798">
        <v>45755</v>
      </c>
      <c r="AD798">
        <v>0.61944444444444446</v>
      </c>
      <c r="AE798" t="str">
        <v>Laureles</v>
      </c>
      <c r="AF798" t="str">
        <v>Domicilio</v>
      </c>
      <c r="AG798" t="str">
        <v>Pasta</v>
      </c>
      <c r="AH798">
        <v>4</v>
      </c>
      <c r="AI798">
        <v>58241.64</v>
      </c>
      <c r="AJ798">
        <v>2414.77</v>
      </c>
      <c r="AK798">
        <v>30</v>
      </c>
      <c r="AL798">
        <v>31</v>
      </c>
      <c r="AM798" t="str">
        <v>Efectivo</v>
      </c>
      <c r="AN798" t="str">
        <v>Cancelada</v>
      </c>
      <c r="AO798">
        <v>4</v>
      </c>
    </row>
    <row r="799" spans="1:41" x14ac:dyDescent="0.3">
      <c r="A799" t="s">
        <v>837</v>
      </c>
      <c r="B799" s="8">
        <v>45904</v>
      </c>
      <c r="C799" s="2">
        <v>0.66597222222222219</v>
      </c>
      <c r="D799" t="s">
        <v>21</v>
      </c>
      <c r="E799" t="s">
        <v>28</v>
      </c>
      <c r="F799" t="s">
        <v>29</v>
      </c>
      <c r="G799">
        <v>5</v>
      </c>
      <c r="H799" s="6">
        <v>33161.11</v>
      </c>
      <c r="I799" s="6">
        <v>2031.34</v>
      </c>
      <c r="J799">
        <v>26</v>
      </c>
      <c r="K799">
        <v>38</v>
      </c>
      <c r="L799" t="s">
        <v>30</v>
      </c>
      <c r="M799" t="s">
        <v>31</v>
      </c>
      <c r="N799">
        <v>4</v>
      </c>
      <c r="O799" s="4"/>
      <c r="P799" s="4" t="str">
        <f>IF(Data_Set_2[[#This Row],[valor_bruto]]&gt;$W$13,"OUTLIER+","")</f>
        <v/>
      </c>
      <c r="Q799" s="4" t="str">
        <f>IF(Data_Set_2[[#This Row],[valor_bruto]]&lt;$W$14,"OUTLIER-","")</f>
        <v/>
      </c>
      <c r="R799" s="4"/>
      <c r="S799" s="4"/>
      <c r="AB799" t="str">
        <v>RES-100797</v>
      </c>
      <c r="AC799">
        <v>45904</v>
      </c>
      <c r="AD799">
        <v>0.66597222222222219</v>
      </c>
      <c r="AE799" t="str">
        <v>Poblado</v>
      </c>
      <c r="AF799" t="str">
        <v>Recoge</v>
      </c>
      <c r="AG799" t="str">
        <v>Parrilla</v>
      </c>
      <c r="AH799">
        <v>5</v>
      </c>
      <c r="AI799">
        <v>33161.11</v>
      </c>
      <c r="AJ799">
        <v>2031.34</v>
      </c>
      <c r="AK799">
        <v>26</v>
      </c>
      <c r="AL799">
        <v>38</v>
      </c>
      <c r="AM799" t="str">
        <v>App</v>
      </c>
      <c r="AN799" t="str">
        <v>Reembolsada</v>
      </c>
      <c r="AO799">
        <v>4</v>
      </c>
    </row>
    <row r="800" spans="1:41" x14ac:dyDescent="0.3">
      <c r="A800" t="s">
        <v>838</v>
      </c>
      <c r="B800" s="8">
        <v>45757</v>
      </c>
      <c r="C800" s="2">
        <v>0.67083333333333328</v>
      </c>
      <c r="D800" t="s">
        <v>27</v>
      </c>
      <c r="E800" t="s">
        <v>16</v>
      </c>
      <c r="F800" t="s">
        <v>34</v>
      </c>
      <c r="G800">
        <v>3</v>
      </c>
      <c r="H800" s="6">
        <v>6112.33</v>
      </c>
      <c r="I800" s="6">
        <v>4139.41</v>
      </c>
      <c r="J800">
        <v>23</v>
      </c>
      <c r="K800">
        <v>50</v>
      </c>
      <c r="L800" t="s">
        <v>18</v>
      </c>
      <c r="M800" t="s">
        <v>19</v>
      </c>
      <c r="N800">
        <v>5</v>
      </c>
      <c r="O800" s="4"/>
      <c r="P800" s="4" t="str">
        <f>IF(Data_Set_2[[#This Row],[valor_bruto]]&gt;$W$13,"OUTLIER+","")</f>
        <v/>
      </c>
      <c r="Q800" s="4" t="str">
        <f>IF(Data_Set_2[[#This Row],[valor_bruto]]&lt;$W$14,"OUTLIER-","")</f>
        <v>OUTLIER-</v>
      </c>
      <c r="R800" s="4"/>
      <c r="S800" s="4"/>
      <c r="AB800" t="str">
        <v>RES-100798</v>
      </c>
      <c r="AC800">
        <v>45757</v>
      </c>
      <c r="AD800">
        <v>0.67083333333333328</v>
      </c>
      <c r="AE800" t="str">
        <v>Centro</v>
      </c>
      <c r="AF800" t="str">
        <v>Mesa</v>
      </c>
      <c r="AG800" t="str">
        <v>Vegano</v>
      </c>
      <c r="AH800">
        <v>3</v>
      </c>
      <c r="AI800">
        <v>6112.33</v>
      </c>
      <c r="AJ800">
        <v>4139.41</v>
      </c>
      <c r="AK800">
        <v>23</v>
      </c>
      <c r="AL800">
        <v>50</v>
      </c>
      <c r="AM800" t="str">
        <v>Tarjeta</v>
      </c>
      <c r="AN800" t="str">
        <v>Entregada</v>
      </c>
      <c r="AO800">
        <v>5</v>
      </c>
    </row>
    <row r="801" spans="1:41" x14ac:dyDescent="0.3">
      <c r="A801" t="s">
        <v>839</v>
      </c>
      <c r="B801" s="8">
        <v>45758</v>
      </c>
      <c r="C801" s="2">
        <v>0.71736111111111112</v>
      </c>
      <c r="D801" t="s">
        <v>33</v>
      </c>
      <c r="E801" t="s">
        <v>22</v>
      </c>
      <c r="F801" t="s">
        <v>36</v>
      </c>
      <c r="G801">
        <v>6</v>
      </c>
      <c r="H801" s="6">
        <v>58792.160000000003</v>
      </c>
      <c r="I801" s="6">
        <v>3308.92</v>
      </c>
      <c r="J801">
        <v>20</v>
      </c>
      <c r="K801">
        <v>36</v>
      </c>
      <c r="L801" t="s">
        <v>24</v>
      </c>
      <c r="M801" t="s">
        <v>25</v>
      </c>
      <c r="N801">
        <v>3</v>
      </c>
      <c r="O801" s="4"/>
      <c r="P801" s="4" t="str">
        <f>IF(Data_Set_2[[#This Row],[valor_bruto]]&gt;$W$13,"OUTLIER+","")</f>
        <v/>
      </c>
      <c r="Q801" s="4" t="str">
        <f>IF(Data_Set_2[[#This Row],[valor_bruto]]&lt;$W$14,"OUTLIER-","")</f>
        <v/>
      </c>
      <c r="R801" s="4"/>
      <c r="S801" s="4"/>
      <c r="AB801" t="str">
        <v>RES-100799</v>
      </c>
      <c r="AC801">
        <v>45758</v>
      </c>
      <c r="AD801">
        <v>0.71736111111111112</v>
      </c>
      <c r="AE801" t="str">
        <v>Envigado</v>
      </c>
      <c r="AF801" t="str">
        <v>Domicilio</v>
      </c>
      <c r="AG801" t="str">
        <v>Bebidas</v>
      </c>
      <c r="AH801">
        <v>6</v>
      </c>
      <c r="AI801">
        <v>58792.160000000003</v>
      </c>
      <c r="AJ801">
        <v>3308.92</v>
      </c>
      <c r="AK801">
        <v>20</v>
      </c>
      <c r="AL801">
        <v>36</v>
      </c>
      <c r="AM801" t="str">
        <v>Efectivo</v>
      </c>
      <c r="AN801" t="str">
        <v>Cancelada</v>
      </c>
      <c r="AO801">
        <v>3</v>
      </c>
    </row>
    <row r="802" spans="1:41" x14ac:dyDescent="0.3">
      <c r="A802" t="s">
        <v>840</v>
      </c>
      <c r="B802" s="8">
        <v>45995</v>
      </c>
      <c r="C802" s="2">
        <v>0.76388888888888884</v>
      </c>
      <c r="D802" t="s">
        <v>15</v>
      </c>
      <c r="E802" t="s">
        <v>28</v>
      </c>
      <c r="F802" t="s">
        <v>17</v>
      </c>
      <c r="G802">
        <v>6</v>
      </c>
      <c r="H802" s="6">
        <v>57938.82</v>
      </c>
      <c r="I802" s="6">
        <v>5058.8</v>
      </c>
      <c r="J802">
        <v>19</v>
      </c>
      <c r="K802">
        <v>26</v>
      </c>
      <c r="L802" t="s">
        <v>30</v>
      </c>
      <c r="M802" t="s">
        <v>31</v>
      </c>
      <c r="N802">
        <v>4</v>
      </c>
      <c r="O802" s="4"/>
      <c r="P802" s="4" t="str">
        <f>IF(Data_Set_2[[#This Row],[valor_bruto]]&gt;$W$13,"OUTLIER+","")</f>
        <v/>
      </c>
      <c r="Q802" s="4" t="str">
        <f>IF(Data_Set_2[[#This Row],[valor_bruto]]&lt;$W$14,"OUTLIER-","")</f>
        <v/>
      </c>
      <c r="R802" s="4"/>
      <c r="S802" s="4"/>
      <c r="AB802" t="str">
        <v>RES-100800</v>
      </c>
      <c r="AC802">
        <v>45995</v>
      </c>
      <c r="AD802">
        <v>0.76388888888888884</v>
      </c>
      <c r="AE802" t="str">
        <v>Laureles</v>
      </c>
      <c r="AF802" t="str">
        <v>Recoge</v>
      </c>
      <c r="AG802" t="str">
        <v>Comida rapida</v>
      </c>
      <c r="AH802">
        <v>6</v>
      </c>
      <c r="AI802">
        <v>57938.82</v>
      </c>
      <c r="AJ802">
        <v>5058.8</v>
      </c>
      <c r="AK802">
        <v>19</v>
      </c>
      <c r="AL802">
        <v>26</v>
      </c>
      <c r="AM802" t="str">
        <v>App</v>
      </c>
      <c r="AN802" t="str">
        <v>Reembolsada</v>
      </c>
      <c r="AO802">
        <v>4</v>
      </c>
    </row>
    <row r="803" spans="1:41" x14ac:dyDescent="0.3">
      <c r="A803" t="s">
        <v>841</v>
      </c>
      <c r="B803" s="8">
        <v>45760</v>
      </c>
      <c r="C803" s="2">
        <v>0.81041666666666667</v>
      </c>
      <c r="D803" t="s">
        <v>21</v>
      </c>
      <c r="E803" t="s">
        <v>16</v>
      </c>
      <c r="F803" t="s">
        <v>23</v>
      </c>
      <c r="G803">
        <v>5</v>
      </c>
      <c r="H803" s="6">
        <v>31038.62</v>
      </c>
      <c r="I803" s="6">
        <v>4105.78</v>
      </c>
      <c r="J803">
        <v>20</v>
      </c>
      <c r="K803">
        <v>36</v>
      </c>
      <c r="L803" t="s">
        <v>18</v>
      </c>
      <c r="M803" t="s">
        <v>19</v>
      </c>
      <c r="N803">
        <v>5</v>
      </c>
      <c r="O803" s="4"/>
      <c r="P803" s="4" t="str">
        <f>IF(Data_Set_2[[#This Row],[valor_bruto]]&gt;$W$13,"OUTLIER+","")</f>
        <v/>
      </c>
      <c r="Q803" s="4" t="str">
        <f>IF(Data_Set_2[[#This Row],[valor_bruto]]&lt;$W$14,"OUTLIER-","")</f>
        <v/>
      </c>
      <c r="R803" s="4"/>
      <c r="S803" s="4"/>
      <c r="AB803" t="str">
        <v>RES-100801</v>
      </c>
      <c r="AC803">
        <v>45760</v>
      </c>
      <c r="AD803">
        <v>0.81041666666666667</v>
      </c>
      <c r="AE803" t="str">
        <v>Poblado</v>
      </c>
      <c r="AF803" t="str">
        <v>Mesa</v>
      </c>
      <c r="AG803" t="str">
        <v>Pasta</v>
      </c>
      <c r="AH803">
        <v>5</v>
      </c>
      <c r="AI803">
        <v>31038.62</v>
      </c>
      <c r="AJ803">
        <v>4105.78</v>
      </c>
      <c r="AK803">
        <v>20</v>
      </c>
      <c r="AL803">
        <v>36</v>
      </c>
      <c r="AM803" t="str">
        <v>Tarjeta</v>
      </c>
      <c r="AN803" t="str">
        <v>Entregada</v>
      </c>
      <c r="AO803">
        <v>5</v>
      </c>
    </row>
    <row r="804" spans="1:41" x14ac:dyDescent="0.3">
      <c r="A804" t="s">
        <v>842</v>
      </c>
      <c r="B804" s="8">
        <v>45761</v>
      </c>
      <c r="C804" s="2">
        <v>0.8569444444444444</v>
      </c>
      <c r="D804" t="s">
        <v>27</v>
      </c>
      <c r="E804" t="s">
        <v>22</v>
      </c>
      <c r="F804" t="s">
        <v>29</v>
      </c>
      <c r="G804">
        <v>4</v>
      </c>
      <c r="H804" s="6">
        <v>60707.13</v>
      </c>
      <c r="I804" s="6">
        <v>8266.76</v>
      </c>
      <c r="J804">
        <v>28</v>
      </c>
      <c r="K804">
        <v>26</v>
      </c>
      <c r="L804" t="s">
        <v>24</v>
      </c>
      <c r="M804" t="s">
        <v>25</v>
      </c>
      <c r="N804">
        <v>4</v>
      </c>
      <c r="O804" s="4"/>
      <c r="P804" s="4" t="str">
        <f>IF(Data_Set_2[[#This Row],[valor_bruto]]&gt;$W$13,"OUTLIER+","")</f>
        <v/>
      </c>
      <c r="Q804" s="4" t="str">
        <f>IF(Data_Set_2[[#This Row],[valor_bruto]]&lt;$W$14,"OUTLIER-","")</f>
        <v/>
      </c>
      <c r="R804" s="4"/>
      <c r="S804" s="4"/>
      <c r="AB804" t="str">
        <v>RES-100802</v>
      </c>
      <c r="AC804">
        <v>45761</v>
      </c>
      <c r="AD804">
        <v>0.8569444444444444</v>
      </c>
      <c r="AE804" t="str">
        <v>Centro</v>
      </c>
      <c r="AF804" t="str">
        <v>Domicilio</v>
      </c>
      <c r="AG804" t="str">
        <v>Parrilla</v>
      </c>
      <c r="AH804">
        <v>4</v>
      </c>
      <c r="AI804">
        <v>60707.13</v>
      </c>
      <c r="AJ804">
        <v>8266.76</v>
      </c>
      <c r="AK804">
        <v>28</v>
      </c>
      <c r="AL804">
        <v>26</v>
      </c>
      <c r="AM804" t="str">
        <v>Efectivo</v>
      </c>
      <c r="AN804" t="str">
        <v>Cancelada</v>
      </c>
      <c r="AO804">
        <v>4</v>
      </c>
    </row>
    <row r="805" spans="1:41" x14ac:dyDescent="0.3">
      <c r="A805" t="s">
        <v>843</v>
      </c>
      <c r="B805" s="8">
        <v>45762</v>
      </c>
      <c r="C805" s="2">
        <v>0.90347222222222223</v>
      </c>
      <c r="D805" t="s">
        <v>33</v>
      </c>
      <c r="E805" t="s">
        <v>28</v>
      </c>
      <c r="F805" t="s">
        <v>34</v>
      </c>
      <c r="G805">
        <v>6</v>
      </c>
      <c r="H805" s="6">
        <v>58198.96</v>
      </c>
      <c r="I805" s="6">
        <v>7705.2</v>
      </c>
      <c r="J805">
        <v>14</v>
      </c>
      <c r="K805">
        <v>44</v>
      </c>
      <c r="L805" t="s">
        <v>30</v>
      </c>
      <c r="M805" t="s">
        <v>31</v>
      </c>
      <c r="N805">
        <v>3</v>
      </c>
      <c r="O805" s="4"/>
      <c r="P805" s="4" t="str">
        <f>IF(Data_Set_2[[#This Row],[valor_bruto]]&gt;$W$13,"OUTLIER+","")</f>
        <v/>
      </c>
      <c r="Q805" s="4" t="str">
        <f>IF(Data_Set_2[[#This Row],[valor_bruto]]&lt;$W$14,"OUTLIER-","")</f>
        <v/>
      </c>
      <c r="R805" s="4"/>
      <c r="S805" s="4"/>
      <c r="AB805" t="str">
        <v>RES-100803</v>
      </c>
      <c r="AC805">
        <v>45762</v>
      </c>
      <c r="AD805">
        <v>0.90347222222222223</v>
      </c>
      <c r="AE805" t="str">
        <v>Envigado</v>
      </c>
      <c r="AF805" t="str">
        <v>Recoge</v>
      </c>
      <c r="AG805" t="str">
        <v>Vegano</v>
      </c>
      <c r="AH805">
        <v>6</v>
      </c>
      <c r="AI805">
        <v>58198.96</v>
      </c>
      <c r="AJ805">
        <v>7705.2</v>
      </c>
      <c r="AK805">
        <v>14</v>
      </c>
      <c r="AL805">
        <v>44</v>
      </c>
      <c r="AM805" t="str">
        <v>App</v>
      </c>
      <c r="AN805" t="str">
        <v>Reembolsada</v>
      </c>
      <c r="AO805">
        <v>3</v>
      </c>
    </row>
    <row r="806" spans="1:41" x14ac:dyDescent="0.3">
      <c r="A806" t="s">
        <v>844</v>
      </c>
      <c r="B806" s="8">
        <v>45763</v>
      </c>
      <c r="C806" s="2">
        <v>0.45</v>
      </c>
      <c r="D806" t="s">
        <v>15</v>
      </c>
      <c r="E806" t="s">
        <v>16</v>
      </c>
      <c r="F806" t="s">
        <v>36</v>
      </c>
      <c r="G806">
        <v>6</v>
      </c>
      <c r="H806" s="6">
        <v>69789.63</v>
      </c>
      <c r="I806" s="6">
        <v>4129.74</v>
      </c>
      <c r="J806">
        <v>26</v>
      </c>
      <c r="K806">
        <v>26</v>
      </c>
      <c r="L806" t="s">
        <v>18</v>
      </c>
      <c r="M806" t="s">
        <v>19</v>
      </c>
      <c r="N806">
        <v>4</v>
      </c>
      <c r="O806" s="4"/>
      <c r="P806" s="4" t="str">
        <f>IF(Data_Set_2[[#This Row],[valor_bruto]]&gt;$W$13,"OUTLIER+","")</f>
        <v/>
      </c>
      <c r="Q806" s="4" t="str">
        <f>IF(Data_Set_2[[#This Row],[valor_bruto]]&lt;$W$14,"OUTLIER-","")</f>
        <v/>
      </c>
      <c r="R806" s="4"/>
      <c r="S806" s="4"/>
      <c r="AB806" t="str">
        <v>RES-100804</v>
      </c>
      <c r="AC806">
        <v>45763</v>
      </c>
      <c r="AD806">
        <v>0.45</v>
      </c>
      <c r="AE806" t="str">
        <v>Laureles</v>
      </c>
      <c r="AF806" t="str">
        <v>Mesa</v>
      </c>
      <c r="AG806" t="str">
        <v>Bebidas</v>
      </c>
      <c r="AH806">
        <v>6</v>
      </c>
      <c r="AI806">
        <v>69789.63</v>
      </c>
      <c r="AJ806">
        <v>4129.74</v>
      </c>
      <c r="AK806">
        <v>26</v>
      </c>
      <c r="AL806">
        <v>26</v>
      </c>
      <c r="AM806" t="str">
        <v>Tarjeta</v>
      </c>
      <c r="AN806" t="str">
        <v>Entregada</v>
      </c>
      <c r="AO806">
        <v>4</v>
      </c>
    </row>
    <row r="807" spans="1:41" x14ac:dyDescent="0.3">
      <c r="A807" t="s">
        <v>845</v>
      </c>
      <c r="B807" s="8">
        <v>45764</v>
      </c>
      <c r="C807" s="2">
        <v>0.49652777777777779</v>
      </c>
      <c r="D807" t="s">
        <v>21</v>
      </c>
      <c r="E807" t="s">
        <v>22</v>
      </c>
      <c r="F807" t="s">
        <v>17</v>
      </c>
      <c r="G807">
        <v>2</v>
      </c>
      <c r="H807" s="6">
        <v>27768.35</v>
      </c>
      <c r="I807" s="6">
        <v>5720.29</v>
      </c>
      <c r="J807">
        <v>31</v>
      </c>
      <c r="K807">
        <v>49</v>
      </c>
      <c r="L807" t="s">
        <v>24</v>
      </c>
      <c r="M807" t="s">
        <v>25</v>
      </c>
      <c r="N807">
        <v>4</v>
      </c>
      <c r="O807" s="4"/>
      <c r="P807" s="4" t="str">
        <f>IF(Data_Set_2[[#This Row],[valor_bruto]]&gt;$W$13,"OUTLIER+","")</f>
        <v/>
      </c>
      <c r="Q807" s="4" t="str">
        <f>IF(Data_Set_2[[#This Row],[valor_bruto]]&lt;$W$14,"OUTLIER-","")</f>
        <v/>
      </c>
      <c r="R807" s="4"/>
      <c r="S807" s="4"/>
      <c r="AB807" t="str">
        <v>RES-100805</v>
      </c>
      <c r="AC807">
        <v>45764</v>
      </c>
      <c r="AD807">
        <v>0.49652777777777779</v>
      </c>
      <c r="AE807" t="str">
        <v>Poblado</v>
      </c>
      <c r="AF807" t="str">
        <v>Domicilio</v>
      </c>
      <c r="AG807" t="str">
        <v>Comida rapida</v>
      </c>
      <c r="AH807">
        <v>2</v>
      </c>
      <c r="AI807">
        <v>27768.35</v>
      </c>
      <c r="AJ807">
        <v>5720.29</v>
      </c>
      <c r="AK807">
        <v>31</v>
      </c>
      <c r="AL807">
        <v>49</v>
      </c>
      <c r="AM807" t="str">
        <v>Efectivo</v>
      </c>
      <c r="AN807" t="str">
        <v>Cancelada</v>
      </c>
      <c r="AO807">
        <v>4</v>
      </c>
    </row>
    <row r="808" spans="1:41" x14ac:dyDescent="0.3">
      <c r="A808" t="s">
        <v>846</v>
      </c>
      <c r="B808" s="8">
        <v>45765</v>
      </c>
      <c r="C808" s="2">
        <v>0.50138888888888888</v>
      </c>
      <c r="D808" t="s">
        <v>27</v>
      </c>
      <c r="E808" t="s">
        <v>28</v>
      </c>
      <c r="F808" t="s">
        <v>23</v>
      </c>
      <c r="G808">
        <v>3</v>
      </c>
      <c r="H808" s="6">
        <v>30567.09</v>
      </c>
      <c r="I808" s="6">
        <v>1091.7</v>
      </c>
      <c r="J808">
        <v>20</v>
      </c>
      <c r="K808">
        <v>45</v>
      </c>
      <c r="L808" t="s">
        <v>30</v>
      </c>
      <c r="M808" t="s">
        <v>31</v>
      </c>
      <c r="N808">
        <v>5</v>
      </c>
      <c r="O808" s="4"/>
      <c r="P808" s="4" t="str">
        <f>IF(Data_Set_2[[#This Row],[valor_bruto]]&gt;$W$13,"OUTLIER+","")</f>
        <v/>
      </c>
      <c r="Q808" s="4" t="str">
        <f>IF(Data_Set_2[[#This Row],[valor_bruto]]&lt;$W$14,"OUTLIER-","")</f>
        <v/>
      </c>
      <c r="R808" s="4"/>
      <c r="S808" s="4"/>
      <c r="AB808" t="str">
        <v>RES-100806</v>
      </c>
      <c r="AC808">
        <v>45765</v>
      </c>
      <c r="AD808">
        <v>0.50138888888888888</v>
      </c>
      <c r="AE808" t="str">
        <v>Centro</v>
      </c>
      <c r="AF808" t="str">
        <v>Recoge</v>
      </c>
      <c r="AG808" t="str">
        <v>Pasta</v>
      </c>
      <c r="AH808">
        <v>3</v>
      </c>
      <c r="AI808">
        <v>30567.09</v>
      </c>
      <c r="AJ808">
        <v>1091.7</v>
      </c>
      <c r="AK808">
        <v>20</v>
      </c>
      <c r="AL808">
        <v>45</v>
      </c>
      <c r="AM808" t="str">
        <v>App</v>
      </c>
      <c r="AN808" t="str">
        <v>Reembolsada</v>
      </c>
      <c r="AO808">
        <v>5</v>
      </c>
    </row>
    <row r="809" spans="1:41" x14ac:dyDescent="0.3">
      <c r="A809" t="s">
        <v>847</v>
      </c>
      <c r="B809" s="8">
        <v>45766</v>
      </c>
      <c r="C809" s="2">
        <v>0.54791666666666672</v>
      </c>
      <c r="D809" t="s">
        <v>33</v>
      </c>
      <c r="E809" t="s">
        <v>16</v>
      </c>
      <c r="F809" t="s">
        <v>29</v>
      </c>
      <c r="G809">
        <v>4</v>
      </c>
      <c r="H809" s="6">
        <v>27000.23</v>
      </c>
      <c r="I809" s="6">
        <v>5949.01</v>
      </c>
      <c r="J809">
        <v>30</v>
      </c>
      <c r="K809">
        <v>23</v>
      </c>
      <c r="L809" t="s">
        <v>18</v>
      </c>
      <c r="M809" t="s">
        <v>19</v>
      </c>
      <c r="N809">
        <v>3</v>
      </c>
      <c r="O809" s="4"/>
      <c r="P809" s="4" t="str">
        <f>IF(Data_Set_2[[#This Row],[valor_bruto]]&gt;$W$13,"OUTLIER+","")</f>
        <v/>
      </c>
      <c r="Q809" s="4" t="str">
        <f>IF(Data_Set_2[[#This Row],[valor_bruto]]&lt;$W$14,"OUTLIER-","")</f>
        <v/>
      </c>
      <c r="R809" s="4"/>
      <c r="S809" s="4"/>
      <c r="AB809" t="str">
        <v>RES-100807</v>
      </c>
      <c r="AC809">
        <v>45766</v>
      </c>
      <c r="AD809">
        <v>0.54791666666666672</v>
      </c>
      <c r="AE809" t="str">
        <v>Envigado</v>
      </c>
      <c r="AF809" t="str">
        <v>Mesa</v>
      </c>
      <c r="AG809" t="str">
        <v>Parrilla</v>
      </c>
      <c r="AH809">
        <v>4</v>
      </c>
      <c r="AI809">
        <v>27000.23</v>
      </c>
      <c r="AJ809">
        <v>5949.01</v>
      </c>
      <c r="AK809">
        <v>30</v>
      </c>
      <c r="AL809">
        <v>23</v>
      </c>
      <c r="AM809" t="str">
        <v>Tarjeta</v>
      </c>
      <c r="AN809" t="str">
        <v>Entregada</v>
      </c>
      <c r="AO809">
        <v>3</v>
      </c>
    </row>
    <row r="810" spans="1:41" x14ac:dyDescent="0.3">
      <c r="A810" t="s">
        <v>848</v>
      </c>
      <c r="B810" s="8">
        <v>45767</v>
      </c>
      <c r="C810" s="2">
        <v>0.59444444444444444</v>
      </c>
      <c r="D810" t="s">
        <v>15</v>
      </c>
      <c r="E810" t="s">
        <v>22</v>
      </c>
      <c r="F810" t="s">
        <v>34</v>
      </c>
      <c r="G810">
        <v>4</v>
      </c>
      <c r="H810" s="6">
        <v>39972.699999999997</v>
      </c>
      <c r="I810" s="6">
        <v>3767.73</v>
      </c>
      <c r="J810">
        <v>13</v>
      </c>
      <c r="K810">
        <v>37</v>
      </c>
      <c r="L810" t="s">
        <v>24</v>
      </c>
      <c r="M810" t="s">
        <v>25</v>
      </c>
      <c r="N810">
        <v>5</v>
      </c>
      <c r="O810" s="4"/>
      <c r="P810" s="4" t="str">
        <f>IF(Data_Set_2[[#This Row],[valor_bruto]]&gt;$W$13,"OUTLIER+","")</f>
        <v/>
      </c>
      <c r="Q810" s="4" t="str">
        <f>IF(Data_Set_2[[#This Row],[valor_bruto]]&lt;$W$14,"OUTLIER-","")</f>
        <v/>
      </c>
      <c r="R810" s="4"/>
      <c r="S810" s="4"/>
      <c r="AB810" t="str">
        <v>RES-100808</v>
      </c>
      <c r="AC810">
        <v>45767</v>
      </c>
      <c r="AD810">
        <v>0.59444444444444444</v>
      </c>
      <c r="AE810" t="str">
        <v>Laureles</v>
      </c>
      <c r="AF810" t="str">
        <v>Domicilio</v>
      </c>
      <c r="AG810" t="str">
        <v>Vegano</v>
      </c>
      <c r="AH810">
        <v>4</v>
      </c>
      <c r="AI810">
        <v>39972.699999999997</v>
      </c>
      <c r="AJ810">
        <v>3767.73</v>
      </c>
      <c r="AK810">
        <v>13</v>
      </c>
      <c r="AL810">
        <v>37</v>
      </c>
      <c r="AM810" t="str">
        <v>Efectivo</v>
      </c>
      <c r="AN810" t="str">
        <v>Cancelada</v>
      </c>
      <c r="AO810">
        <v>5</v>
      </c>
    </row>
    <row r="811" spans="1:41" x14ac:dyDescent="0.3">
      <c r="A811" t="s">
        <v>849</v>
      </c>
      <c r="B811" s="8">
        <v>45768</v>
      </c>
      <c r="C811" s="2">
        <v>0.64097222222222228</v>
      </c>
      <c r="D811" t="s">
        <v>21</v>
      </c>
      <c r="E811" t="s">
        <v>28</v>
      </c>
      <c r="F811" t="s">
        <v>36</v>
      </c>
      <c r="G811">
        <v>2</v>
      </c>
      <c r="H811" s="6">
        <v>65385.03</v>
      </c>
      <c r="I811" s="6">
        <v>6869.8</v>
      </c>
      <c r="J811">
        <v>30</v>
      </c>
      <c r="K811">
        <v>50</v>
      </c>
      <c r="L811" t="s">
        <v>30</v>
      </c>
      <c r="M811" t="s">
        <v>31</v>
      </c>
      <c r="N811">
        <v>3</v>
      </c>
      <c r="O811" s="4"/>
      <c r="P811" s="4" t="str">
        <f>IF(Data_Set_2[[#This Row],[valor_bruto]]&gt;$W$13,"OUTLIER+","")</f>
        <v/>
      </c>
      <c r="Q811" s="4" t="str">
        <f>IF(Data_Set_2[[#This Row],[valor_bruto]]&lt;$W$14,"OUTLIER-","")</f>
        <v/>
      </c>
      <c r="R811" s="4"/>
      <c r="S811" s="4"/>
      <c r="AB811" t="str">
        <v>RES-100809</v>
      </c>
      <c r="AC811">
        <v>45768</v>
      </c>
      <c r="AD811">
        <v>0.64097222222222228</v>
      </c>
      <c r="AE811" t="str">
        <v>Poblado</v>
      </c>
      <c r="AF811" t="str">
        <v>Recoge</v>
      </c>
      <c r="AG811" t="str">
        <v>Bebidas</v>
      </c>
      <c r="AH811">
        <v>2</v>
      </c>
      <c r="AI811">
        <v>65385.03</v>
      </c>
      <c r="AJ811">
        <v>6869.8</v>
      </c>
      <c r="AK811">
        <v>30</v>
      </c>
      <c r="AL811">
        <v>50</v>
      </c>
      <c r="AM811" t="str">
        <v>App</v>
      </c>
      <c r="AN811" t="str">
        <v>Reembolsada</v>
      </c>
      <c r="AO811">
        <v>3</v>
      </c>
    </row>
    <row r="812" spans="1:41" x14ac:dyDescent="0.3">
      <c r="A812" t="s">
        <v>850</v>
      </c>
      <c r="B812" s="8">
        <v>45769</v>
      </c>
      <c r="C812" s="2">
        <v>0.6875</v>
      </c>
      <c r="D812" t="s">
        <v>27</v>
      </c>
      <c r="E812" t="s">
        <v>16</v>
      </c>
      <c r="F812" t="s">
        <v>17</v>
      </c>
      <c r="G812">
        <v>4</v>
      </c>
      <c r="H812" s="6">
        <v>32398.29</v>
      </c>
      <c r="I812" s="6">
        <v>4195.4799999999996</v>
      </c>
      <c r="J812">
        <v>16</v>
      </c>
      <c r="K812">
        <v>42</v>
      </c>
      <c r="L812" t="s">
        <v>18</v>
      </c>
      <c r="M812" t="s">
        <v>19</v>
      </c>
      <c r="N812">
        <v>4</v>
      </c>
      <c r="O812" s="4"/>
      <c r="P812" s="4" t="str">
        <f>IF(Data_Set_2[[#This Row],[valor_bruto]]&gt;$W$13,"OUTLIER+","")</f>
        <v/>
      </c>
      <c r="Q812" s="4" t="str">
        <f>IF(Data_Set_2[[#This Row],[valor_bruto]]&lt;$W$14,"OUTLIER-","")</f>
        <v/>
      </c>
      <c r="R812" s="4"/>
      <c r="S812" s="4"/>
      <c r="AB812" t="str">
        <v>RES-100810</v>
      </c>
      <c r="AC812">
        <v>45769</v>
      </c>
      <c r="AD812">
        <v>0.6875</v>
      </c>
      <c r="AE812" t="str">
        <v>Centro</v>
      </c>
      <c r="AF812" t="str">
        <v>Mesa</v>
      </c>
      <c r="AG812" t="str">
        <v>Comida rapida</v>
      </c>
      <c r="AH812">
        <v>4</v>
      </c>
      <c r="AI812">
        <v>32398.29</v>
      </c>
      <c r="AJ812">
        <v>4195.4799999999996</v>
      </c>
      <c r="AK812">
        <v>16</v>
      </c>
      <c r="AL812">
        <v>42</v>
      </c>
      <c r="AM812" t="str">
        <v>Tarjeta</v>
      </c>
      <c r="AN812" t="str">
        <v>Entregada</v>
      </c>
      <c r="AO812">
        <v>4</v>
      </c>
    </row>
    <row r="813" spans="1:41" x14ac:dyDescent="0.3">
      <c r="A813" t="s">
        <v>851</v>
      </c>
      <c r="B813" s="8">
        <v>45770</v>
      </c>
      <c r="C813" s="2">
        <v>0.73402777777777772</v>
      </c>
      <c r="D813" t="s">
        <v>33</v>
      </c>
      <c r="E813" t="s">
        <v>22</v>
      </c>
      <c r="F813" t="s">
        <v>23</v>
      </c>
      <c r="G813">
        <v>2</v>
      </c>
      <c r="H813" s="6">
        <v>66731.360000000001</v>
      </c>
      <c r="I813" s="6">
        <v>5834.15</v>
      </c>
      <c r="J813">
        <v>17</v>
      </c>
      <c r="K813">
        <v>50</v>
      </c>
      <c r="L813" t="s">
        <v>24</v>
      </c>
      <c r="M813" t="s">
        <v>25</v>
      </c>
      <c r="N813">
        <v>4</v>
      </c>
      <c r="O813" s="4"/>
      <c r="P813" s="4" t="str">
        <f>IF(Data_Set_2[[#This Row],[valor_bruto]]&gt;$W$13,"OUTLIER+","")</f>
        <v/>
      </c>
      <c r="Q813" s="4" t="str">
        <f>IF(Data_Set_2[[#This Row],[valor_bruto]]&lt;$W$14,"OUTLIER-","")</f>
        <v/>
      </c>
      <c r="R813" s="4"/>
      <c r="S813" s="4"/>
      <c r="AB813" t="str">
        <v>RES-100811</v>
      </c>
      <c r="AC813">
        <v>45770</v>
      </c>
      <c r="AD813">
        <v>0.73402777777777772</v>
      </c>
      <c r="AE813" t="str">
        <v>Envigado</v>
      </c>
      <c r="AF813" t="str">
        <v>Domicilio</v>
      </c>
      <c r="AG813" t="str">
        <v>Pasta</v>
      </c>
      <c r="AH813">
        <v>2</v>
      </c>
      <c r="AI813">
        <v>66731.360000000001</v>
      </c>
      <c r="AJ813">
        <v>5834.15</v>
      </c>
      <c r="AK813">
        <v>17</v>
      </c>
      <c r="AL813">
        <v>50</v>
      </c>
      <c r="AM813" t="str">
        <v>Efectivo</v>
      </c>
      <c r="AN813" t="str">
        <v>Cancelada</v>
      </c>
      <c r="AO813">
        <v>4</v>
      </c>
    </row>
    <row r="814" spans="1:41" x14ac:dyDescent="0.3">
      <c r="A814" t="s">
        <v>852</v>
      </c>
      <c r="B814" s="8">
        <v>45771</v>
      </c>
      <c r="C814" s="2">
        <v>0.78055555555555556</v>
      </c>
      <c r="D814" t="s">
        <v>15</v>
      </c>
      <c r="E814" t="s">
        <v>28</v>
      </c>
      <c r="F814" t="s">
        <v>29</v>
      </c>
      <c r="G814">
        <v>5</v>
      </c>
      <c r="H814" s="6">
        <v>67281.22</v>
      </c>
      <c r="I814" s="6">
        <v>6792.84</v>
      </c>
      <c r="J814">
        <v>31</v>
      </c>
      <c r="K814">
        <v>27</v>
      </c>
      <c r="L814" t="s">
        <v>30</v>
      </c>
      <c r="M814" t="s">
        <v>31</v>
      </c>
      <c r="N814">
        <v>4</v>
      </c>
      <c r="O814" s="4"/>
      <c r="P814" s="4" t="str">
        <f>IF(Data_Set_2[[#This Row],[valor_bruto]]&gt;$W$13,"OUTLIER+","")</f>
        <v/>
      </c>
      <c r="Q814" s="4" t="str">
        <f>IF(Data_Set_2[[#This Row],[valor_bruto]]&lt;$W$14,"OUTLIER-","")</f>
        <v/>
      </c>
      <c r="R814" s="4"/>
      <c r="S814" s="4"/>
      <c r="AB814" t="str">
        <v>RES-100812</v>
      </c>
      <c r="AC814">
        <v>45771</v>
      </c>
      <c r="AD814">
        <v>0.78055555555555556</v>
      </c>
      <c r="AE814" t="str">
        <v>Laureles</v>
      </c>
      <c r="AF814" t="str">
        <v>Recoge</v>
      </c>
      <c r="AG814" t="str">
        <v>Parrilla</v>
      </c>
      <c r="AH814">
        <v>5</v>
      </c>
      <c r="AI814">
        <v>67281.22</v>
      </c>
      <c r="AJ814">
        <v>6792.84</v>
      </c>
      <c r="AK814">
        <v>31</v>
      </c>
      <c r="AL814">
        <v>27</v>
      </c>
      <c r="AM814" t="str">
        <v>App</v>
      </c>
      <c r="AN814" t="str">
        <v>Reembolsada</v>
      </c>
      <c r="AO814">
        <v>4</v>
      </c>
    </row>
    <row r="815" spans="1:41" x14ac:dyDescent="0.3">
      <c r="A815" t="s">
        <v>853</v>
      </c>
      <c r="B815" s="8">
        <v>45772</v>
      </c>
      <c r="C815" s="2">
        <v>0.82708333333333328</v>
      </c>
      <c r="D815" t="s">
        <v>21</v>
      </c>
      <c r="E815" t="s">
        <v>16</v>
      </c>
      <c r="F815" t="s">
        <v>34</v>
      </c>
      <c r="G815">
        <v>4</v>
      </c>
      <c r="H815" s="6">
        <v>35968.28</v>
      </c>
      <c r="I815" s="6">
        <v>5264.67</v>
      </c>
      <c r="J815">
        <v>16</v>
      </c>
      <c r="K815">
        <v>40</v>
      </c>
      <c r="L815" t="s">
        <v>18</v>
      </c>
      <c r="M815" t="s">
        <v>19</v>
      </c>
      <c r="N815">
        <v>4</v>
      </c>
      <c r="O815" s="4"/>
      <c r="P815" s="4" t="str">
        <f>IF(Data_Set_2[[#This Row],[valor_bruto]]&gt;$W$13,"OUTLIER+","")</f>
        <v/>
      </c>
      <c r="Q815" s="4" t="str">
        <f>IF(Data_Set_2[[#This Row],[valor_bruto]]&lt;$W$14,"OUTLIER-","")</f>
        <v/>
      </c>
      <c r="R815" s="4"/>
      <c r="S815" s="4"/>
      <c r="AB815" t="str">
        <v>RES-100813</v>
      </c>
      <c r="AC815">
        <v>45772</v>
      </c>
      <c r="AD815">
        <v>0.82708333333333328</v>
      </c>
      <c r="AE815" t="str">
        <v>Poblado</v>
      </c>
      <c r="AF815" t="str">
        <v>Mesa</v>
      </c>
      <c r="AG815" t="str">
        <v>Vegano</v>
      </c>
      <c r="AH815">
        <v>4</v>
      </c>
      <c r="AI815">
        <v>35968.28</v>
      </c>
      <c r="AJ815">
        <v>5264.67</v>
      </c>
      <c r="AK815">
        <v>16</v>
      </c>
      <c r="AL815">
        <v>40</v>
      </c>
      <c r="AM815" t="str">
        <v>Tarjeta</v>
      </c>
      <c r="AN815" t="str">
        <v>Entregada</v>
      </c>
      <c r="AO815">
        <v>4</v>
      </c>
    </row>
    <row r="816" spans="1:41" x14ac:dyDescent="0.3">
      <c r="A816" t="s">
        <v>854</v>
      </c>
      <c r="B816" s="8">
        <v>45773</v>
      </c>
      <c r="C816" s="2">
        <v>0.87361111111111112</v>
      </c>
      <c r="D816" t="s">
        <v>27</v>
      </c>
      <c r="E816" t="s">
        <v>22</v>
      </c>
      <c r="F816" t="s">
        <v>36</v>
      </c>
      <c r="G816">
        <v>2</v>
      </c>
      <c r="H816" s="6">
        <v>53176.25</v>
      </c>
      <c r="I816" s="6">
        <v>3861.54</v>
      </c>
      <c r="J816">
        <v>24</v>
      </c>
      <c r="K816">
        <v>29</v>
      </c>
      <c r="L816" t="s">
        <v>24</v>
      </c>
      <c r="M816" t="s">
        <v>25</v>
      </c>
      <c r="N816">
        <v>3</v>
      </c>
      <c r="O816" s="4"/>
      <c r="P816" s="4" t="str">
        <f>IF(Data_Set_2[[#This Row],[valor_bruto]]&gt;$W$13,"OUTLIER+","")</f>
        <v/>
      </c>
      <c r="Q816" s="4" t="str">
        <f>IF(Data_Set_2[[#This Row],[valor_bruto]]&lt;$W$14,"OUTLIER-","")</f>
        <v/>
      </c>
      <c r="R816" s="4"/>
      <c r="S816" s="4"/>
      <c r="AB816" t="str">
        <v>RES-100814</v>
      </c>
      <c r="AC816">
        <v>45773</v>
      </c>
      <c r="AD816">
        <v>0.87361111111111112</v>
      </c>
      <c r="AE816" t="str">
        <v>Centro</v>
      </c>
      <c r="AF816" t="str">
        <v>Domicilio</v>
      </c>
      <c r="AG816" t="str">
        <v>Bebidas</v>
      </c>
      <c r="AH816">
        <v>2</v>
      </c>
      <c r="AI816">
        <v>53176.25</v>
      </c>
      <c r="AJ816">
        <v>3861.54</v>
      </c>
      <c r="AK816">
        <v>24</v>
      </c>
      <c r="AL816">
        <v>29</v>
      </c>
      <c r="AM816" t="str">
        <v>Efectivo</v>
      </c>
      <c r="AN816" t="str">
        <v>Cancelada</v>
      </c>
      <c r="AO816">
        <v>3</v>
      </c>
    </row>
    <row r="817" spans="1:41" x14ac:dyDescent="0.3">
      <c r="A817" t="s">
        <v>855</v>
      </c>
      <c r="B817" s="8">
        <v>45774</v>
      </c>
      <c r="C817" s="2">
        <v>0.87847222222222221</v>
      </c>
      <c r="D817" t="s">
        <v>33</v>
      </c>
      <c r="E817" t="s">
        <v>28</v>
      </c>
      <c r="F817" t="s">
        <v>17</v>
      </c>
      <c r="G817">
        <v>5</v>
      </c>
      <c r="H817" s="6">
        <v>36266.019999999997</v>
      </c>
      <c r="I817" s="6">
        <v>6920.89</v>
      </c>
      <c r="J817">
        <v>17</v>
      </c>
      <c r="K817">
        <v>47</v>
      </c>
      <c r="L817" t="s">
        <v>30</v>
      </c>
      <c r="M817" t="s">
        <v>31</v>
      </c>
      <c r="N817">
        <f>VLOOKUP(Data_Set_2[[#This Row],[estado]],M2:N816,2,0)</f>
        <v>5</v>
      </c>
      <c r="O817" s="4"/>
      <c r="P817" s="4" t="str">
        <f>IF(Data_Set_2[[#This Row],[valor_bruto]]&gt;$W$13,"OUTLIER+","")</f>
        <v/>
      </c>
      <c r="Q817" s="4" t="str">
        <f>IF(Data_Set_2[[#This Row],[valor_bruto]]&lt;$W$14,"OUTLIER-","")</f>
        <v/>
      </c>
      <c r="R817" s="4"/>
      <c r="S817" s="4"/>
      <c r="AB817" t="str">
        <v>RES-100815</v>
      </c>
      <c r="AC817">
        <v>45774</v>
      </c>
      <c r="AD817">
        <v>0.87847222222222221</v>
      </c>
      <c r="AE817" t="str">
        <v>Envigado</v>
      </c>
      <c r="AF817" t="str">
        <v>Recoge</v>
      </c>
      <c r="AG817" t="str">
        <v>Comida rapida</v>
      </c>
      <c r="AH817">
        <v>5</v>
      </c>
      <c r="AI817">
        <v>36266.019999999997</v>
      </c>
      <c r="AJ817">
        <v>6920.89</v>
      </c>
      <c r="AK817">
        <v>17</v>
      </c>
      <c r="AL817">
        <v>47</v>
      </c>
      <c r="AM817" t="str">
        <v>App</v>
      </c>
      <c r="AN817" t="str">
        <v>Reembolsada</v>
      </c>
      <c r="AO817">
        <v>5</v>
      </c>
    </row>
    <row r="818" spans="1:41" x14ac:dyDescent="0.3">
      <c r="A818" t="s">
        <v>856</v>
      </c>
      <c r="B818" s="8">
        <v>45775</v>
      </c>
      <c r="C818" s="2">
        <v>0.42499999999999999</v>
      </c>
      <c r="D818" t="s">
        <v>15</v>
      </c>
      <c r="E818" t="s">
        <v>16</v>
      </c>
      <c r="F818" t="s">
        <v>23</v>
      </c>
      <c r="G818">
        <v>5</v>
      </c>
      <c r="H818" s="6">
        <v>56344.79</v>
      </c>
      <c r="I818" s="6">
        <v>7531.78</v>
      </c>
      <c r="J818">
        <v>24</v>
      </c>
      <c r="K818">
        <v>30</v>
      </c>
      <c r="L818" t="s">
        <v>18</v>
      </c>
      <c r="M818" t="s">
        <v>19</v>
      </c>
      <c r="N818">
        <v>5</v>
      </c>
      <c r="O818" s="4"/>
      <c r="P818" s="4" t="str">
        <f>IF(Data_Set_2[[#This Row],[valor_bruto]]&gt;$W$13,"OUTLIER+","")</f>
        <v/>
      </c>
      <c r="Q818" s="4" t="str">
        <f>IF(Data_Set_2[[#This Row],[valor_bruto]]&lt;$W$14,"OUTLIER-","")</f>
        <v/>
      </c>
      <c r="R818" s="4"/>
      <c r="S818" s="4"/>
      <c r="AB818" t="str">
        <v>RES-100816</v>
      </c>
      <c r="AC818">
        <v>45775</v>
      </c>
      <c r="AD818">
        <v>0.42499999999999999</v>
      </c>
      <c r="AE818" t="str">
        <v>Laureles</v>
      </c>
      <c r="AF818" t="str">
        <v>Mesa</v>
      </c>
      <c r="AG818" t="str">
        <v>Pasta</v>
      </c>
      <c r="AH818">
        <v>5</v>
      </c>
      <c r="AI818">
        <v>56344.79</v>
      </c>
      <c r="AJ818">
        <v>7531.78</v>
      </c>
      <c r="AK818">
        <v>24</v>
      </c>
      <c r="AL818">
        <v>30</v>
      </c>
      <c r="AM818" t="str">
        <v>Tarjeta</v>
      </c>
      <c r="AN818" t="str">
        <v>Entregada</v>
      </c>
      <c r="AO818">
        <v>5</v>
      </c>
    </row>
    <row r="819" spans="1:41" x14ac:dyDescent="0.3">
      <c r="A819" t="s">
        <v>857</v>
      </c>
      <c r="B819" s="8">
        <v>45776</v>
      </c>
      <c r="C819" s="2">
        <v>0.47152777777777777</v>
      </c>
      <c r="D819" t="s">
        <v>21</v>
      </c>
      <c r="E819" t="s">
        <v>22</v>
      </c>
      <c r="F819" t="s">
        <v>29</v>
      </c>
      <c r="G819">
        <v>6</v>
      </c>
      <c r="H819" s="6">
        <v>41157.589999999997</v>
      </c>
      <c r="I819" s="6">
        <v>4721.83</v>
      </c>
      <c r="J819">
        <v>17</v>
      </c>
      <c r="K819">
        <v>24</v>
      </c>
      <c r="L819" t="s">
        <v>24</v>
      </c>
      <c r="M819" t="s">
        <v>25</v>
      </c>
      <c r="N819">
        <v>3</v>
      </c>
      <c r="O819" s="4"/>
      <c r="P819" s="4" t="str">
        <f>IF(Data_Set_2[[#This Row],[valor_bruto]]&gt;$W$13,"OUTLIER+","")</f>
        <v/>
      </c>
      <c r="Q819" s="4" t="str">
        <f>IF(Data_Set_2[[#This Row],[valor_bruto]]&lt;$W$14,"OUTLIER-","")</f>
        <v/>
      </c>
      <c r="R819" s="4"/>
      <c r="S819" s="4"/>
      <c r="AB819" t="str">
        <v>RES-100817</v>
      </c>
      <c r="AC819">
        <v>45776</v>
      </c>
      <c r="AD819">
        <v>0.47152777777777777</v>
      </c>
      <c r="AE819" t="str">
        <v>Poblado</v>
      </c>
      <c r="AF819" t="str">
        <v>Domicilio</v>
      </c>
      <c r="AG819" t="str">
        <v>Parrilla</v>
      </c>
      <c r="AH819">
        <v>6</v>
      </c>
      <c r="AI819">
        <v>41157.589999999997</v>
      </c>
      <c r="AJ819">
        <v>4721.83</v>
      </c>
      <c r="AK819">
        <v>17</v>
      </c>
      <c r="AL819">
        <v>24</v>
      </c>
      <c r="AM819" t="str">
        <v>Efectivo</v>
      </c>
      <c r="AN819" t="str">
        <v>Cancelada</v>
      </c>
      <c r="AO819">
        <v>3</v>
      </c>
    </row>
    <row r="820" spans="1:41" x14ac:dyDescent="0.3">
      <c r="A820" t="s">
        <v>858</v>
      </c>
      <c r="B820" s="8">
        <v>45777</v>
      </c>
      <c r="C820" s="2">
        <v>0.5180555555555556</v>
      </c>
      <c r="D820" t="s">
        <v>27</v>
      </c>
      <c r="E820" t="s">
        <v>28</v>
      </c>
      <c r="F820" t="s">
        <v>34</v>
      </c>
      <c r="G820">
        <v>3</v>
      </c>
      <c r="H820" s="6">
        <v>48814.6</v>
      </c>
      <c r="I820" s="6">
        <v>3243.3</v>
      </c>
      <c r="J820">
        <v>30</v>
      </c>
      <c r="K820">
        <v>41</v>
      </c>
      <c r="L820" t="s">
        <v>30</v>
      </c>
      <c r="M820" t="s">
        <v>31</v>
      </c>
      <c r="N820">
        <v>3</v>
      </c>
      <c r="O820" s="4"/>
      <c r="P820" s="4" t="str">
        <f>IF(Data_Set_2[[#This Row],[valor_bruto]]&gt;$W$13,"OUTLIER+","")</f>
        <v/>
      </c>
      <c r="Q820" s="4" t="str">
        <f>IF(Data_Set_2[[#This Row],[valor_bruto]]&lt;$W$14,"OUTLIER-","")</f>
        <v/>
      </c>
      <c r="R820" s="4"/>
      <c r="S820" s="4"/>
      <c r="AB820" t="str">
        <v>RES-100818</v>
      </c>
      <c r="AC820">
        <v>45777</v>
      </c>
      <c r="AD820">
        <v>0.5180555555555556</v>
      </c>
      <c r="AE820" t="str">
        <v>Centro</v>
      </c>
      <c r="AF820" t="str">
        <v>Recoge</v>
      </c>
      <c r="AG820" t="str">
        <v>Vegano</v>
      </c>
      <c r="AH820">
        <v>3</v>
      </c>
      <c r="AI820">
        <v>48814.6</v>
      </c>
      <c r="AJ820">
        <v>3243.3</v>
      </c>
      <c r="AK820">
        <v>30</v>
      </c>
      <c r="AL820">
        <v>41</v>
      </c>
      <c r="AM820" t="str">
        <v>App</v>
      </c>
      <c r="AN820" t="str">
        <v>Reembolsada</v>
      </c>
      <c r="AO820">
        <v>3</v>
      </c>
    </row>
    <row r="821" spans="1:41" x14ac:dyDescent="0.3">
      <c r="A821" t="s">
        <v>859</v>
      </c>
      <c r="B821" s="8">
        <v>45778</v>
      </c>
      <c r="C821" s="2">
        <v>0.56458333333333333</v>
      </c>
      <c r="D821" t="s">
        <v>33</v>
      </c>
      <c r="E821" t="s">
        <v>16</v>
      </c>
      <c r="F821" t="s">
        <v>36</v>
      </c>
      <c r="G821">
        <v>4</v>
      </c>
      <c r="H821" s="6">
        <v>29978.91</v>
      </c>
      <c r="I821" s="6">
        <v>4325.8999999999996</v>
      </c>
      <c r="J821">
        <v>14</v>
      </c>
      <c r="K821">
        <v>26</v>
      </c>
      <c r="L821" t="s">
        <v>18</v>
      </c>
      <c r="M821" t="s">
        <v>19</v>
      </c>
      <c r="N821">
        <v>3</v>
      </c>
      <c r="O821" s="4"/>
      <c r="P821" s="4" t="str">
        <f>IF(Data_Set_2[[#This Row],[valor_bruto]]&gt;$W$13,"OUTLIER+","")</f>
        <v/>
      </c>
      <c r="Q821" s="4" t="str">
        <f>IF(Data_Set_2[[#This Row],[valor_bruto]]&lt;$W$14,"OUTLIER-","")</f>
        <v/>
      </c>
      <c r="R821" s="4"/>
      <c r="S821" s="4"/>
      <c r="AB821" t="str">
        <v>RES-100819</v>
      </c>
      <c r="AC821">
        <v>45778</v>
      </c>
      <c r="AD821">
        <v>0.56458333333333333</v>
      </c>
      <c r="AE821" t="str">
        <v>Envigado</v>
      </c>
      <c r="AF821" t="str">
        <v>Mesa</v>
      </c>
      <c r="AG821" t="str">
        <v>Bebidas</v>
      </c>
      <c r="AH821">
        <v>4</v>
      </c>
      <c r="AI821">
        <v>29978.91</v>
      </c>
      <c r="AJ821">
        <v>4325.8999999999996</v>
      </c>
      <c r="AK821">
        <v>14</v>
      </c>
      <c r="AL821">
        <v>26</v>
      </c>
      <c r="AM821" t="str">
        <v>Tarjeta</v>
      </c>
      <c r="AN821" t="str">
        <v>Entregada</v>
      </c>
      <c r="AO821">
        <v>3</v>
      </c>
    </row>
    <row r="822" spans="1:41" x14ac:dyDescent="0.3">
      <c r="A822" t="s">
        <v>860</v>
      </c>
      <c r="B822" s="8">
        <v>45779</v>
      </c>
      <c r="C822" s="2">
        <v>0.61111111111111116</v>
      </c>
      <c r="D822" t="s">
        <v>15</v>
      </c>
      <c r="E822" t="s">
        <v>22</v>
      </c>
      <c r="F822" t="s">
        <v>17</v>
      </c>
      <c r="G822">
        <v>3</v>
      </c>
      <c r="H822" s="6">
        <v>59402.81</v>
      </c>
      <c r="I822" s="6">
        <v>4312.28</v>
      </c>
      <c r="J822">
        <v>19</v>
      </c>
      <c r="K822">
        <v>42</v>
      </c>
      <c r="L822" t="s">
        <v>24</v>
      </c>
      <c r="M822" t="s">
        <v>25</v>
      </c>
      <c r="N822">
        <v>4</v>
      </c>
      <c r="O822" s="4"/>
      <c r="P822" s="4" t="str">
        <f>IF(Data_Set_2[[#This Row],[valor_bruto]]&gt;$W$13,"OUTLIER+","")</f>
        <v/>
      </c>
      <c r="Q822" s="4" t="str">
        <f>IF(Data_Set_2[[#This Row],[valor_bruto]]&lt;$W$14,"OUTLIER-","")</f>
        <v/>
      </c>
      <c r="R822" s="4"/>
      <c r="S822" s="4"/>
      <c r="AB822" t="str">
        <v>RES-100820</v>
      </c>
      <c r="AC822">
        <v>45779</v>
      </c>
      <c r="AD822">
        <v>0.61111111111111116</v>
      </c>
      <c r="AE822" t="str">
        <v>Laureles</v>
      </c>
      <c r="AF822" t="str">
        <v>Domicilio</v>
      </c>
      <c r="AG822" t="str">
        <v>Comida rapida</v>
      </c>
      <c r="AH822">
        <v>3</v>
      </c>
      <c r="AI822">
        <v>59402.81</v>
      </c>
      <c r="AJ822">
        <v>4312.28</v>
      </c>
      <c r="AK822">
        <v>19</v>
      </c>
      <c r="AL822">
        <v>42</v>
      </c>
      <c r="AM822" t="str">
        <v>Efectivo</v>
      </c>
      <c r="AN822" t="str">
        <v>Cancelada</v>
      </c>
      <c r="AO822">
        <v>4</v>
      </c>
    </row>
    <row r="823" spans="1:41" x14ac:dyDescent="0.3">
      <c r="A823" t="s">
        <v>861</v>
      </c>
      <c r="B823" s="8">
        <v>45721</v>
      </c>
      <c r="C823" s="2">
        <v>0.65763888888888888</v>
      </c>
      <c r="D823" t="s">
        <v>21</v>
      </c>
      <c r="E823" t="s">
        <v>28</v>
      </c>
      <c r="F823" t="s">
        <v>23</v>
      </c>
      <c r="G823">
        <v>6</v>
      </c>
      <c r="H823" s="6">
        <v>26055.97</v>
      </c>
      <c r="I823" s="6">
        <v>3613.58</v>
      </c>
      <c r="J823">
        <v>22</v>
      </c>
      <c r="K823">
        <v>32</v>
      </c>
      <c r="L823" t="s">
        <v>30</v>
      </c>
      <c r="M823" t="s">
        <v>31</v>
      </c>
      <c r="N823">
        <v>3</v>
      </c>
      <c r="O823" s="4"/>
      <c r="P823" s="4" t="str">
        <f>IF(Data_Set_2[[#This Row],[valor_bruto]]&gt;$W$13,"OUTLIER+","")</f>
        <v/>
      </c>
      <c r="Q823" s="4" t="str">
        <f>IF(Data_Set_2[[#This Row],[valor_bruto]]&lt;$W$14,"OUTLIER-","")</f>
        <v/>
      </c>
      <c r="R823" s="4"/>
      <c r="S823" s="4"/>
      <c r="AB823" t="str">
        <v>RES-100821</v>
      </c>
      <c r="AC823">
        <v>45721</v>
      </c>
      <c r="AD823">
        <v>0.65763888888888888</v>
      </c>
      <c r="AE823" t="str">
        <v>Poblado</v>
      </c>
      <c r="AF823" t="str">
        <v>Recoge</v>
      </c>
      <c r="AG823" t="str">
        <v>Pasta</v>
      </c>
      <c r="AH823">
        <v>6</v>
      </c>
      <c r="AI823">
        <v>26055.97</v>
      </c>
      <c r="AJ823">
        <v>3613.58</v>
      </c>
      <c r="AK823">
        <v>22</v>
      </c>
      <c r="AL823">
        <v>32</v>
      </c>
      <c r="AM823" t="str">
        <v>App</v>
      </c>
      <c r="AN823" t="str">
        <v>Reembolsada</v>
      </c>
      <c r="AO823">
        <v>3</v>
      </c>
    </row>
    <row r="824" spans="1:41" x14ac:dyDescent="0.3">
      <c r="A824" t="s">
        <v>862</v>
      </c>
      <c r="B824" s="8">
        <v>45781</v>
      </c>
      <c r="C824" s="2">
        <v>0.70416666666666672</v>
      </c>
      <c r="D824" t="s">
        <v>27</v>
      </c>
      <c r="E824" t="s">
        <v>16</v>
      </c>
      <c r="F824" t="s">
        <v>29</v>
      </c>
      <c r="G824">
        <v>6</v>
      </c>
      <c r="H824" s="6">
        <v>46766.01</v>
      </c>
      <c r="I824" s="6">
        <v>5366.57</v>
      </c>
      <c r="J824">
        <v>25</v>
      </c>
      <c r="K824">
        <v>23</v>
      </c>
      <c r="L824" t="s">
        <v>18</v>
      </c>
      <c r="M824" t="s">
        <v>19</v>
      </c>
      <c r="N824">
        <v>5</v>
      </c>
      <c r="O824" s="4"/>
      <c r="P824" s="4" t="str">
        <f>IF(Data_Set_2[[#This Row],[valor_bruto]]&gt;$W$13,"OUTLIER+","")</f>
        <v/>
      </c>
      <c r="Q824" s="4" t="str">
        <f>IF(Data_Set_2[[#This Row],[valor_bruto]]&lt;$W$14,"OUTLIER-","")</f>
        <v/>
      </c>
      <c r="R824" s="4"/>
      <c r="S824" s="4"/>
      <c r="AB824" t="str">
        <v>RES-100822</v>
      </c>
      <c r="AC824">
        <v>45781</v>
      </c>
      <c r="AD824">
        <v>0.70416666666666672</v>
      </c>
      <c r="AE824" t="str">
        <v>Centro</v>
      </c>
      <c r="AF824" t="str">
        <v>Mesa</v>
      </c>
      <c r="AG824" t="str">
        <v>Parrilla</v>
      </c>
      <c r="AH824">
        <v>6</v>
      </c>
      <c r="AI824">
        <v>46766.01</v>
      </c>
      <c r="AJ824">
        <v>5366.57</v>
      </c>
      <c r="AK824">
        <v>25</v>
      </c>
      <c r="AL824">
        <v>23</v>
      </c>
      <c r="AM824" t="str">
        <v>Tarjeta</v>
      </c>
      <c r="AN824" t="str">
        <v>Entregada</v>
      </c>
      <c r="AO824">
        <v>5</v>
      </c>
    </row>
    <row r="825" spans="1:41" x14ac:dyDescent="0.3">
      <c r="A825" t="s">
        <v>863</v>
      </c>
      <c r="B825" s="8">
        <v>45782</v>
      </c>
      <c r="C825" s="2">
        <v>0.70902777777777781</v>
      </c>
      <c r="D825" t="s">
        <v>33</v>
      </c>
      <c r="E825" t="s">
        <v>22</v>
      </c>
      <c r="F825" t="s">
        <v>34</v>
      </c>
      <c r="G825">
        <v>6</v>
      </c>
      <c r="H825" s="6">
        <v>43325.26</v>
      </c>
      <c r="I825" s="6">
        <v>6643.54</v>
      </c>
      <c r="J825">
        <v>31</v>
      </c>
      <c r="K825">
        <v>51</v>
      </c>
      <c r="L825" t="s">
        <v>24</v>
      </c>
      <c r="M825" t="s">
        <v>25</v>
      </c>
      <c r="N825">
        <v>5</v>
      </c>
      <c r="O825" s="4"/>
      <c r="P825" s="4" t="str">
        <f>IF(Data_Set_2[[#This Row],[valor_bruto]]&gt;$W$13,"OUTLIER+","")</f>
        <v/>
      </c>
      <c r="Q825" s="4" t="str">
        <f>IF(Data_Set_2[[#This Row],[valor_bruto]]&lt;$W$14,"OUTLIER-","")</f>
        <v/>
      </c>
      <c r="R825" s="4"/>
      <c r="S825" s="4"/>
      <c r="AB825" t="str">
        <v>RES-100823</v>
      </c>
      <c r="AC825">
        <v>45782</v>
      </c>
      <c r="AD825">
        <v>0.70902777777777781</v>
      </c>
      <c r="AE825" t="str">
        <v>Envigado</v>
      </c>
      <c r="AF825" t="str">
        <v>Domicilio</v>
      </c>
      <c r="AG825" t="str">
        <v>Vegano</v>
      </c>
      <c r="AH825">
        <v>6</v>
      </c>
      <c r="AI825">
        <v>43325.26</v>
      </c>
      <c r="AJ825">
        <v>6643.54</v>
      </c>
      <c r="AK825">
        <v>31</v>
      </c>
      <c r="AL825">
        <v>51</v>
      </c>
      <c r="AM825" t="str">
        <v>Efectivo</v>
      </c>
      <c r="AN825" t="str">
        <v>Cancelada</v>
      </c>
      <c r="AO825">
        <v>5</v>
      </c>
    </row>
    <row r="826" spans="1:41" x14ac:dyDescent="0.3">
      <c r="A826" t="s">
        <v>864</v>
      </c>
      <c r="B826" s="8">
        <v>45813</v>
      </c>
      <c r="C826" s="2">
        <v>0.75555555555555554</v>
      </c>
      <c r="D826" t="s">
        <v>15</v>
      </c>
      <c r="E826" t="s">
        <v>28</v>
      </c>
      <c r="F826" t="s">
        <v>36</v>
      </c>
      <c r="G826">
        <v>2</v>
      </c>
      <c r="H826" s="6">
        <v>39123.83</v>
      </c>
      <c r="I826" s="6">
        <v>2288.9699999999998</v>
      </c>
      <c r="J826">
        <v>14</v>
      </c>
      <c r="K826">
        <v>51</v>
      </c>
      <c r="L826" t="s">
        <v>30</v>
      </c>
      <c r="M826" t="s">
        <v>31</v>
      </c>
      <c r="N826">
        <v>3</v>
      </c>
      <c r="O826" s="4"/>
      <c r="P826" s="4" t="str">
        <f>IF(Data_Set_2[[#This Row],[valor_bruto]]&gt;$W$13,"OUTLIER+","")</f>
        <v/>
      </c>
      <c r="Q826" s="4" t="str">
        <f>IF(Data_Set_2[[#This Row],[valor_bruto]]&lt;$W$14,"OUTLIER-","")</f>
        <v/>
      </c>
      <c r="R826" s="4"/>
      <c r="S826" s="4"/>
      <c r="AB826" t="str">
        <v>RES-100824</v>
      </c>
      <c r="AC826">
        <v>45813</v>
      </c>
      <c r="AD826">
        <v>0.75555555555555554</v>
      </c>
      <c r="AE826" t="str">
        <v>Laureles</v>
      </c>
      <c r="AF826" t="str">
        <v>Recoge</v>
      </c>
      <c r="AG826" t="str">
        <v>Bebidas</v>
      </c>
      <c r="AH826">
        <v>2</v>
      </c>
      <c r="AI826">
        <v>39123.83</v>
      </c>
      <c r="AJ826">
        <v>2288.9699999999998</v>
      </c>
      <c r="AK826">
        <v>14</v>
      </c>
      <c r="AL826">
        <v>51</v>
      </c>
      <c r="AM826" t="str">
        <v>App</v>
      </c>
      <c r="AN826" t="str">
        <v>Reembolsada</v>
      </c>
      <c r="AO826">
        <v>3</v>
      </c>
    </row>
    <row r="827" spans="1:41" x14ac:dyDescent="0.3">
      <c r="A827" t="s">
        <v>865</v>
      </c>
      <c r="B827" s="8">
        <v>45784</v>
      </c>
      <c r="C827" s="2">
        <v>0.80208333333333337</v>
      </c>
      <c r="D827" t="s">
        <v>21</v>
      </c>
      <c r="E827" t="s">
        <v>16</v>
      </c>
      <c r="F827" t="s">
        <v>17</v>
      </c>
      <c r="G827">
        <v>3</v>
      </c>
      <c r="H827" s="6">
        <v>49523.06</v>
      </c>
      <c r="I827" s="6">
        <v>7422.99</v>
      </c>
      <c r="J827">
        <v>18</v>
      </c>
      <c r="K827">
        <v>33</v>
      </c>
      <c r="L827" t="s">
        <v>18</v>
      </c>
      <c r="M827" t="s">
        <v>19</v>
      </c>
      <c r="N827">
        <v>3</v>
      </c>
      <c r="O827" s="4"/>
      <c r="P827" s="4" t="str">
        <f>IF(Data_Set_2[[#This Row],[valor_bruto]]&gt;$W$13,"OUTLIER+","")</f>
        <v/>
      </c>
      <c r="Q827" s="4" t="str">
        <f>IF(Data_Set_2[[#This Row],[valor_bruto]]&lt;$W$14,"OUTLIER-","")</f>
        <v/>
      </c>
      <c r="R827" s="4"/>
      <c r="S827" s="4"/>
      <c r="AB827" t="str">
        <v>RES-100825</v>
      </c>
      <c r="AC827">
        <v>45784</v>
      </c>
      <c r="AD827">
        <v>0.80208333333333337</v>
      </c>
      <c r="AE827" t="str">
        <v>Poblado</v>
      </c>
      <c r="AF827" t="str">
        <v>Mesa</v>
      </c>
      <c r="AG827" t="str">
        <v>Comida rapida</v>
      </c>
      <c r="AH827">
        <v>3</v>
      </c>
      <c r="AI827">
        <v>49523.06</v>
      </c>
      <c r="AJ827">
        <v>7422.99</v>
      </c>
      <c r="AK827">
        <v>18</v>
      </c>
      <c r="AL827">
        <v>33</v>
      </c>
      <c r="AM827" t="str">
        <v>Tarjeta</v>
      </c>
      <c r="AN827" t="str">
        <v>Entregada</v>
      </c>
      <c r="AO827">
        <v>3</v>
      </c>
    </row>
    <row r="828" spans="1:41" x14ac:dyDescent="0.3">
      <c r="A828" t="s">
        <v>866</v>
      </c>
      <c r="B828" s="8">
        <v>45785</v>
      </c>
      <c r="C828" s="2">
        <v>0.84861111111111109</v>
      </c>
      <c r="D828" t="s">
        <v>27</v>
      </c>
      <c r="E828" t="s">
        <v>22</v>
      </c>
      <c r="F828" t="s">
        <v>23</v>
      </c>
      <c r="G828">
        <v>2</v>
      </c>
      <c r="H828" s="6">
        <v>49620.63</v>
      </c>
      <c r="I828" s="6">
        <v>1700.53</v>
      </c>
      <c r="J828">
        <v>20</v>
      </c>
      <c r="K828">
        <v>42</v>
      </c>
      <c r="L828" t="s">
        <v>24</v>
      </c>
      <c r="M828" t="s">
        <v>25</v>
      </c>
      <c r="N828">
        <v>5</v>
      </c>
      <c r="O828" s="4"/>
      <c r="P828" s="4" t="str">
        <f>IF(Data_Set_2[[#This Row],[valor_bruto]]&gt;$W$13,"OUTLIER+","")</f>
        <v/>
      </c>
      <c r="Q828" s="4" t="str">
        <f>IF(Data_Set_2[[#This Row],[valor_bruto]]&lt;$W$14,"OUTLIER-","")</f>
        <v/>
      </c>
      <c r="R828" s="4"/>
      <c r="S828" s="4"/>
      <c r="AB828" t="str">
        <v>RES-100826</v>
      </c>
      <c r="AC828">
        <v>45785</v>
      </c>
      <c r="AD828">
        <v>0.84861111111111109</v>
      </c>
      <c r="AE828" t="str">
        <v>Centro</v>
      </c>
      <c r="AF828" t="str">
        <v>Domicilio</v>
      </c>
      <c r="AG828" t="str">
        <v>Pasta</v>
      </c>
      <c r="AH828">
        <v>2</v>
      </c>
      <c r="AI828">
        <v>49620.63</v>
      </c>
      <c r="AJ828">
        <v>1700.53</v>
      </c>
      <c r="AK828">
        <v>20</v>
      </c>
      <c r="AL828">
        <v>42</v>
      </c>
      <c r="AM828" t="str">
        <v>Efectivo</v>
      </c>
      <c r="AN828" t="str">
        <v>Cancelada</v>
      </c>
      <c r="AO828">
        <v>5</v>
      </c>
    </row>
    <row r="829" spans="1:41" x14ac:dyDescent="0.3">
      <c r="A829" t="s">
        <v>867</v>
      </c>
      <c r="B829" s="8">
        <v>45905</v>
      </c>
      <c r="C829" s="2">
        <v>0.89513888888888893</v>
      </c>
      <c r="D829" t="s">
        <v>33</v>
      </c>
      <c r="E829" t="s">
        <v>28</v>
      </c>
      <c r="F829" t="s">
        <v>29</v>
      </c>
      <c r="G829">
        <v>3</v>
      </c>
      <c r="H829" s="6">
        <v>39936.050000000003</v>
      </c>
      <c r="I829" s="6">
        <v>1824.21</v>
      </c>
      <c r="J829">
        <v>13</v>
      </c>
      <c r="K829">
        <v>35</v>
      </c>
      <c r="L829" t="s">
        <v>30</v>
      </c>
      <c r="M829" t="s">
        <v>31</v>
      </c>
      <c r="N829">
        <v>3</v>
      </c>
      <c r="O829" s="4"/>
      <c r="P829" s="4" t="str">
        <f>IF(Data_Set_2[[#This Row],[valor_bruto]]&gt;$W$13,"OUTLIER+","")</f>
        <v/>
      </c>
      <c r="Q829" s="4" t="str">
        <f>IF(Data_Set_2[[#This Row],[valor_bruto]]&lt;$W$14,"OUTLIER-","")</f>
        <v/>
      </c>
      <c r="R829" s="4"/>
      <c r="S829" s="4"/>
      <c r="AB829" t="str">
        <v>RES-100827</v>
      </c>
      <c r="AC829">
        <v>45905</v>
      </c>
      <c r="AD829">
        <v>0.89513888888888893</v>
      </c>
      <c r="AE829" t="str">
        <v>Envigado</v>
      </c>
      <c r="AF829" t="str">
        <v>Recoge</v>
      </c>
      <c r="AG829" t="str">
        <v>Parrilla</v>
      </c>
      <c r="AH829">
        <v>3</v>
      </c>
      <c r="AI829">
        <v>39936.050000000003</v>
      </c>
      <c r="AJ829">
        <v>1824.21</v>
      </c>
      <c r="AK829">
        <v>13</v>
      </c>
      <c r="AL829">
        <v>35</v>
      </c>
      <c r="AM829" t="str">
        <v>App</v>
      </c>
      <c r="AN829" t="str">
        <v>Reembolsada</v>
      </c>
      <c r="AO829">
        <v>3</v>
      </c>
    </row>
    <row r="830" spans="1:41" x14ac:dyDescent="0.3">
      <c r="A830" t="s">
        <v>868</v>
      </c>
      <c r="B830" s="8">
        <v>45787</v>
      </c>
      <c r="C830" s="2">
        <v>0.44166666666666665</v>
      </c>
      <c r="D830" t="s">
        <v>15</v>
      </c>
      <c r="E830" t="s">
        <v>16</v>
      </c>
      <c r="F830" t="s">
        <v>34</v>
      </c>
      <c r="G830">
        <v>3</v>
      </c>
      <c r="H830" s="6">
        <v>46994.84</v>
      </c>
      <c r="I830" s="6">
        <v>1353.61</v>
      </c>
      <c r="J830">
        <v>19</v>
      </c>
      <c r="K830">
        <v>26</v>
      </c>
      <c r="L830" t="s">
        <v>18</v>
      </c>
      <c r="M830" t="s">
        <v>19</v>
      </c>
      <c r="N830">
        <v>5</v>
      </c>
      <c r="O830" s="4"/>
      <c r="P830" s="4" t="str">
        <f>IF(Data_Set_2[[#This Row],[valor_bruto]]&gt;$W$13,"OUTLIER+","")</f>
        <v/>
      </c>
      <c r="Q830" s="4" t="str">
        <f>IF(Data_Set_2[[#This Row],[valor_bruto]]&lt;$W$14,"OUTLIER-","")</f>
        <v/>
      </c>
      <c r="R830" s="4"/>
      <c r="S830" s="4"/>
      <c r="AB830" t="str">
        <v>RES-100828</v>
      </c>
      <c r="AC830">
        <v>45787</v>
      </c>
      <c r="AD830">
        <v>0.44166666666666665</v>
      </c>
      <c r="AE830" t="str">
        <v>Laureles</v>
      </c>
      <c r="AF830" t="str">
        <v>Mesa</v>
      </c>
      <c r="AG830" t="str">
        <v>Vegano</v>
      </c>
      <c r="AH830">
        <v>3</v>
      </c>
      <c r="AI830">
        <v>46994.84</v>
      </c>
      <c r="AJ830">
        <v>1353.61</v>
      </c>
      <c r="AK830">
        <v>19</v>
      </c>
      <c r="AL830">
        <v>26</v>
      </c>
      <c r="AM830" t="str">
        <v>Tarjeta</v>
      </c>
      <c r="AN830" t="str">
        <v>Entregada</v>
      </c>
      <c r="AO830">
        <v>5</v>
      </c>
    </row>
    <row r="831" spans="1:41" x14ac:dyDescent="0.3">
      <c r="A831" t="s">
        <v>869</v>
      </c>
      <c r="B831" s="8">
        <v>45788</v>
      </c>
      <c r="C831" s="2">
        <v>0.48819444444444443</v>
      </c>
      <c r="D831" t="s">
        <v>21</v>
      </c>
      <c r="E831" t="s">
        <v>22</v>
      </c>
      <c r="F831" t="s">
        <v>36</v>
      </c>
      <c r="G831">
        <v>3</v>
      </c>
      <c r="H831" s="6">
        <v>63652.26</v>
      </c>
      <c r="I831" s="6">
        <v>8233.15</v>
      </c>
      <c r="J831">
        <v>14</v>
      </c>
      <c r="K831">
        <v>29</v>
      </c>
      <c r="L831" t="s">
        <v>24</v>
      </c>
      <c r="M831" t="s">
        <v>25</v>
      </c>
      <c r="N831">
        <v>3</v>
      </c>
      <c r="O831" s="4"/>
      <c r="P831" s="4" t="str">
        <f>IF(Data_Set_2[[#This Row],[valor_bruto]]&gt;$W$13,"OUTLIER+","")</f>
        <v/>
      </c>
      <c r="Q831" s="4" t="str">
        <f>IF(Data_Set_2[[#This Row],[valor_bruto]]&lt;$W$14,"OUTLIER-","")</f>
        <v/>
      </c>
      <c r="R831" s="4"/>
      <c r="S831" s="4"/>
      <c r="AB831" t="str">
        <v>RES-100829</v>
      </c>
      <c r="AC831">
        <v>45788</v>
      </c>
      <c r="AD831">
        <v>0.48819444444444443</v>
      </c>
      <c r="AE831" t="str">
        <v>Poblado</v>
      </c>
      <c r="AF831" t="str">
        <v>Domicilio</v>
      </c>
      <c r="AG831" t="str">
        <v>Bebidas</v>
      </c>
      <c r="AH831">
        <v>3</v>
      </c>
      <c r="AI831">
        <v>63652.26</v>
      </c>
      <c r="AJ831">
        <v>8233.15</v>
      </c>
      <c r="AK831">
        <v>14</v>
      </c>
      <c r="AL831">
        <v>29</v>
      </c>
      <c r="AM831" t="str">
        <v>Efectivo</v>
      </c>
      <c r="AN831" t="str">
        <v>Cancelada</v>
      </c>
      <c r="AO831">
        <v>3</v>
      </c>
    </row>
    <row r="832" spans="1:41" x14ac:dyDescent="0.3">
      <c r="A832" t="s">
        <v>870</v>
      </c>
      <c r="B832" s="8">
        <v>45996</v>
      </c>
      <c r="C832" s="2">
        <v>0.53472222222222221</v>
      </c>
      <c r="D832" t="s">
        <v>27</v>
      </c>
      <c r="E832" t="s">
        <v>28</v>
      </c>
      <c r="F832" t="s">
        <v>17</v>
      </c>
      <c r="G832">
        <v>3</v>
      </c>
      <c r="H832" s="6">
        <v>57522.03</v>
      </c>
      <c r="I832" s="6">
        <v>6750.97</v>
      </c>
      <c r="J832">
        <v>23</v>
      </c>
      <c r="K832">
        <v>29</v>
      </c>
      <c r="L832" t="s">
        <v>30</v>
      </c>
      <c r="M832" t="s">
        <v>31</v>
      </c>
      <c r="N832">
        <v>4</v>
      </c>
      <c r="O832" s="4"/>
      <c r="P832" s="4" t="str">
        <f>IF(Data_Set_2[[#This Row],[valor_bruto]]&gt;$W$13,"OUTLIER+","")</f>
        <v/>
      </c>
      <c r="Q832" s="4" t="str">
        <f>IF(Data_Set_2[[#This Row],[valor_bruto]]&lt;$W$14,"OUTLIER-","")</f>
        <v/>
      </c>
      <c r="R832" s="4"/>
      <c r="S832" s="4"/>
      <c r="AB832" t="str">
        <v>RES-100830</v>
      </c>
      <c r="AC832">
        <v>45996</v>
      </c>
      <c r="AD832">
        <v>0.53472222222222221</v>
      </c>
      <c r="AE832" t="str">
        <v>Centro</v>
      </c>
      <c r="AF832" t="str">
        <v>Recoge</v>
      </c>
      <c r="AG832" t="str">
        <v>Comida rapida</v>
      </c>
      <c r="AH832">
        <v>3</v>
      </c>
      <c r="AI832">
        <v>57522.03</v>
      </c>
      <c r="AJ832">
        <v>6750.97</v>
      </c>
      <c r="AK832">
        <v>23</v>
      </c>
      <c r="AL832">
        <v>29</v>
      </c>
      <c r="AM832" t="str">
        <v>App</v>
      </c>
      <c r="AN832" t="str">
        <v>Reembolsada</v>
      </c>
      <c r="AO832">
        <v>4</v>
      </c>
    </row>
    <row r="833" spans="1:41" x14ac:dyDescent="0.3">
      <c r="A833" t="s">
        <v>871</v>
      </c>
      <c r="B833" s="8">
        <v>45790</v>
      </c>
      <c r="C833" s="2">
        <v>0.58125000000000004</v>
      </c>
      <c r="D833" t="s">
        <v>33</v>
      </c>
      <c r="E833" t="s">
        <v>16</v>
      </c>
      <c r="F833" t="s">
        <v>23</v>
      </c>
      <c r="G833">
        <v>4</v>
      </c>
      <c r="H833" s="6">
        <v>55549.21</v>
      </c>
      <c r="I833" s="6">
        <v>7472.41</v>
      </c>
      <c r="J833">
        <v>27</v>
      </c>
      <c r="K833">
        <v>47</v>
      </c>
      <c r="L833" t="s">
        <v>18</v>
      </c>
      <c r="M833" t="s">
        <v>19</v>
      </c>
      <c r="N833">
        <v>4</v>
      </c>
      <c r="O833" s="4"/>
      <c r="P833" s="4" t="str">
        <f>IF(Data_Set_2[[#This Row],[valor_bruto]]&gt;$W$13,"OUTLIER+","")</f>
        <v/>
      </c>
      <c r="Q833" s="4" t="str">
        <f>IF(Data_Set_2[[#This Row],[valor_bruto]]&lt;$W$14,"OUTLIER-","")</f>
        <v/>
      </c>
      <c r="R833" s="4"/>
      <c r="S833" s="4"/>
      <c r="AB833" t="str">
        <v>RES-100831</v>
      </c>
      <c r="AC833">
        <v>45790</v>
      </c>
      <c r="AD833">
        <v>0.58125000000000004</v>
      </c>
      <c r="AE833" t="str">
        <v>Envigado</v>
      </c>
      <c r="AF833" t="str">
        <v>Mesa</v>
      </c>
      <c r="AG833" t="str">
        <v>Pasta</v>
      </c>
      <c r="AH833">
        <v>4</v>
      </c>
      <c r="AI833">
        <v>55549.21</v>
      </c>
      <c r="AJ833">
        <v>7472.41</v>
      </c>
      <c r="AK833">
        <v>27</v>
      </c>
      <c r="AL833">
        <v>47</v>
      </c>
      <c r="AM833" t="str">
        <v>Tarjeta</v>
      </c>
      <c r="AN833" t="str">
        <v>Entregada</v>
      </c>
      <c r="AO833">
        <v>4</v>
      </c>
    </row>
    <row r="834" spans="1:41" x14ac:dyDescent="0.3">
      <c r="A834" t="s">
        <v>872</v>
      </c>
      <c r="B834" s="8">
        <v>45791</v>
      </c>
      <c r="C834" s="2">
        <v>0.58611111111111114</v>
      </c>
      <c r="D834" t="s">
        <v>15</v>
      </c>
      <c r="E834" t="s">
        <v>22</v>
      </c>
      <c r="F834" t="s">
        <v>29</v>
      </c>
      <c r="G834">
        <v>2</v>
      </c>
      <c r="H834" s="6">
        <v>41430.480000000003</v>
      </c>
      <c r="I834" s="6">
        <v>3867.41</v>
      </c>
      <c r="J834">
        <v>20</v>
      </c>
      <c r="K834">
        <v>36</v>
      </c>
      <c r="L834" t="s">
        <v>24</v>
      </c>
      <c r="M834" t="s">
        <v>25</v>
      </c>
      <c r="N834">
        <v>3</v>
      </c>
      <c r="O834" s="4"/>
      <c r="P834" s="4" t="str">
        <f>IF(Data_Set_2[[#This Row],[valor_bruto]]&gt;$W$13,"OUTLIER+","")</f>
        <v/>
      </c>
      <c r="Q834" s="4" t="str">
        <f>IF(Data_Set_2[[#This Row],[valor_bruto]]&lt;$W$14,"OUTLIER-","")</f>
        <v/>
      </c>
      <c r="R834" s="4"/>
      <c r="S834" s="4"/>
      <c r="AB834" t="str">
        <v>RES-100832</v>
      </c>
      <c r="AC834">
        <v>45791</v>
      </c>
      <c r="AD834">
        <v>0.58611111111111114</v>
      </c>
      <c r="AE834" t="str">
        <v>Laureles</v>
      </c>
      <c r="AF834" t="str">
        <v>Domicilio</v>
      </c>
      <c r="AG834" t="str">
        <v>Parrilla</v>
      </c>
      <c r="AH834">
        <v>2</v>
      </c>
      <c r="AI834">
        <v>41430.480000000003</v>
      </c>
      <c r="AJ834">
        <v>3867.41</v>
      </c>
      <c r="AK834">
        <v>20</v>
      </c>
      <c r="AL834">
        <v>36</v>
      </c>
      <c r="AM834" t="str">
        <v>Efectivo</v>
      </c>
      <c r="AN834" t="str">
        <v>Cancelada</v>
      </c>
      <c r="AO834">
        <v>3</v>
      </c>
    </row>
    <row r="835" spans="1:41" x14ac:dyDescent="0.3">
      <c r="A835" t="s">
        <v>873</v>
      </c>
      <c r="B835" s="8">
        <v>45792</v>
      </c>
      <c r="C835" s="2">
        <v>0.63263888888888886</v>
      </c>
      <c r="D835" t="s">
        <v>21</v>
      </c>
      <c r="E835" t="s">
        <v>28</v>
      </c>
      <c r="F835" t="s">
        <v>34</v>
      </c>
      <c r="G835">
        <v>4</v>
      </c>
      <c r="H835" s="6">
        <v>33996.410000000003</v>
      </c>
      <c r="I835" s="6">
        <v>6439.13</v>
      </c>
      <c r="J835">
        <v>31</v>
      </c>
      <c r="K835">
        <v>40</v>
      </c>
      <c r="L835" t="s">
        <v>30</v>
      </c>
      <c r="M835" t="s">
        <v>31</v>
      </c>
      <c r="N835">
        <v>5</v>
      </c>
      <c r="O835" s="4"/>
      <c r="P835" s="4" t="str">
        <f>IF(Data_Set_2[[#This Row],[valor_bruto]]&gt;$W$13,"OUTLIER+","")</f>
        <v/>
      </c>
      <c r="Q835" s="4" t="str">
        <f>IF(Data_Set_2[[#This Row],[valor_bruto]]&lt;$W$14,"OUTLIER-","")</f>
        <v/>
      </c>
      <c r="R835" s="4"/>
      <c r="S835" s="4"/>
      <c r="AB835" t="str">
        <v>RES-100833</v>
      </c>
      <c r="AC835">
        <v>45792</v>
      </c>
      <c r="AD835">
        <v>0.63263888888888886</v>
      </c>
      <c r="AE835" t="str">
        <v>Poblado</v>
      </c>
      <c r="AF835" t="str">
        <v>Recoge</v>
      </c>
      <c r="AG835" t="str">
        <v>Vegano</v>
      </c>
      <c r="AH835">
        <v>4</v>
      </c>
      <c r="AI835">
        <v>33996.410000000003</v>
      </c>
      <c r="AJ835">
        <v>6439.13</v>
      </c>
      <c r="AK835">
        <v>31</v>
      </c>
      <c r="AL835">
        <v>40</v>
      </c>
      <c r="AM835" t="str">
        <v>App</v>
      </c>
      <c r="AN835" t="str">
        <v>Reembolsada</v>
      </c>
      <c r="AO835">
        <v>5</v>
      </c>
    </row>
    <row r="836" spans="1:41" x14ac:dyDescent="0.3">
      <c r="A836" t="s">
        <v>874</v>
      </c>
      <c r="B836" s="8">
        <v>45793</v>
      </c>
      <c r="C836" s="2">
        <v>0.6791666666666667</v>
      </c>
      <c r="D836" t="s">
        <v>27</v>
      </c>
      <c r="E836" t="s">
        <v>16</v>
      </c>
      <c r="F836" t="s">
        <v>36</v>
      </c>
      <c r="G836">
        <v>6</v>
      </c>
      <c r="H836" s="6">
        <v>46526.36</v>
      </c>
      <c r="I836" s="6">
        <v>6921.67</v>
      </c>
      <c r="J836">
        <v>23</v>
      </c>
      <c r="K836">
        <v>50</v>
      </c>
      <c r="L836" t="s">
        <v>18</v>
      </c>
      <c r="M836" t="s">
        <v>19</v>
      </c>
      <c r="N836">
        <v>5</v>
      </c>
      <c r="O836" s="4"/>
      <c r="P836" s="4" t="str">
        <f>IF(Data_Set_2[[#This Row],[valor_bruto]]&gt;$W$13,"OUTLIER+","")</f>
        <v/>
      </c>
      <c r="Q836" s="4" t="str">
        <f>IF(Data_Set_2[[#This Row],[valor_bruto]]&lt;$W$14,"OUTLIER-","")</f>
        <v/>
      </c>
      <c r="R836" s="4"/>
      <c r="S836" s="4"/>
      <c r="AB836" t="str">
        <v>RES-100834</v>
      </c>
      <c r="AC836">
        <v>45793</v>
      </c>
      <c r="AD836">
        <v>0.6791666666666667</v>
      </c>
      <c r="AE836" t="str">
        <v>Centro</v>
      </c>
      <c r="AF836" t="str">
        <v>Mesa</v>
      </c>
      <c r="AG836" t="str">
        <v>Bebidas</v>
      </c>
      <c r="AH836">
        <v>6</v>
      </c>
      <c r="AI836">
        <v>46526.36</v>
      </c>
      <c r="AJ836">
        <v>6921.67</v>
      </c>
      <c r="AK836">
        <v>23</v>
      </c>
      <c r="AL836">
        <v>50</v>
      </c>
      <c r="AM836" t="str">
        <v>Tarjeta</v>
      </c>
      <c r="AN836" t="str">
        <v>Entregada</v>
      </c>
      <c r="AO836">
        <v>5</v>
      </c>
    </row>
    <row r="837" spans="1:41" x14ac:dyDescent="0.3">
      <c r="A837" t="s">
        <v>875</v>
      </c>
      <c r="B837" s="8">
        <v>45794</v>
      </c>
      <c r="C837" s="2">
        <v>0.72569444444444442</v>
      </c>
      <c r="D837" t="s">
        <v>33</v>
      </c>
      <c r="E837" t="s">
        <v>22</v>
      </c>
      <c r="F837" t="s">
        <v>17</v>
      </c>
      <c r="G837">
        <v>3</v>
      </c>
      <c r="H837" s="6">
        <v>66237.539999999994</v>
      </c>
      <c r="I837" s="6">
        <v>2250.06</v>
      </c>
      <c r="J837">
        <v>20</v>
      </c>
      <c r="K837">
        <v>52</v>
      </c>
      <c r="L837" t="s">
        <v>24</v>
      </c>
      <c r="M837" t="s">
        <v>25</v>
      </c>
      <c r="N837">
        <v>5</v>
      </c>
      <c r="O837" s="4"/>
      <c r="P837" s="4" t="str">
        <f>IF(Data_Set_2[[#This Row],[valor_bruto]]&gt;$W$13,"OUTLIER+","")</f>
        <v/>
      </c>
      <c r="Q837" s="4" t="str">
        <f>IF(Data_Set_2[[#This Row],[valor_bruto]]&lt;$W$14,"OUTLIER-","")</f>
        <v/>
      </c>
      <c r="R837" s="4"/>
      <c r="S837" s="4"/>
      <c r="AB837" t="str">
        <v>RES-100835</v>
      </c>
      <c r="AC837">
        <v>45794</v>
      </c>
      <c r="AD837">
        <v>0.72569444444444442</v>
      </c>
      <c r="AE837" t="str">
        <v>Envigado</v>
      </c>
      <c r="AF837" t="str">
        <v>Domicilio</v>
      </c>
      <c r="AG837" t="str">
        <v>Comida rapida</v>
      </c>
      <c r="AH837">
        <v>3</v>
      </c>
      <c r="AI837">
        <v>66237.539999999994</v>
      </c>
      <c r="AJ837">
        <v>2250.06</v>
      </c>
      <c r="AK837">
        <v>20</v>
      </c>
      <c r="AL837">
        <v>52</v>
      </c>
      <c r="AM837" t="str">
        <v>Efectivo</v>
      </c>
      <c r="AN837" t="str">
        <v>Cancelada</v>
      </c>
      <c r="AO837">
        <v>5</v>
      </c>
    </row>
    <row r="838" spans="1:41" x14ac:dyDescent="0.3">
      <c r="A838" t="s">
        <v>876</v>
      </c>
      <c r="B838" s="8">
        <v>45795</v>
      </c>
      <c r="C838" s="2">
        <v>0.77222222222222225</v>
      </c>
      <c r="D838" t="s">
        <v>15</v>
      </c>
      <c r="E838" t="s">
        <v>28</v>
      </c>
      <c r="F838" t="s">
        <v>23</v>
      </c>
      <c r="G838">
        <v>6</v>
      </c>
      <c r="H838" s="6">
        <v>51156.19</v>
      </c>
      <c r="I838" s="6">
        <v>3151.17</v>
      </c>
      <c r="J838">
        <v>17</v>
      </c>
      <c r="K838">
        <v>51</v>
      </c>
      <c r="L838" t="s">
        <v>30</v>
      </c>
      <c r="M838" t="s">
        <v>31</v>
      </c>
      <c r="N838">
        <v>4</v>
      </c>
      <c r="O838" s="4"/>
      <c r="P838" s="4" t="str">
        <f>IF(Data_Set_2[[#This Row],[valor_bruto]]&gt;$W$13,"OUTLIER+","")</f>
        <v/>
      </c>
      <c r="Q838" s="4" t="str">
        <f>IF(Data_Set_2[[#This Row],[valor_bruto]]&lt;$W$14,"OUTLIER-","")</f>
        <v/>
      </c>
      <c r="R838" s="4"/>
      <c r="S838" s="4"/>
      <c r="AB838" t="str">
        <v>RES-100836</v>
      </c>
      <c r="AC838">
        <v>45795</v>
      </c>
      <c r="AD838">
        <v>0.77222222222222225</v>
      </c>
      <c r="AE838" t="str">
        <v>Laureles</v>
      </c>
      <c r="AF838" t="str">
        <v>Recoge</v>
      </c>
      <c r="AG838" t="str">
        <v>Pasta</v>
      </c>
      <c r="AH838">
        <v>6</v>
      </c>
      <c r="AI838">
        <v>51156.19</v>
      </c>
      <c r="AJ838">
        <v>3151.17</v>
      </c>
      <c r="AK838">
        <v>17</v>
      </c>
      <c r="AL838">
        <v>51</v>
      </c>
      <c r="AM838" t="str">
        <v>App</v>
      </c>
      <c r="AN838" t="str">
        <v>Reembolsada</v>
      </c>
      <c r="AO838">
        <v>4</v>
      </c>
    </row>
    <row r="839" spans="1:41" x14ac:dyDescent="0.3">
      <c r="A839" t="s">
        <v>877</v>
      </c>
      <c r="B839" s="8">
        <v>45796</v>
      </c>
      <c r="C839" s="2">
        <v>0.81874999999999998</v>
      </c>
      <c r="D839" t="s">
        <v>21</v>
      </c>
      <c r="E839" t="s">
        <v>16</v>
      </c>
      <c r="F839" t="s">
        <v>29</v>
      </c>
      <c r="G839">
        <v>4</v>
      </c>
      <c r="H839" s="6">
        <v>59167.6</v>
      </c>
      <c r="I839" s="6">
        <v>2803.31</v>
      </c>
      <c r="J839">
        <v>22</v>
      </c>
      <c r="K839">
        <v>33</v>
      </c>
      <c r="L839" t="s">
        <v>18</v>
      </c>
      <c r="M839" t="s">
        <v>19</v>
      </c>
      <c r="N839">
        <v>3</v>
      </c>
      <c r="O839" s="4"/>
      <c r="P839" s="4" t="str">
        <f>IF(Data_Set_2[[#This Row],[valor_bruto]]&gt;$W$13,"OUTLIER+","")</f>
        <v/>
      </c>
      <c r="Q839" s="4" t="str">
        <f>IF(Data_Set_2[[#This Row],[valor_bruto]]&lt;$W$14,"OUTLIER-","")</f>
        <v/>
      </c>
      <c r="R839" s="4"/>
      <c r="S839" s="4"/>
      <c r="AB839" t="str">
        <v>RES-100837</v>
      </c>
      <c r="AC839">
        <v>45796</v>
      </c>
      <c r="AD839">
        <v>0.81874999999999998</v>
      </c>
      <c r="AE839" t="str">
        <v>Poblado</v>
      </c>
      <c r="AF839" t="str">
        <v>Mesa</v>
      </c>
      <c r="AG839" t="str">
        <v>Parrilla</v>
      </c>
      <c r="AH839">
        <v>4</v>
      </c>
      <c r="AI839">
        <v>59167.6</v>
      </c>
      <c r="AJ839">
        <v>2803.31</v>
      </c>
      <c r="AK839">
        <v>22</v>
      </c>
      <c r="AL839">
        <v>33</v>
      </c>
      <c r="AM839" t="str">
        <v>Tarjeta</v>
      </c>
      <c r="AN839" t="str">
        <v>Entregada</v>
      </c>
      <c r="AO839">
        <v>3</v>
      </c>
    </row>
    <row r="840" spans="1:41" x14ac:dyDescent="0.3">
      <c r="A840" t="s">
        <v>878</v>
      </c>
      <c r="B840" s="8">
        <v>45797</v>
      </c>
      <c r="C840" s="2">
        <v>0.86527777777777781</v>
      </c>
      <c r="D840" t="s">
        <v>27</v>
      </c>
      <c r="E840" t="s">
        <v>22</v>
      </c>
      <c r="F840" t="s">
        <v>34</v>
      </c>
      <c r="G840">
        <v>3</v>
      </c>
      <c r="H840" s="6">
        <v>68168.850000000006</v>
      </c>
      <c r="I840" s="6">
        <v>6933.85</v>
      </c>
      <c r="J840">
        <v>25</v>
      </c>
      <c r="K840">
        <v>23</v>
      </c>
      <c r="L840" t="s">
        <v>24</v>
      </c>
      <c r="M840" t="s">
        <v>25</v>
      </c>
      <c r="N840">
        <v>5</v>
      </c>
      <c r="O840" s="4"/>
      <c r="P840" s="4" t="str">
        <f>IF(Data_Set_2[[#This Row],[valor_bruto]]&gt;$W$13,"OUTLIER+","")</f>
        <v/>
      </c>
      <c r="Q840" s="4" t="str">
        <f>IF(Data_Set_2[[#This Row],[valor_bruto]]&lt;$W$14,"OUTLIER-","")</f>
        <v/>
      </c>
      <c r="R840" s="4"/>
      <c r="S840" s="4"/>
      <c r="AB840" t="str">
        <v>RES-100838</v>
      </c>
      <c r="AC840">
        <v>45797</v>
      </c>
      <c r="AD840">
        <v>0.86527777777777781</v>
      </c>
      <c r="AE840" t="str">
        <v>Centro</v>
      </c>
      <c r="AF840" t="str">
        <v>Domicilio</v>
      </c>
      <c r="AG840" t="str">
        <v>Vegano</v>
      </c>
      <c r="AH840">
        <v>3</v>
      </c>
      <c r="AI840">
        <v>68168.850000000006</v>
      </c>
      <c r="AJ840">
        <v>6933.85</v>
      </c>
      <c r="AK840">
        <v>25</v>
      </c>
      <c r="AL840">
        <v>23</v>
      </c>
      <c r="AM840" t="str">
        <v>Efectivo</v>
      </c>
      <c r="AN840" t="str">
        <v>Cancelada</v>
      </c>
      <c r="AO840">
        <v>5</v>
      </c>
    </row>
    <row r="841" spans="1:41" x14ac:dyDescent="0.3">
      <c r="A841" t="s">
        <v>879</v>
      </c>
      <c r="B841" s="8">
        <v>45798</v>
      </c>
      <c r="C841" s="2">
        <v>0.91180555555555554</v>
      </c>
      <c r="D841" t="s">
        <v>33</v>
      </c>
      <c r="E841" t="s">
        <v>28</v>
      </c>
      <c r="F841" t="s">
        <v>36</v>
      </c>
      <c r="G841">
        <v>2</v>
      </c>
      <c r="H841" s="6">
        <v>54276.98</v>
      </c>
      <c r="I841" s="6">
        <v>7202.56</v>
      </c>
      <c r="J841">
        <v>25</v>
      </c>
      <c r="K841">
        <v>41</v>
      </c>
      <c r="L841" t="s">
        <v>30</v>
      </c>
      <c r="M841" t="s">
        <v>31</v>
      </c>
      <c r="N841">
        <v>3</v>
      </c>
      <c r="O841" s="4"/>
      <c r="P841" s="4" t="str">
        <f>IF(Data_Set_2[[#This Row],[valor_bruto]]&gt;$W$13,"OUTLIER+","")</f>
        <v/>
      </c>
      <c r="Q841" s="4" t="str">
        <f>IF(Data_Set_2[[#This Row],[valor_bruto]]&lt;$W$14,"OUTLIER-","")</f>
        <v/>
      </c>
      <c r="R841" s="4"/>
      <c r="S841" s="4"/>
      <c r="AB841" t="str">
        <v>RES-100839</v>
      </c>
      <c r="AC841">
        <v>45798</v>
      </c>
      <c r="AD841">
        <v>0.91180555555555554</v>
      </c>
      <c r="AE841" t="str">
        <v>Envigado</v>
      </c>
      <c r="AF841" t="str">
        <v>Recoge</v>
      </c>
      <c r="AG841" t="str">
        <v>Bebidas</v>
      </c>
      <c r="AH841">
        <v>2</v>
      </c>
      <c r="AI841">
        <v>54276.98</v>
      </c>
      <c r="AJ841">
        <v>7202.56</v>
      </c>
      <c r="AK841">
        <v>25</v>
      </c>
      <c r="AL841">
        <v>41</v>
      </c>
      <c r="AM841" t="str">
        <v>App</v>
      </c>
      <c r="AN841" t="str">
        <v>Reembolsada</v>
      </c>
      <c r="AO841">
        <v>3</v>
      </c>
    </row>
    <row r="842" spans="1:41" x14ac:dyDescent="0.3">
      <c r="A842" t="s">
        <v>880</v>
      </c>
      <c r="B842" s="8">
        <v>45799</v>
      </c>
      <c r="C842" s="2">
        <v>0.41666666666666669</v>
      </c>
      <c r="D842" t="s">
        <v>15</v>
      </c>
      <c r="E842" t="s">
        <v>16</v>
      </c>
      <c r="F842" t="s">
        <v>17</v>
      </c>
      <c r="G842">
        <v>4</v>
      </c>
      <c r="H842" s="6">
        <v>53769.14</v>
      </c>
      <c r="I842" s="6">
        <v>599.84</v>
      </c>
      <c r="J842">
        <v>16</v>
      </c>
      <c r="K842">
        <v>41</v>
      </c>
      <c r="L842" t="s">
        <v>18</v>
      </c>
      <c r="M842" t="s">
        <v>19</v>
      </c>
      <c r="N842">
        <v>5</v>
      </c>
      <c r="O842" s="4"/>
      <c r="P842" s="4" t="str">
        <f>IF(Data_Set_2[[#This Row],[valor_bruto]]&gt;$W$13,"OUTLIER+","")</f>
        <v/>
      </c>
      <c r="Q842" s="4" t="str">
        <f>IF(Data_Set_2[[#This Row],[valor_bruto]]&lt;$W$14,"OUTLIER-","")</f>
        <v/>
      </c>
      <c r="R842" s="4"/>
      <c r="S842" s="4"/>
      <c r="AB842" t="str">
        <v>RES-100840</v>
      </c>
      <c r="AC842">
        <v>45799</v>
      </c>
      <c r="AD842">
        <v>0.41666666666666669</v>
      </c>
      <c r="AE842" t="str">
        <v>Laureles</v>
      </c>
      <c r="AF842" t="str">
        <v>Mesa</v>
      </c>
      <c r="AG842" t="str">
        <v>Comida rapida</v>
      </c>
      <c r="AH842">
        <v>4</v>
      </c>
      <c r="AI842">
        <v>53769.14</v>
      </c>
      <c r="AJ842">
        <v>599.84</v>
      </c>
      <c r="AK842">
        <v>16</v>
      </c>
      <c r="AL842">
        <v>41</v>
      </c>
      <c r="AM842" t="str">
        <v>Tarjeta</v>
      </c>
      <c r="AN842" t="str">
        <v>Entregada</v>
      </c>
      <c r="AO842">
        <v>5</v>
      </c>
    </row>
    <row r="843" spans="1:41" x14ac:dyDescent="0.3">
      <c r="A843" t="s">
        <v>881</v>
      </c>
      <c r="B843" s="8">
        <v>45800</v>
      </c>
      <c r="C843" s="2">
        <v>0.46319444444444446</v>
      </c>
      <c r="D843" t="s">
        <v>21</v>
      </c>
      <c r="E843" t="s">
        <v>22</v>
      </c>
      <c r="F843" t="s">
        <v>23</v>
      </c>
      <c r="G843">
        <v>2</v>
      </c>
      <c r="H843" s="6">
        <v>45825.36</v>
      </c>
      <c r="I843" s="6">
        <v>6235.79</v>
      </c>
      <c r="J843">
        <v>17</v>
      </c>
      <c r="K843">
        <v>39</v>
      </c>
      <c r="L843" t="s">
        <v>24</v>
      </c>
      <c r="M843" t="s">
        <v>25</v>
      </c>
      <c r="N843">
        <v>4</v>
      </c>
      <c r="O843" s="4"/>
      <c r="P843" s="4" t="str">
        <f>IF(Data_Set_2[[#This Row],[valor_bruto]]&gt;$W$13,"OUTLIER+","")</f>
        <v/>
      </c>
      <c r="Q843" s="4" t="str">
        <f>IF(Data_Set_2[[#This Row],[valor_bruto]]&lt;$W$14,"OUTLIER-","")</f>
        <v/>
      </c>
      <c r="R843" s="4"/>
      <c r="S843" s="4"/>
      <c r="AB843" t="str">
        <v>RES-100841</v>
      </c>
      <c r="AC843">
        <v>45800</v>
      </c>
      <c r="AD843">
        <v>0.46319444444444446</v>
      </c>
      <c r="AE843" t="str">
        <v>Poblado</v>
      </c>
      <c r="AF843" t="str">
        <v>Domicilio</v>
      </c>
      <c r="AG843" t="str">
        <v>Pasta</v>
      </c>
      <c r="AH843">
        <v>2</v>
      </c>
      <c r="AI843">
        <v>45825.36</v>
      </c>
      <c r="AJ843">
        <v>6235.79</v>
      </c>
      <c r="AK843">
        <v>17</v>
      </c>
      <c r="AL843">
        <v>39</v>
      </c>
      <c r="AM843" t="str">
        <v>Efectivo</v>
      </c>
      <c r="AN843" t="str">
        <v>Cancelada</v>
      </c>
      <c r="AO843">
        <v>4</v>
      </c>
    </row>
    <row r="844" spans="1:41" x14ac:dyDescent="0.3">
      <c r="A844" t="s">
        <v>882</v>
      </c>
      <c r="B844" s="8">
        <v>45801</v>
      </c>
      <c r="C844" s="2">
        <v>0.50972222222222219</v>
      </c>
      <c r="D844" t="s">
        <v>27</v>
      </c>
      <c r="E844" t="s">
        <v>28</v>
      </c>
      <c r="F844" t="s">
        <v>29</v>
      </c>
      <c r="G844">
        <v>3</v>
      </c>
      <c r="H844" s="6">
        <v>37282.910000000003</v>
      </c>
      <c r="I844" s="6">
        <v>4337.09</v>
      </c>
      <c r="J844">
        <v>18</v>
      </c>
      <c r="K844">
        <v>40</v>
      </c>
      <c r="L844" t="s">
        <v>30</v>
      </c>
      <c r="M844" t="s">
        <v>31</v>
      </c>
      <c r="N844">
        <v>4</v>
      </c>
      <c r="O844" s="4"/>
      <c r="P844" s="4" t="str">
        <f>IF(Data_Set_2[[#This Row],[valor_bruto]]&gt;$W$13,"OUTLIER+","")</f>
        <v/>
      </c>
      <c r="Q844" s="4" t="str">
        <f>IF(Data_Set_2[[#This Row],[valor_bruto]]&lt;$W$14,"OUTLIER-","")</f>
        <v/>
      </c>
      <c r="R844" s="4"/>
      <c r="S844" s="4"/>
      <c r="AB844" t="str">
        <v>RES-100842</v>
      </c>
      <c r="AC844">
        <v>45801</v>
      </c>
      <c r="AD844">
        <v>0.50972222222222219</v>
      </c>
      <c r="AE844" t="str">
        <v>Centro</v>
      </c>
      <c r="AF844" t="str">
        <v>Recoge</v>
      </c>
      <c r="AG844" t="str">
        <v>Parrilla</v>
      </c>
      <c r="AH844">
        <v>3</v>
      </c>
      <c r="AI844">
        <v>37282.910000000003</v>
      </c>
      <c r="AJ844">
        <v>4337.09</v>
      </c>
      <c r="AK844">
        <v>18</v>
      </c>
      <c r="AL844">
        <v>40</v>
      </c>
      <c r="AM844" t="str">
        <v>App</v>
      </c>
      <c r="AN844" t="str">
        <v>Reembolsada</v>
      </c>
      <c r="AO844">
        <v>4</v>
      </c>
    </row>
    <row r="845" spans="1:41" x14ac:dyDescent="0.3">
      <c r="A845" t="s">
        <v>883</v>
      </c>
      <c r="B845" s="8">
        <v>45802</v>
      </c>
      <c r="C845" s="2">
        <v>0.55625000000000002</v>
      </c>
      <c r="D845" t="s">
        <v>33</v>
      </c>
      <c r="E845" t="s">
        <v>16</v>
      </c>
      <c r="F845" t="s">
        <v>34</v>
      </c>
      <c r="G845">
        <v>2</v>
      </c>
      <c r="H845" s="6">
        <v>64038.17</v>
      </c>
      <c r="I845" s="6">
        <v>3209.48</v>
      </c>
      <c r="J845">
        <v>16</v>
      </c>
      <c r="K845">
        <v>48</v>
      </c>
      <c r="L845" t="s">
        <v>18</v>
      </c>
      <c r="M845" t="s">
        <v>19</v>
      </c>
      <c r="N845">
        <v>3</v>
      </c>
      <c r="O845" s="4"/>
      <c r="P845" s="4" t="str">
        <f>IF(Data_Set_2[[#This Row],[valor_bruto]]&gt;$W$13,"OUTLIER+","")</f>
        <v/>
      </c>
      <c r="Q845" s="4" t="str">
        <f>IF(Data_Set_2[[#This Row],[valor_bruto]]&lt;$W$14,"OUTLIER-","")</f>
        <v/>
      </c>
      <c r="R845" s="4"/>
      <c r="S845" s="4"/>
      <c r="AB845" t="str">
        <v>RES-100843</v>
      </c>
      <c r="AC845">
        <v>45802</v>
      </c>
      <c r="AD845">
        <v>0.55625000000000002</v>
      </c>
      <c r="AE845" t="str">
        <v>Envigado</v>
      </c>
      <c r="AF845" t="str">
        <v>Mesa</v>
      </c>
      <c r="AG845" t="str">
        <v>Vegano</v>
      </c>
      <c r="AH845">
        <v>2</v>
      </c>
      <c r="AI845">
        <v>64038.17</v>
      </c>
      <c r="AJ845">
        <v>3209.48</v>
      </c>
      <c r="AK845">
        <v>16</v>
      </c>
      <c r="AL845">
        <v>48</v>
      </c>
      <c r="AM845" t="str">
        <v>Tarjeta</v>
      </c>
      <c r="AN845" t="str">
        <v>Entregada</v>
      </c>
      <c r="AO845">
        <v>3</v>
      </c>
    </row>
    <row r="846" spans="1:41" x14ac:dyDescent="0.3">
      <c r="A846" t="s">
        <v>884</v>
      </c>
      <c r="B846" s="8">
        <v>45803</v>
      </c>
      <c r="C846" s="2">
        <v>0.60277777777777775</v>
      </c>
      <c r="D846" t="s">
        <v>15</v>
      </c>
      <c r="E846" t="s">
        <v>22</v>
      </c>
      <c r="F846" t="s">
        <v>36</v>
      </c>
      <c r="G846">
        <v>5</v>
      </c>
      <c r="H846" s="6">
        <v>35637.17</v>
      </c>
      <c r="I846" s="6">
        <v>6554.91</v>
      </c>
      <c r="J846">
        <v>20</v>
      </c>
      <c r="K846">
        <v>27</v>
      </c>
      <c r="L846" t="s">
        <v>24</v>
      </c>
      <c r="M846" t="s">
        <v>25</v>
      </c>
      <c r="N846">
        <v>4</v>
      </c>
      <c r="O846" s="4"/>
      <c r="P846" s="4" t="str">
        <f>IF(Data_Set_2[[#This Row],[valor_bruto]]&gt;$W$13,"OUTLIER+","")</f>
        <v/>
      </c>
      <c r="Q846" s="4" t="str">
        <f>IF(Data_Set_2[[#This Row],[valor_bruto]]&lt;$W$14,"OUTLIER-","")</f>
        <v/>
      </c>
      <c r="R846" s="4"/>
      <c r="S846" s="4"/>
      <c r="AB846" t="str">
        <v>RES-100844</v>
      </c>
      <c r="AC846">
        <v>45803</v>
      </c>
      <c r="AD846">
        <v>0.60277777777777775</v>
      </c>
      <c r="AE846" t="str">
        <v>Laureles</v>
      </c>
      <c r="AF846" t="str">
        <v>Domicilio</v>
      </c>
      <c r="AG846" t="str">
        <v>Bebidas</v>
      </c>
      <c r="AH846">
        <v>5</v>
      </c>
      <c r="AI846">
        <v>35637.17</v>
      </c>
      <c r="AJ846">
        <v>6554.91</v>
      </c>
      <c r="AK846">
        <v>20</v>
      </c>
      <c r="AL846">
        <v>27</v>
      </c>
      <c r="AM846" t="str">
        <v>Efectivo</v>
      </c>
      <c r="AN846" t="str">
        <v>Cancelada</v>
      </c>
      <c r="AO846">
        <v>4</v>
      </c>
    </row>
    <row r="847" spans="1:41" x14ac:dyDescent="0.3">
      <c r="A847" t="s">
        <v>885</v>
      </c>
      <c r="B847" s="8">
        <v>45804</v>
      </c>
      <c r="C847" s="2">
        <v>0.64930555555555558</v>
      </c>
      <c r="D847" t="s">
        <v>21</v>
      </c>
      <c r="E847" t="s">
        <v>28</v>
      </c>
      <c r="F847" t="s">
        <v>17</v>
      </c>
      <c r="G847">
        <v>2</v>
      </c>
      <c r="H847" s="6">
        <v>39620.61</v>
      </c>
      <c r="I847" s="6">
        <v>4303.3599999999997</v>
      </c>
      <c r="J847">
        <v>18</v>
      </c>
      <c r="K847">
        <v>33</v>
      </c>
      <c r="L847" t="s">
        <v>30</v>
      </c>
      <c r="M847" t="s">
        <v>31</v>
      </c>
      <c r="N847">
        <v>5</v>
      </c>
      <c r="O847" s="4"/>
      <c r="P847" s="4" t="str">
        <f>IF(Data_Set_2[[#This Row],[valor_bruto]]&gt;$W$13,"OUTLIER+","")</f>
        <v/>
      </c>
      <c r="Q847" s="4" t="str">
        <f>IF(Data_Set_2[[#This Row],[valor_bruto]]&lt;$W$14,"OUTLIER-","")</f>
        <v/>
      </c>
      <c r="R847" s="4"/>
      <c r="S847" s="4"/>
      <c r="AB847" t="str">
        <v>RES-100845</v>
      </c>
      <c r="AC847">
        <v>45804</v>
      </c>
      <c r="AD847">
        <v>0.64930555555555558</v>
      </c>
      <c r="AE847" t="str">
        <v>Poblado</v>
      </c>
      <c r="AF847" t="str">
        <v>Recoge</v>
      </c>
      <c r="AG847" t="str">
        <v>Comida rapida</v>
      </c>
      <c r="AH847">
        <v>2</v>
      </c>
      <c r="AI847">
        <v>39620.61</v>
      </c>
      <c r="AJ847">
        <v>4303.3599999999997</v>
      </c>
      <c r="AK847">
        <v>18</v>
      </c>
      <c r="AL847">
        <v>33</v>
      </c>
      <c r="AM847" t="str">
        <v>App</v>
      </c>
      <c r="AN847" t="str">
        <v>Reembolsada</v>
      </c>
      <c r="AO847">
        <v>5</v>
      </c>
    </row>
    <row r="848" spans="1:41" x14ac:dyDescent="0.3">
      <c r="A848" t="s">
        <v>886</v>
      </c>
      <c r="B848" s="8">
        <v>45805</v>
      </c>
      <c r="C848" s="2">
        <v>0.6958333333333333</v>
      </c>
      <c r="D848" t="s">
        <v>27</v>
      </c>
      <c r="E848" t="s">
        <v>16</v>
      </c>
      <c r="F848" t="s">
        <v>23</v>
      </c>
      <c r="G848">
        <v>6</v>
      </c>
      <c r="H848" s="6">
        <v>66192.47</v>
      </c>
      <c r="I848" s="6">
        <v>3491.89</v>
      </c>
      <c r="J848">
        <v>18</v>
      </c>
      <c r="K848">
        <v>51</v>
      </c>
      <c r="L848" t="s">
        <v>18</v>
      </c>
      <c r="M848" t="s">
        <v>19</v>
      </c>
      <c r="N848">
        <v>5</v>
      </c>
      <c r="O848" s="4"/>
      <c r="P848" s="4" t="str">
        <f>IF(Data_Set_2[[#This Row],[valor_bruto]]&gt;$W$13,"OUTLIER+","")</f>
        <v/>
      </c>
      <c r="Q848" s="4" t="str">
        <f>IF(Data_Set_2[[#This Row],[valor_bruto]]&lt;$W$14,"OUTLIER-","")</f>
        <v/>
      </c>
      <c r="R848" s="4"/>
      <c r="S848" s="4"/>
      <c r="AB848" t="str">
        <v>RES-100846</v>
      </c>
      <c r="AC848">
        <v>45805</v>
      </c>
      <c r="AD848">
        <v>0.6958333333333333</v>
      </c>
      <c r="AE848" t="str">
        <v>Centro</v>
      </c>
      <c r="AF848" t="str">
        <v>Mesa</v>
      </c>
      <c r="AG848" t="str">
        <v>Pasta</v>
      </c>
      <c r="AH848">
        <v>6</v>
      </c>
      <c r="AI848">
        <v>66192.47</v>
      </c>
      <c r="AJ848">
        <v>3491.89</v>
      </c>
      <c r="AK848">
        <v>18</v>
      </c>
      <c r="AL848">
        <v>51</v>
      </c>
      <c r="AM848" t="str">
        <v>Tarjeta</v>
      </c>
      <c r="AN848" t="str">
        <v>Entregada</v>
      </c>
      <c r="AO848">
        <v>5</v>
      </c>
    </row>
    <row r="849" spans="1:41" x14ac:dyDescent="0.3">
      <c r="A849" t="s">
        <v>887</v>
      </c>
      <c r="B849" s="8">
        <v>45806</v>
      </c>
      <c r="C849" s="2">
        <v>0.74236111111111114</v>
      </c>
      <c r="D849" t="s">
        <v>33</v>
      </c>
      <c r="E849" t="s">
        <v>22</v>
      </c>
      <c r="F849" t="s">
        <v>29</v>
      </c>
      <c r="G849">
        <v>6</v>
      </c>
      <c r="H849" s="6">
        <v>58514.71</v>
      </c>
      <c r="I849" s="6">
        <v>7048.74</v>
      </c>
      <c r="J849">
        <v>26</v>
      </c>
      <c r="K849">
        <v>42</v>
      </c>
      <c r="L849" t="s">
        <v>24</v>
      </c>
      <c r="M849" t="s">
        <v>25</v>
      </c>
      <c r="N849">
        <v>4</v>
      </c>
      <c r="O849" s="4"/>
      <c r="P849" s="4" t="str">
        <f>IF(Data_Set_2[[#This Row],[valor_bruto]]&gt;$W$13,"OUTLIER+","")</f>
        <v/>
      </c>
      <c r="Q849" s="4" t="str">
        <f>IF(Data_Set_2[[#This Row],[valor_bruto]]&lt;$W$14,"OUTLIER-","")</f>
        <v/>
      </c>
      <c r="R849" s="4"/>
      <c r="S849" s="4"/>
      <c r="AB849" t="str">
        <v>RES-100847</v>
      </c>
      <c r="AC849">
        <v>45806</v>
      </c>
      <c r="AD849">
        <v>0.74236111111111114</v>
      </c>
      <c r="AE849" t="str">
        <v>Envigado</v>
      </c>
      <c r="AF849" t="str">
        <v>Domicilio</v>
      </c>
      <c r="AG849" t="str">
        <v>Parrilla</v>
      </c>
      <c r="AH849">
        <v>6</v>
      </c>
      <c r="AI849">
        <v>58514.71</v>
      </c>
      <c r="AJ849">
        <v>7048.74</v>
      </c>
      <c r="AK849">
        <v>26</v>
      </c>
      <c r="AL849">
        <v>42</v>
      </c>
      <c r="AM849" t="str">
        <v>Efectivo</v>
      </c>
      <c r="AN849" t="str">
        <v>Cancelada</v>
      </c>
      <c r="AO849">
        <v>4</v>
      </c>
    </row>
    <row r="850" spans="1:41" x14ac:dyDescent="0.3">
      <c r="A850" t="s">
        <v>888</v>
      </c>
      <c r="B850" s="8">
        <v>45807</v>
      </c>
      <c r="C850" s="2">
        <v>0.78888888888888886</v>
      </c>
      <c r="D850" t="s">
        <v>15</v>
      </c>
      <c r="E850" t="s">
        <v>28</v>
      </c>
      <c r="F850" t="s">
        <v>34</v>
      </c>
      <c r="G850">
        <v>4</v>
      </c>
      <c r="H850" s="6">
        <v>54450.47</v>
      </c>
      <c r="I850" s="6">
        <v>2347.73</v>
      </c>
      <c r="J850">
        <v>21</v>
      </c>
      <c r="K850">
        <v>33</v>
      </c>
      <c r="L850" t="s">
        <v>30</v>
      </c>
      <c r="M850" t="s">
        <v>31</v>
      </c>
      <c r="N850">
        <v>5</v>
      </c>
      <c r="O850" s="4"/>
      <c r="P850" s="4" t="str">
        <f>IF(Data_Set_2[[#This Row],[valor_bruto]]&gt;$W$13,"OUTLIER+","")</f>
        <v/>
      </c>
      <c r="Q850" s="4" t="str">
        <f>IF(Data_Set_2[[#This Row],[valor_bruto]]&lt;$W$14,"OUTLIER-","")</f>
        <v/>
      </c>
      <c r="R850" s="4"/>
      <c r="S850" s="4"/>
      <c r="AB850" t="str">
        <v>RES-100848</v>
      </c>
      <c r="AC850">
        <v>45807</v>
      </c>
      <c r="AD850">
        <v>0.78888888888888886</v>
      </c>
      <c r="AE850" t="str">
        <v>Laureles</v>
      </c>
      <c r="AF850" t="str">
        <v>Recoge</v>
      </c>
      <c r="AG850" t="str">
        <v>Vegano</v>
      </c>
      <c r="AH850">
        <v>4</v>
      </c>
      <c r="AI850">
        <v>54450.47</v>
      </c>
      <c r="AJ850">
        <v>2347.73</v>
      </c>
      <c r="AK850">
        <v>21</v>
      </c>
      <c r="AL850">
        <v>33</v>
      </c>
      <c r="AM850" t="str">
        <v>App</v>
      </c>
      <c r="AN850" t="str">
        <v>Reembolsada</v>
      </c>
      <c r="AO850">
        <v>5</v>
      </c>
    </row>
    <row r="851" spans="1:41" x14ac:dyDescent="0.3">
      <c r="A851" t="s">
        <v>889</v>
      </c>
      <c r="B851" s="8">
        <v>45808</v>
      </c>
      <c r="C851" s="2">
        <v>0.79374999999999996</v>
      </c>
      <c r="D851" t="s">
        <v>21</v>
      </c>
      <c r="E851" t="s">
        <v>16</v>
      </c>
      <c r="F851" t="s">
        <v>36</v>
      </c>
      <c r="G851">
        <v>5</v>
      </c>
      <c r="H851" s="6">
        <v>67384.92</v>
      </c>
      <c r="I851" s="6">
        <v>8399.91</v>
      </c>
      <c r="J851">
        <v>13</v>
      </c>
      <c r="K851">
        <v>43</v>
      </c>
      <c r="L851" t="s">
        <v>18</v>
      </c>
      <c r="M851" t="s">
        <v>19</v>
      </c>
      <c r="N851">
        <v>5</v>
      </c>
      <c r="O851" s="4"/>
      <c r="P851" s="4" t="str">
        <f>IF(Data_Set_2[[#This Row],[valor_bruto]]&gt;$W$13,"OUTLIER+","")</f>
        <v/>
      </c>
      <c r="Q851" s="4" t="str">
        <f>IF(Data_Set_2[[#This Row],[valor_bruto]]&lt;$W$14,"OUTLIER-","")</f>
        <v/>
      </c>
      <c r="R851" s="4"/>
      <c r="S851" s="4"/>
      <c r="AB851" t="str">
        <v>RES-100849</v>
      </c>
      <c r="AC851">
        <v>45808</v>
      </c>
      <c r="AD851">
        <v>0.79374999999999996</v>
      </c>
      <c r="AE851" t="str">
        <v>Poblado</v>
      </c>
      <c r="AF851" t="str">
        <v>Mesa</v>
      </c>
      <c r="AG851" t="str">
        <v>Bebidas</v>
      </c>
      <c r="AH851">
        <v>5</v>
      </c>
      <c r="AI851">
        <v>67384.92</v>
      </c>
      <c r="AJ851">
        <v>8399.91</v>
      </c>
      <c r="AK851">
        <v>13</v>
      </c>
      <c r="AL851">
        <v>43</v>
      </c>
      <c r="AM851" t="str">
        <v>Tarjeta</v>
      </c>
      <c r="AN851" t="str">
        <v>Entregada</v>
      </c>
      <c r="AO851">
        <v>5</v>
      </c>
    </row>
    <row r="852" spans="1:41" x14ac:dyDescent="0.3">
      <c r="A852" t="s">
        <v>890</v>
      </c>
      <c r="B852" s="8">
        <v>45809</v>
      </c>
      <c r="C852" s="2">
        <v>0.84027777777777779</v>
      </c>
      <c r="D852" t="s">
        <v>27</v>
      </c>
      <c r="E852" t="s">
        <v>22</v>
      </c>
      <c r="F852" t="s">
        <v>17</v>
      </c>
      <c r="G852">
        <v>3</v>
      </c>
      <c r="H852" s="6">
        <v>34909.96</v>
      </c>
      <c r="I852" s="6">
        <v>5042.08</v>
      </c>
      <c r="J852">
        <v>27</v>
      </c>
      <c r="K852">
        <v>41</v>
      </c>
      <c r="L852" t="s">
        <v>24</v>
      </c>
      <c r="M852" t="s">
        <v>25</v>
      </c>
      <c r="N852">
        <v>3</v>
      </c>
      <c r="O852" s="4"/>
      <c r="P852" s="4" t="str">
        <f>IF(Data_Set_2[[#This Row],[valor_bruto]]&gt;$W$13,"OUTLIER+","")</f>
        <v/>
      </c>
      <c r="Q852" s="4" t="str">
        <f>IF(Data_Set_2[[#This Row],[valor_bruto]]&lt;$W$14,"OUTLIER-","")</f>
        <v/>
      </c>
      <c r="R852" s="4"/>
      <c r="S852" s="4"/>
      <c r="AB852" t="str">
        <v>RES-100850</v>
      </c>
      <c r="AC852">
        <v>45809</v>
      </c>
      <c r="AD852">
        <v>0.84027777777777779</v>
      </c>
      <c r="AE852" t="str">
        <v>Centro</v>
      </c>
      <c r="AF852" t="str">
        <v>Domicilio</v>
      </c>
      <c r="AG852" t="str">
        <v>Comida rapida</v>
      </c>
      <c r="AH852">
        <v>3</v>
      </c>
      <c r="AI852">
        <v>34909.96</v>
      </c>
      <c r="AJ852">
        <v>5042.08</v>
      </c>
      <c r="AK852">
        <v>27</v>
      </c>
      <c r="AL852">
        <v>41</v>
      </c>
      <c r="AM852" t="str">
        <v>Efectivo</v>
      </c>
      <c r="AN852" t="str">
        <v>Cancelada</v>
      </c>
      <c r="AO852">
        <v>3</v>
      </c>
    </row>
    <row r="853" spans="1:41" x14ac:dyDescent="0.3">
      <c r="A853" t="s">
        <v>891</v>
      </c>
      <c r="B853" s="8">
        <v>45694</v>
      </c>
      <c r="C853" s="2">
        <v>0.88680555555555551</v>
      </c>
      <c r="D853" t="s">
        <v>33</v>
      </c>
      <c r="E853" t="s">
        <v>28</v>
      </c>
      <c r="F853" t="s">
        <v>23</v>
      </c>
      <c r="G853">
        <v>4</v>
      </c>
      <c r="H853" s="6">
        <v>55965.21</v>
      </c>
      <c r="I853" s="6">
        <v>6066.69</v>
      </c>
      <c r="J853">
        <v>30</v>
      </c>
      <c r="K853">
        <v>23</v>
      </c>
      <c r="L853" t="s">
        <v>30</v>
      </c>
      <c r="M853" t="s">
        <v>31</v>
      </c>
      <c r="N853">
        <v>5</v>
      </c>
      <c r="O853" s="4"/>
      <c r="P853" s="4" t="str">
        <f>IF(Data_Set_2[[#This Row],[valor_bruto]]&gt;$W$13,"OUTLIER+","")</f>
        <v/>
      </c>
      <c r="Q853" s="4" t="str">
        <f>IF(Data_Set_2[[#This Row],[valor_bruto]]&lt;$W$14,"OUTLIER-","")</f>
        <v/>
      </c>
      <c r="R853" s="4"/>
      <c r="S853" s="4"/>
      <c r="AB853" t="str">
        <v>RES-100851</v>
      </c>
      <c r="AC853">
        <v>45694</v>
      </c>
      <c r="AD853">
        <v>0.88680555555555551</v>
      </c>
      <c r="AE853" t="str">
        <v>Envigado</v>
      </c>
      <c r="AF853" t="str">
        <v>Recoge</v>
      </c>
      <c r="AG853" t="str">
        <v>Pasta</v>
      </c>
      <c r="AH853">
        <v>4</v>
      </c>
      <c r="AI853">
        <v>55965.21</v>
      </c>
      <c r="AJ853">
        <v>6066.69</v>
      </c>
      <c r="AK853">
        <v>30</v>
      </c>
      <c r="AL853">
        <v>23</v>
      </c>
      <c r="AM853" t="str">
        <v>App</v>
      </c>
      <c r="AN853" t="str">
        <v>Reembolsada</v>
      </c>
      <c r="AO853">
        <v>5</v>
      </c>
    </row>
    <row r="854" spans="1:41" x14ac:dyDescent="0.3">
      <c r="A854" t="s">
        <v>892</v>
      </c>
      <c r="B854" s="8">
        <v>45811</v>
      </c>
      <c r="C854" s="2">
        <v>0.43333333333333335</v>
      </c>
      <c r="D854" t="s">
        <v>15</v>
      </c>
      <c r="E854" t="s">
        <v>16</v>
      </c>
      <c r="F854" t="s">
        <v>29</v>
      </c>
      <c r="G854">
        <v>6</v>
      </c>
      <c r="H854" s="6">
        <v>40713.67</v>
      </c>
      <c r="I854" s="6">
        <v>3901.11</v>
      </c>
      <c r="J854">
        <v>14</v>
      </c>
      <c r="K854">
        <v>36</v>
      </c>
      <c r="L854" t="s">
        <v>18</v>
      </c>
      <c r="M854" t="s">
        <v>19</v>
      </c>
      <c r="N854">
        <v>3</v>
      </c>
      <c r="O854" s="4"/>
      <c r="P854" s="4" t="str">
        <f>IF(Data_Set_2[[#This Row],[valor_bruto]]&gt;$W$13,"OUTLIER+","")</f>
        <v/>
      </c>
      <c r="Q854" s="4" t="str">
        <f>IF(Data_Set_2[[#This Row],[valor_bruto]]&lt;$W$14,"OUTLIER-","")</f>
        <v/>
      </c>
      <c r="R854" s="4"/>
      <c r="S854" s="4"/>
      <c r="AB854" t="str">
        <v>RES-100852</v>
      </c>
      <c r="AC854">
        <v>45811</v>
      </c>
      <c r="AD854">
        <v>0.43333333333333335</v>
      </c>
      <c r="AE854" t="str">
        <v>Laureles</v>
      </c>
      <c r="AF854" t="str">
        <v>Mesa</v>
      </c>
      <c r="AG854" t="str">
        <v>Parrilla</v>
      </c>
      <c r="AH854">
        <v>6</v>
      </c>
      <c r="AI854">
        <v>40713.67</v>
      </c>
      <c r="AJ854">
        <v>3901.11</v>
      </c>
      <c r="AK854">
        <v>14</v>
      </c>
      <c r="AL854">
        <v>36</v>
      </c>
      <c r="AM854" t="str">
        <v>Tarjeta</v>
      </c>
      <c r="AN854" t="str">
        <v>Entregada</v>
      </c>
      <c r="AO854">
        <v>3</v>
      </c>
    </row>
    <row r="855" spans="1:41" x14ac:dyDescent="0.3">
      <c r="A855" t="s">
        <v>893</v>
      </c>
      <c r="B855" s="8">
        <v>45812</v>
      </c>
      <c r="C855" s="2">
        <v>0.47986111111111113</v>
      </c>
      <c r="D855" t="s">
        <v>21</v>
      </c>
      <c r="E855" t="s">
        <v>22</v>
      </c>
      <c r="F855" t="s">
        <v>34</v>
      </c>
      <c r="G855">
        <v>3</v>
      </c>
      <c r="H855" s="6">
        <v>56029.25</v>
      </c>
      <c r="I855" s="6">
        <v>2395.13</v>
      </c>
      <c r="J855">
        <v>30</v>
      </c>
      <c r="K855">
        <v>27</v>
      </c>
      <c r="L855" t="s">
        <v>24</v>
      </c>
      <c r="M855" t="s">
        <v>25</v>
      </c>
      <c r="N855">
        <v>5</v>
      </c>
      <c r="O855" s="4"/>
      <c r="P855" s="4" t="str">
        <f>IF(Data_Set_2[[#This Row],[valor_bruto]]&gt;$W$13,"OUTLIER+","")</f>
        <v/>
      </c>
      <c r="Q855" s="4" t="str">
        <f>IF(Data_Set_2[[#This Row],[valor_bruto]]&lt;$W$14,"OUTLIER-","")</f>
        <v/>
      </c>
      <c r="R855" s="4"/>
      <c r="S855" s="4"/>
      <c r="AB855" t="str">
        <v>RES-100853</v>
      </c>
      <c r="AC855">
        <v>45812</v>
      </c>
      <c r="AD855">
        <v>0.47986111111111113</v>
      </c>
      <c r="AE855" t="str">
        <v>Poblado</v>
      </c>
      <c r="AF855" t="str">
        <v>Domicilio</v>
      </c>
      <c r="AG855" t="str">
        <v>Vegano</v>
      </c>
      <c r="AH855">
        <v>3</v>
      </c>
      <c r="AI855">
        <v>56029.25</v>
      </c>
      <c r="AJ855">
        <v>2395.13</v>
      </c>
      <c r="AK855">
        <v>30</v>
      </c>
      <c r="AL855">
        <v>27</v>
      </c>
      <c r="AM855" t="str">
        <v>Efectivo</v>
      </c>
      <c r="AN855" t="str">
        <v>Cancelada</v>
      </c>
      <c r="AO855">
        <v>5</v>
      </c>
    </row>
    <row r="856" spans="1:41" x14ac:dyDescent="0.3">
      <c r="A856" t="s">
        <v>894</v>
      </c>
      <c r="B856" s="8">
        <v>45783</v>
      </c>
      <c r="C856" s="2">
        <v>0.52638888888888891</v>
      </c>
      <c r="D856" t="s">
        <v>27</v>
      </c>
      <c r="E856" t="s">
        <v>28</v>
      </c>
      <c r="F856" t="s">
        <v>36</v>
      </c>
      <c r="G856">
        <v>5</v>
      </c>
      <c r="H856" s="6">
        <v>60152.61</v>
      </c>
      <c r="I856" s="6">
        <v>6451.89</v>
      </c>
      <c r="J856">
        <v>27</v>
      </c>
      <c r="K856">
        <v>39</v>
      </c>
      <c r="L856" t="s">
        <v>30</v>
      </c>
      <c r="M856" t="s">
        <v>31</v>
      </c>
      <c r="N856">
        <v>4</v>
      </c>
      <c r="O856" s="4"/>
      <c r="P856" s="4" t="str">
        <f>IF(Data_Set_2[[#This Row],[valor_bruto]]&gt;$W$13,"OUTLIER+","")</f>
        <v/>
      </c>
      <c r="Q856" s="4" t="str">
        <f>IF(Data_Set_2[[#This Row],[valor_bruto]]&lt;$W$14,"OUTLIER-","")</f>
        <v/>
      </c>
      <c r="R856" s="4"/>
      <c r="S856" s="4"/>
      <c r="AB856" t="str">
        <v>RES-100854</v>
      </c>
      <c r="AC856">
        <v>45783</v>
      </c>
      <c r="AD856">
        <v>0.52638888888888891</v>
      </c>
      <c r="AE856" t="str">
        <v>Centro</v>
      </c>
      <c r="AF856" t="str">
        <v>Recoge</v>
      </c>
      <c r="AG856" t="str">
        <v>Bebidas</v>
      </c>
      <c r="AH856">
        <v>5</v>
      </c>
      <c r="AI856">
        <v>60152.61</v>
      </c>
      <c r="AJ856">
        <v>6451.89</v>
      </c>
      <c r="AK856">
        <v>27</v>
      </c>
      <c r="AL856">
        <v>39</v>
      </c>
      <c r="AM856" t="str">
        <v>App</v>
      </c>
      <c r="AN856" t="str">
        <v>Reembolsada</v>
      </c>
      <c r="AO856">
        <v>4</v>
      </c>
    </row>
    <row r="857" spans="1:41" x14ac:dyDescent="0.3">
      <c r="A857" t="s">
        <v>895</v>
      </c>
      <c r="B857" s="8">
        <v>45814</v>
      </c>
      <c r="C857" s="2">
        <v>0.57291666666666663</v>
      </c>
      <c r="D857" t="s">
        <v>33</v>
      </c>
      <c r="E857" t="s">
        <v>16</v>
      </c>
      <c r="F857" t="s">
        <v>17</v>
      </c>
      <c r="G857">
        <v>5</v>
      </c>
      <c r="H857" s="6">
        <v>68918.070000000007</v>
      </c>
      <c r="I857" s="6">
        <v>6089.96</v>
      </c>
      <c r="J857">
        <v>13</v>
      </c>
      <c r="K857">
        <v>41</v>
      </c>
      <c r="L857" t="s">
        <v>18</v>
      </c>
      <c r="M857" t="s">
        <v>19</v>
      </c>
      <c r="N857">
        <v>3</v>
      </c>
      <c r="O857" s="4"/>
      <c r="P857" s="4" t="str">
        <f>IF(Data_Set_2[[#This Row],[valor_bruto]]&gt;$W$13,"OUTLIER+","")</f>
        <v/>
      </c>
      <c r="Q857" s="4" t="str">
        <f>IF(Data_Set_2[[#This Row],[valor_bruto]]&lt;$W$14,"OUTLIER-","")</f>
        <v/>
      </c>
      <c r="R857" s="4"/>
      <c r="S857" s="4"/>
      <c r="AB857" t="str">
        <v>RES-100855</v>
      </c>
      <c r="AC857">
        <v>45814</v>
      </c>
      <c r="AD857">
        <v>0.57291666666666663</v>
      </c>
      <c r="AE857" t="str">
        <v>Envigado</v>
      </c>
      <c r="AF857" t="str">
        <v>Mesa</v>
      </c>
      <c r="AG857" t="str">
        <v>Comida rapida</v>
      </c>
      <c r="AH857">
        <v>5</v>
      </c>
      <c r="AI857">
        <v>68918.070000000007</v>
      </c>
      <c r="AJ857">
        <v>6089.96</v>
      </c>
      <c r="AK857">
        <v>13</v>
      </c>
      <c r="AL857">
        <v>41</v>
      </c>
      <c r="AM857" t="str">
        <v>Tarjeta</v>
      </c>
      <c r="AN857" t="str">
        <v>Entregada</v>
      </c>
      <c r="AO857">
        <v>3</v>
      </c>
    </row>
    <row r="858" spans="1:41" x14ac:dyDescent="0.3">
      <c r="A858" t="s">
        <v>896</v>
      </c>
      <c r="B858" s="8">
        <v>45815</v>
      </c>
      <c r="C858" s="2">
        <v>0.61944444444444446</v>
      </c>
      <c r="D858" t="s">
        <v>15</v>
      </c>
      <c r="E858" t="s">
        <v>22</v>
      </c>
      <c r="F858" t="s">
        <v>23</v>
      </c>
      <c r="G858">
        <v>6</v>
      </c>
      <c r="H858" s="6">
        <v>60332.94</v>
      </c>
      <c r="I858" s="6">
        <v>2896.67</v>
      </c>
      <c r="J858">
        <v>16</v>
      </c>
      <c r="K858">
        <v>28</v>
      </c>
      <c r="L858" t="s">
        <v>24</v>
      </c>
      <c r="M858" t="s">
        <v>25</v>
      </c>
      <c r="N858">
        <v>4</v>
      </c>
      <c r="O858" s="4"/>
      <c r="P858" s="4" t="str">
        <f>IF(Data_Set_2[[#This Row],[valor_bruto]]&gt;$W$13,"OUTLIER+","")</f>
        <v/>
      </c>
      <c r="Q858" s="4" t="str">
        <f>IF(Data_Set_2[[#This Row],[valor_bruto]]&lt;$W$14,"OUTLIER-","")</f>
        <v/>
      </c>
      <c r="R858" s="4"/>
      <c r="S858" s="4"/>
      <c r="AB858" t="str">
        <v>RES-100856</v>
      </c>
      <c r="AC858">
        <v>45815</v>
      </c>
      <c r="AD858">
        <v>0.61944444444444446</v>
      </c>
      <c r="AE858" t="str">
        <v>Laureles</v>
      </c>
      <c r="AF858" t="str">
        <v>Domicilio</v>
      </c>
      <c r="AG858" t="str">
        <v>Pasta</v>
      </c>
      <c r="AH858">
        <v>6</v>
      </c>
      <c r="AI858">
        <v>60332.94</v>
      </c>
      <c r="AJ858">
        <v>2896.67</v>
      </c>
      <c r="AK858">
        <v>16</v>
      </c>
      <c r="AL858">
        <v>28</v>
      </c>
      <c r="AM858" t="str">
        <v>Efectivo</v>
      </c>
      <c r="AN858" t="str">
        <v>Cancelada</v>
      </c>
      <c r="AO858">
        <v>4</v>
      </c>
    </row>
    <row r="859" spans="1:41" x14ac:dyDescent="0.3">
      <c r="A859" t="s">
        <v>897</v>
      </c>
      <c r="B859" s="8">
        <v>45875</v>
      </c>
      <c r="C859" s="2">
        <v>0.66597222222222219</v>
      </c>
      <c r="D859" t="s">
        <v>21</v>
      </c>
      <c r="E859" t="s">
        <v>28</v>
      </c>
      <c r="F859" t="s">
        <v>29</v>
      </c>
      <c r="G859">
        <v>4</v>
      </c>
      <c r="H859" s="6">
        <v>58226.559999999998</v>
      </c>
      <c r="I859" s="6">
        <v>1747.44</v>
      </c>
      <c r="J859">
        <v>28</v>
      </c>
      <c r="K859">
        <v>48</v>
      </c>
      <c r="L859" t="s">
        <v>30</v>
      </c>
      <c r="M859" t="s">
        <v>31</v>
      </c>
      <c r="N859">
        <v>4</v>
      </c>
      <c r="O859" s="4"/>
      <c r="P859" s="4" t="str">
        <f>IF(Data_Set_2[[#This Row],[valor_bruto]]&gt;$W$13,"OUTLIER+","")</f>
        <v/>
      </c>
      <c r="Q859" s="4" t="str">
        <f>IF(Data_Set_2[[#This Row],[valor_bruto]]&lt;$W$14,"OUTLIER-","")</f>
        <v/>
      </c>
      <c r="R859" s="4"/>
      <c r="S859" s="4"/>
      <c r="AB859" t="str">
        <v>RES-100857</v>
      </c>
      <c r="AC859">
        <v>45875</v>
      </c>
      <c r="AD859">
        <v>0.66597222222222219</v>
      </c>
      <c r="AE859" t="str">
        <v>Poblado</v>
      </c>
      <c r="AF859" t="str">
        <v>Recoge</v>
      </c>
      <c r="AG859" t="str">
        <v>Parrilla</v>
      </c>
      <c r="AH859">
        <v>4</v>
      </c>
      <c r="AI859">
        <v>58226.559999999998</v>
      </c>
      <c r="AJ859">
        <v>1747.44</v>
      </c>
      <c r="AK859">
        <v>28</v>
      </c>
      <c r="AL859">
        <v>48</v>
      </c>
      <c r="AM859" t="str">
        <v>App</v>
      </c>
      <c r="AN859" t="str">
        <v>Reembolsada</v>
      </c>
      <c r="AO859">
        <v>4</v>
      </c>
    </row>
    <row r="860" spans="1:41" x14ac:dyDescent="0.3">
      <c r="A860" t="s">
        <v>898</v>
      </c>
      <c r="B860" s="8">
        <v>45817</v>
      </c>
      <c r="C860" s="2">
        <v>0.67083333333333328</v>
      </c>
      <c r="D860" t="s">
        <v>27</v>
      </c>
      <c r="E860" t="s">
        <v>16</v>
      </c>
      <c r="F860" t="s">
        <v>34</v>
      </c>
      <c r="G860">
        <v>3</v>
      </c>
      <c r="H860" s="6">
        <v>54548.63</v>
      </c>
      <c r="I860" s="6">
        <v>3025.21</v>
      </c>
      <c r="J860">
        <v>23</v>
      </c>
      <c r="K860">
        <v>45</v>
      </c>
      <c r="L860" t="s">
        <v>18</v>
      </c>
      <c r="M860" t="s">
        <v>19</v>
      </c>
      <c r="N860">
        <v>5</v>
      </c>
      <c r="O860" s="4"/>
      <c r="P860" s="4" t="str">
        <f>IF(Data_Set_2[[#This Row],[valor_bruto]]&gt;$W$13,"OUTLIER+","")</f>
        <v/>
      </c>
      <c r="Q860" s="4" t="str">
        <f>IF(Data_Set_2[[#This Row],[valor_bruto]]&lt;$W$14,"OUTLIER-","")</f>
        <v/>
      </c>
      <c r="R860" s="4"/>
      <c r="S860" s="4"/>
      <c r="AB860" t="str">
        <v>RES-100858</v>
      </c>
      <c r="AC860">
        <v>45817</v>
      </c>
      <c r="AD860">
        <v>0.67083333333333328</v>
      </c>
      <c r="AE860" t="str">
        <v>Centro</v>
      </c>
      <c r="AF860" t="str">
        <v>Mesa</v>
      </c>
      <c r="AG860" t="str">
        <v>Vegano</v>
      </c>
      <c r="AH860">
        <v>3</v>
      </c>
      <c r="AI860">
        <v>54548.63</v>
      </c>
      <c r="AJ860">
        <v>3025.21</v>
      </c>
      <c r="AK860">
        <v>23</v>
      </c>
      <c r="AL860">
        <v>45</v>
      </c>
      <c r="AM860" t="str">
        <v>Tarjeta</v>
      </c>
      <c r="AN860" t="str">
        <v>Entregada</v>
      </c>
      <c r="AO860">
        <v>5</v>
      </c>
    </row>
    <row r="861" spans="1:41" x14ac:dyDescent="0.3">
      <c r="A861" t="s">
        <v>899</v>
      </c>
      <c r="B861" s="8">
        <v>45818</v>
      </c>
      <c r="C861" s="2">
        <v>0.71736111111111112</v>
      </c>
      <c r="D861" t="s">
        <v>33</v>
      </c>
      <c r="E861" t="s">
        <v>22</v>
      </c>
      <c r="F861" t="s">
        <v>36</v>
      </c>
      <c r="G861">
        <v>4</v>
      </c>
      <c r="H861" s="6">
        <v>68555.320000000007</v>
      </c>
      <c r="I861" s="6">
        <v>7746.73</v>
      </c>
      <c r="J861">
        <v>23</v>
      </c>
      <c r="K861">
        <v>46</v>
      </c>
      <c r="L861" t="s">
        <v>24</v>
      </c>
      <c r="M861" t="s">
        <v>25</v>
      </c>
      <c r="N861">
        <v>5</v>
      </c>
      <c r="O861" s="4"/>
      <c r="P861" s="4" t="str">
        <f>IF(Data_Set_2[[#This Row],[valor_bruto]]&gt;$W$13,"OUTLIER+","")</f>
        <v/>
      </c>
      <c r="Q861" s="4" t="str">
        <f>IF(Data_Set_2[[#This Row],[valor_bruto]]&lt;$W$14,"OUTLIER-","")</f>
        <v/>
      </c>
      <c r="R861" s="4"/>
      <c r="S861" s="4"/>
      <c r="AB861" t="str">
        <v>RES-100859</v>
      </c>
      <c r="AC861">
        <v>45818</v>
      </c>
      <c r="AD861">
        <v>0.71736111111111112</v>
      </c>
      <c r="AE861" t="str">
        <v>Envigado</v>
      </c>
      <c r="AF861" t="str">
        <v>Domicilio</v>
      </c>
      <c r="AG861" t="str">
        <v>Bebidas</v>
      </c>
      <c r="AH861">
        <v>4</v>
      </c>
      <c r="AI861">
        <v>68555.320000000007</v>
      </c>
      <c r="AJ861">
        <v>7746.73</v>
      </c>
      <c r="AK861">
        <v>23</v>
      </c>
      <c r="AL861">
        <v>46</v>
      </c>
      <c r="AM861" t="str">
        <v>Efectivo</v>
      </c>
      <c r="AN861" t="str">
        <v>Cancelada</v>
      </c>
      <c r="AO861">
        <v>5</v>
      </c>
    </row>
    <row r="862" spans="1:41" x14ac:dyDescent="0.3">
      <c r="A862" t="s">
        <v>900</v>
      </c>
      <c r="B862" s="8">
        <v>45967</v>
      </c>
      <c r="C862" s="2">
        <v>0.76388888888888884</v>
      </c>
      <c r="D862" t="s">
        <v>15</v>
      </c>
      <c r="E862" t="s">
        <v>28</v>
      </c>
      <c r="F862" t="s">
        <v>17</v>
      </c>
      <c r="G862">
        <v>5</v>
      </c>
      <c r="H862" s="6">
        <v>57983.92</v>
      </c>
      <c r="I862" s="6">
        <v>702.53</v>
      </c>
      <c r="J862">
        <v>14</v>
      </c>
      <c r="K862">
        <v>40</v>
      </c>
      <c r="L862" t="s">
        <v>30</v>
      </c>
      <c r="M862" t="s">
        <v>31</v>
      </c>
      <c r="N862">
        <v>3</v>
      </c>
      <c r="O862" s="4"/>
      <c r="P862" s="4" t="str">
        <f>IF(Data_Set_2[[#This Row],[valor_bruto]]&gt;$W$13,"OUTLIER+","")</f>
        <v/>
      </c>
      <c r="Q862" s="4" t="str">
        <f>IF(Data_Set_2[[#This Row],[valor_bruto]]&lt;$W$14,"OUTLIER-","")</f>
        <v/>
      </c>
      <c r="R862" s="4"/>
      <c r="S862" s="4"/>
      <c r="AB862" t="str">
        <v>RES-100860</v>
      </c>
      <c r="AC862">
        <v>45967</v>
      </c>
      <c r="AD862">
        <v>0.76388888888888884</v>
      </c>
      <c r="AE862" t="str">
        <v>Laureles</v>
      </c>
      <c r="AF862" t="str">
        <v>Recoge</v>
      </c>
      <c r="AG862" t="str">
        <v>Comida rapida</v>
      </c>
      <c r="AH862">
        <v>5</v>
      </c>
      <c r="AI862">
        <v>57983.92</v>
      </c>
      <c r="AJ862">
        <v>702.53</v>
      </c>
      <c r="AK862">
        <v>14</v>
      </c>
      <c r="AL862">
        <v>40</v>
      </c>
      <c r="AM862" t="str">
        <v>App</v>
      </c>
      <c r="AN862" t="str">
        <v>Reembolsada</v>
      </c>
      <c r="AO862">
        <v>3</v>
      </c>
    </row>
    <row r="863" spans="1:41" x14ac:dyDescent="0.3">
      <c r="A863" t="s">
        <v>901</v>
      </c>
      <c r="B863" s="8">
        <v>45820</v>
      </c>
      <c r="C863" s="2">
        <v>0.81041666666666667</v>
      </c>
      <c r="D863" t="s">
        <v>21</v>
      </c>
      <c r="E863" t="s">
        <v>16</v>
      </c>
      <c r="F863" t="s">
        <v>23</v>
      </c>
      <c r="G863">
        <v>5</v>
      </c>
      <c r="H863" s="6">
        <v>31965.24</v>
      </c>
      <c r="I863" s="6">
        <v>1065.56</v>
      </c>
      <c r="J863">
        <v>31</v>
      </c>
      <c r="K863">
        <v>24</v>
      </c>
      <c r="L863" t="s">
        <v>18</v>
      </c>
      <c r="M863" t="s">
        <v>19</v>
      </c>
      <c r="N863">
        <f>VLOOKUP(Data_Set_2[[#This Row],[estado]],M2:N862,2,0)</f>
        <v>5</v>
      </c>
      <c r="O863" s="4"/>
      <c r="P863" s="4" t="str">
        <f>IF(Data_Set_2[[#This Row],[valor_bruto]]&gt;$W$13,"OUTLIER+","")</f>
        <v/>
      </c>
      <c r="Q863" s="4" t="str">
        <f>IF(Data_Set_2[[#This Row],[valor_bruto]]&lt;$W$14,"OUTLIER-","")</f>
        <v/>
      </c>
      <c r="R863" s="4"/>
      <c r="S863" s="4"/>
      <c r="AB863" t="str">
        <v>RES-100861</v>
      </c>
      <c r="AC863">
        <v>45820</v>
      </c>
      <c r="AD863">
        <v>0.81041666666666667</v>
      </c>
      <c r="AE863" t="str">
        <v>Poblado</v>
      </c>
      <c r="AF863" t="str">
        <v>Mesa</v>
      </c>
      <c r="AG863" t="str">
        <v>Pasta</v>
      </c>
      <c r="AH863">
        <v>5</v>
      </c>
      <c r="AI863">
        <v>31965.24</v>
      </c>
      <c r="AJ863">
        <v>1065.56</v>
      </c>
      <c r="AK863">
        <v>31</v>
      </c>
      <c r="AL863">
        <v>24</v>
      </c>
      <c r="AM863" t="str">
        <v>Tarjeta</v>
      </c>
      <c r="AN863" t="str">
        <v>Entregada</v>
      </c>
      <c r="AO863">
        <v>5</v>
      </c>
    </row>
    <row r="864" spans="1:41" x14ac:dyDescent="0.3">
      <c r="A864" t="s">
        <v>902</v>
      </c>
      <c r="B864" s="8">
        <v>45821</v>
      </c>
      <c r="C864" s="2">
        <v>0.8569444444444444</v>
      </c>
      <c r="D864" t="s">
        <v>27</v>
      </c>
      <c r="E864" t="s">
        <v>22</v>
      </c>
      <c r="F864" t="s">
        <v>29</v>
      </c>
      <c r="G864">
        <v>3</v>
      </c>
      <c r="H864" s="6">
        <v>41109.5</v>
      </c>
      <c r="I864" s="6">
        <v>2434.83</v>
      </c>
      <c r="J864">
        <v>28</v>
      </c>
      <c r="K864">
        <v>46</v>
      </c>
      <c r="L864" t="s">
        <v>24</v>
      </c>
      <c r="M864" t="s">
        <v>25</v>
      </c>
      <c r="N864">
        <v>5</v>
      </c>
      <c r="O864" s="4"/>
      <c r="P864" s="4" t="str">
        <f>IF(Data_Set_2[[#This Row],[valor_bruto]]&gt;$W$13,"OUTLIER+","")</f>
        <v/>
      </c>
      <c r="Q864" s="4" t="str">
        <f>IF(Data_Set_2[[#This Row],[valor_bruto]]&lt;$W$14,"OUTLIER-","")</f>
        <v/>
      </c>
      <c r="R864" s="4"/>
      <c r="S864" s="4"/>
      <c r="AB864" t="str">
        <v>RES-100862</v>
      </c>
      <c r="AC864">
        <v>45821</v>
      </c>
      <c r="AD864">
        <v>0.8569444444444444</v>
      </c>
      <c r="AE864" t="str">
        <v>Centro</v>
      </c>
      <c r="AF864" t="str">
        <v>Domicilio</v>
      </c>
      <c r="AG864" t="str">
        <v>Parrilla</v>
      </c>
      <c r="AH864">
        <v>3</v>
      </c>
      <c r="AI864">
        <v>41109.5</v>
      </c>
      <c r="AJ864">
        <v>2434.83</v>
      </c>
      <c r="AK864">
        <v>28</v>
      </c>
      <c r="AL864">
        <v>46</v>
      </c>
      <c r="AM864" t="str">
        <v>Efectivo</v>
      </c>
      <c r="AN864" t="str">
        <v>Cancelada</v>
      </c>
      <c r="AO864">
        <v>5</v>
      </c>
    </row>
    <row r="865" spans="1:41" x14ac:dyDescent="0.3">
      <c r="A865" t="s">
        <v>903</v>
      </c>
      <c r="B865" s="8">
        <v>45822</v>
      </c>
      <c r="C865" s="2">
        <v>0.90347222222222223</v>
      </c>
      <c r="D865" t="s">
        <v>33</v>
      </c>
      <c r="E865" t="s">
        <v>28</v>
      </c>
      <c r="F865" t="s">
        <v>34</v>
      </c>
      <c r="G865">
        <v>6</v>
      </c>
      <c r="H865" s="6">
        <v>54677.47</v>
      </c>
      <c r="I865" s="6">
        <v>2918.49</v>
      </c>
      <c r="J865">
        <v>25</v>
      </c>
      <c r="K865">
        <v>23</v>
      </c>
      <c r="L865" t="s">
        <v>30</v>
      </c>
      <c r="M865" t="s">
        <v>31</v>
      </c>
      <c r="N865">
        <v>3</v>
      </c>
      <c r="O865" s="4"/>
      <c r="P865" s="4" t="str">
        <f>IF(Data_Set_2[[#This Row],[valor_bruto]]&gt;$W$13,"OUTLIER+","")</f>
        <v/>
      </c>
      <c r="Q865" s="4" t="str">
        <f>IF(Data_Set_2[[#This Row],[valor_bruto]]&lt;$W$14,"OUTLIER-","")</f>
        <v/>
      </c>
      <c r="R865" s="4"/>
      <c r="S865" s="4"/>
      <c r="AB865" t="str">
        <v>RES-100863</v>
      </c>
      <c r="AC865">
        <v>45822</v>
      </c>
      <c r="AD865">
        <v>0.90347222222222223</v>
      </c>
      <c r="AE865" t="str">
        <v>Envigado</v>
      </c>
      <c r="AF865" t="str">
        <v>Recoge</v>
      </c>
      <c r="AG865" t="str">
        <v>Vegano</v>
      </c>
      <c r="AH865">
        <v>6</v>
      </c>
      <c r="AI865">
        <v>54677.47</v>
      </c>
      <c r="AJ865">
        <v>2918.49</v>
      </c>
      <c r="AK865">
        <v>25</v>
      </c>
      <c r="AL865">
        <v>23</v>
      </c>
      <c r="AM865" t="str">
        <v>App</v>
      </c>
      <c r="AN865" t="str">
        <v>Reembolsada</v>
      </c>
      <c r="AO865">
        <v>3</v>
      </c>
    </row>
    <row r="866" spans="1:41" x14ac:dyDescent="0.3">
      <c r="A866" t="s">
        <v>904</v>
      </c>
      <c r="B866" s="8">
        <v>45823</v>
      </c>
      <c r="C866" s="2">
        <v>0.45</v>
      </c>
      <c r="D866" t="s">
        <v>15</v>
      </c>
      <c r="E866" t="s">
        <v>16</v>
      </c>
      <c r="F866" t="s">
        <v>36</v>
      </c>
      <c r="G866">
        <v>5</v>
      </c>
      <c r="H866" s="6">
        <v>44351.72</v>
      </c>
      <c r="I866" s="6">
        <v>8276.26</v>
      </c>
      <c r="J866">
        <v>27</v>
      </c>
      <c r="K866">
        <v>37</v>
      </c>
      <c r="L866" t="s">
        <v>18</v>
      </c>
      <c r="M866" t="s">
        <v>19</v>
      </c>
      <c r="N866">
        <v>4</v>
      </c>
      <c r="O866" s="4"/>
      <c r="P866" s="4" t="str">
        <f>IF(Data_Set_2[[#This Row],[valor_bruto]]&gt;$W$13,"OUTLIER+","")</f>
        <v/>
      </c>
      <c r="Q866" s="4" t="str">
        <f>IF(Data_Set_2[[#This Row],[valor_bruto]]&lt;$W$14,"OUTLIER-","")</f>
        <v/>
      </c>
      <c r="R866" s="4"/>
      <c r="S866" s="4"/>
      <c r="AB866" t="str">
        <v>RES-100864</v>
      </c>
      <c r="AC866">
        <v>45823</v>
      </c>
      <c r="AD866">
        <v>0.45</v>
      </c>
      <c r="AE866" t="str">
        <v>Laureles</v>
      </c>
      <c r="AF866" t="str">
        <v>Mesa</v>
      </c>
      <c r="AG866" t="str">
        <v>Bebidas</v>
      </c>
      <c r="AH866">
        <v>5</v>
      </c>
      <c r="AI866">
        <v>44351.72</v>
      </c>
      <c r="AJ866">
        <v>8276.26</v>
      </c>
      <c r="AK866">
        <v>27</v>
      </c>
      <c r="AL866">
        <v>37</v>
      </c>
      <c r="AM866" t="str">
        <v>Tarjeta</v>
      </c>
      <c r="AN866" t="str">
        <v>Entregada</v>
      </c>
      <c r="AO866">
        <v>4</v>
      </c>
    </row>
    <row r="867" spans="1:41" x14ac:dyDescent="0.3">
      <c r="A867" t="s">
        <v>905</v>
      </c>
      <c r="B867" s="8">
        <v>45824</v>
      </c>
      <c r="C867" s="2">
        <v>0.49652777777777779</v>
      </c>
      <c r="D867" t="s">
        <v>21</v>
      </c>
      <c r="E867" t="s">
        <v>22</v>
      </c>
      <c r="F867" t="s">
        <v>17</v>
      </c>
      <c r="G867">
        <v>2</v>
      </c>
      <c r="H867" s="6">
        <v>55473.120000000003</v>
      </c>
      <c r="I867" s="6">
        <v>3687.02</v>
      </c>
      <c r="J867">
        <v>24</v>
      </c>
      <c r="K867">
        <v>35</v>
      </c>
      <c r="L867" t="s">
        <v>24</v>
      </c>
      <c r="M867" t="s">
        <v>25</v>
      </c>
      <c r="N867">
        <v>5</v>
      </c>
      <c r="O867" s="4"/>
      <c r="P867" s="4" t="str">
        <f>IF(Data_Set_2[[#This Row],[valor_bruto]]&gt;$W$13,"OUTLIER+","")</f>
        <v/>
      </c>
      <c r="Q867" s="4" t="str">
        <f>IF(Data_Set_2[[#This Row],[valor_bruto]]&lt;$W$14,"OUTLIER-","")</f>
        <v/>
      </c>
      <c r="R867" s="4"/>
      <c r="S867" s="4"/>
      <c r="AB867" t="str">
        <v>RES-100865</v>
      </c>
      <c r="AC867">
        <v>45824</v>
      </c>
      <c r="AD867">
        <v>0.49652777777777779</v>
      </c>
      <c r="AE867" t="str">
        <v>Poblado</v>
      </c>
      <c r="AF867" t="str">
        <v>Domicilio</v>
      </c>
      <c r="AG867" t="str">
        <v>Comida rapida</v>
      </c>
      <c r="AH867">
        <v>2</v>
      </c>
      <c r="AI867">
        <v>55473.120000000003</v>
      </c>
      <c r="AJ867">
        <v>3687.02</v>
      </c>
      <c r="AK867">
        <v>24</v>
      </c>
      <c r="AL867">
        <v>35</v>
      </c>
      <c r="AM867" t="str">
        <v>Efectivo</v>
      </c>
      <c r="AN867" t="str">
        <v>Cancelada</v>
      </c>
      <c r="AO867">
        <v>5</v>
      </c>
    </row>
    <row r="868" spans="1:41" x14ac:dyDescent="0.3">
      <c r="A868" t="s">
        <v>906</v>
      </c>
      <c r="B868" s="8">
        <v>45825</v>
      </c>
      <c r="C868" s="2">
        <v>0.50138888888888888</v>
      </c>
      <c r="D868" t="s">
        <v>27</v>
      </c>
      <c r="E868" t="s">
        <v>28</v>
      </c>
      <c r="F868" t="s">
        <v>23</v>
      </c>
      <c r="G868">
        <v>2</v>
      </c>
      <c r="H868" s="6">
        <v>44386.61</v>
      </c>
      <c r="I868" s="6">
        <v>7267.35</v>
      </c>
      <c r="J868">
        <v>25</v>
      </c>
      <c r="K868">
        <v>33</v>
      </c>
      <c r="L868" t="s">
        <v>30</v>
      </c>
      <c r="M868" t="s">
        <v>31</v>
      </c>
      <c r="N868">
        <v>4</v>
      </c>
      <c r="O868" s="4"/>
      <c r="P868" s="4" t="str">
        <f>IF(Data_Set_2[[#This Row],[valor_bruto]]&gt;$W$13,"OUTLIER+","")</f>
        <v/>
      </c>
      <c r="Q868" s="4" t="str">
        <f>IF(Data_Set_2[[#This Row],[valor_bruto]]&lt;$W$14,"OUTLIER-","")</f>
        <v/>
      </c>
      <c r="R868" s="4"/>
      <c r="S868" s="4"/>
      <c r="AB868" t="str">
        <v>RES-100866</v>
      </c>
      <c r="AC868">
        <v>45825</v>
      </c>
      <c r="AD868">
        <v>0.50138888888888888</v>
      </c>
      <c r="AE868" t="str">
        <v>Centro</v>
      </c>
      <c r="AF868" t="str">
        <v>Recoge</v>
      </c>
      <c r="AG868" t="str">
        <v>Pasta</v>
      </c>
      <c r="AH868">
        <v>2</v>
      </c>
      <c r="AI868">
        <v>44386.61</v>
      </c>
      <c r="AJ868">
        <v>7267.35</v>
      </c>
      <c r="AK868">
        <v>25</v>
      </c>
      <c r="AL868">
        <v>33</v>
      </c>
      <c r="AM868" t="str">
        <v>App</v>
      </c>
      <c r="AN868" t="str">
        <v>Reembolsada</v>
      </c>
      <c r="AO868">
        <v>4</v>
      </c>
    </row>
    <row r="869" spans="1:41" x14ac:dyDescent="0.3">
      <c r="A869" t="s">
        <v>907</v>
      </c>
      <c r="B869" s="8">
        <v>45826</v>
      </c>
      <c r="C869" s="2">
        <v>0.54791666666666672</v>
      </c>
      <c r="D869" t="s">
        <v>33</v>
      </c>
      <c r="E869" t="s">
        <v>16</v>
      </c>
      <c r="F869" t="s">
        <v>29</v>
      </c>
      <c r="G869">
        <v>2</v>
      </c>
      <c r="H869" s="6">
        <v>34024.019999999997</v>
      </c>
      <c r="I869" s="6">
        <v>2639.63</v>
      </c>
      <c r="J869">
        <v>29</v>
      </c>
      <c r="K869">
        <v>29</v>
      </c>
      <c r="L869" t="s">
        <v>18</v>
      </c>
      <c r="M869" t="s">
        <v>19</v>
      </c>
      <c r="N869">
        <v>3</v>
      </c>
      <c r="O869" s="4"/>
      <c r="P869" s="4" t="str">
        <f>IF(Data_Set_2[[#This Row],[valor_bruto]]&gt;$W$13,"OUTLIER+","")</f>
        <v/>
      </c>
      <c r="Q869" s="4" t="str">
        <f>IF(Data_Set_2[[#This Row],[valor_bruto]]&lt;$W$14,"OUTLIER-","")</f>
        <v/>
      </c>
      <c r="R869" s="4"/>
      <c r="S869" s="4"/>
      <c r="AB869" t="str">
        <v>RES-100867</v>
      </c>
      <c r="AC869">
        <v>45826</v>
      </c>
      <c r="AD869">
        <v>0.54791666666666672</v>
      </c>
      <c r="AE869" t="str">
        <v>Envigado</v>
      </c>
      <c r="AF869" t="str">
        <v>Mesa</v>
      </c>
      <c r="AG869" t="str">
        <v>Parrilla</v>
      </c>
      <c r="AH869">
        <v>2</v>
      </c>
      <c r="AI869">
        <v>34024.019999999997</v>
      </c>
      <c r="AJ869">
        <v>2639.63</v>
      </c>
      <c r="AK869">
        <v>29</v>
      </c>
      <c r="AL869">
        <v>29</v>
      </c>
      <c r="AM869" t="str">
        <v>Tarjeta</v>
      </c>
      <c r="AN869" t="str">
        <v>Entregada</v>
      </c>
      <c r="AO869">
        <v>3</v>
      </c>
    </row>
    <row r="870" spans="1:41" x14ac:dyDescent="0.3">
      <c r="A870" t="s">
        <v>908</v>
      </c>
      <c r="B870" s="8">
        <v>45827</v>
      </c>
      <c r="C870" s="2">
        <v>0.59444444444444444</v>
      </c>
      <c r="D870" t="s">
        <v>15</v>
      </c>
      <c r="E870" t="s">
        <v>22</v>
      </c>
      <c r="F870" t="s">
        <v>34</v>
      </c>
      <c r="G870">
        <v>3</v>
      </c>
      <c r="H870" s="6">
        <v>59279.18</v>
      </c>
      <c r="I870" s="6">
        <v>3954.43</v>
      </c>
      <c r="J870">
        <v>21</v>
      </c>
      <c r="K870">
        <v>24</v>
      </c>
      <c r="L870" t="s">
        <v>24</v>
      </c>
      <c r="M870" t="s">
        <v>25</v>
      </c>
      <c r="N870">
        <v>4</v>
      </c>
      <c r="O870" s="4"/>
      <c r="P870" s="4" t="str">
        <f>IF(Data_Set_2[[#This Row],[valor_bruto]]&gt;$W$13,"OUTLIER+","")</f>
        <v/>
      </c>
      <c r="Q870" s="4" t="str">
        <f>IF(Data_Set_2[[#This Row],[valor_bruto]]&lt;$W$14,"OUTLIER-","")</f>
        <v/>
      </c>
      <c r="R870" s="4"/>
      <c r="S870" s="4"/>
      <c r="AB870" t="str">
        <v>RES-100868</v>
      </c>
      <c r="AC870">
        <v>45827</v>
      </c>
      <c r="AD870">
        <v>0.59444444444444444</v>
      </c>
      <c r="AE870" t="str">
        <v>Laureles</v>
      </c>
      <c r="AF870" t="str">
        <v>Domicilio</v>
      </c>
      <c r="AG870" t="str">
        <v>Vegano</v>
      </c>
      <c r="AH870">
        <v>3</v>
      </c>
      <c r="AI870">
        <v>59279.18</v>
      </c>
      <c r="AJ870">
        <v>3954.43</v>
      </c>
      <c r="AK870">
        <v>21</v>
      </c>
      <c r="AL870">
        <v>24</v>
      </c>
      <c r="AM870" t="str">
        <v>Efectivo</v>
      </c>
      <c r="AN870" t="str">
        <v>Cancelada</v>
      </c>
      <c r="AO870">
        <v>4</v>
      </c>
    </row>
    <row r="871" spans="1:41" x14ac:dyDescent="0.3">
      <c r="A871" t="s">
        <v>909</v>
      </c>
      <c r="B871" s="8">
        <v>45828</v>
      </c>
      <c r="C871" s="2">
        <v>0.64097222222222228</v>
      </c>
      <c r="D871" t="s">
        <v>21</v>
      </c>
      <c r="E871" t="s">
        <v>28</v>
      </c>
      <c r="F871" t="s">
        <v>36</v>
      </c>
      <c r="G871">
        <v>5</v>
      </c>
      <c r="H871" s="6">
        <v>55835.19</v>
      </c>
      <c r="I871" s="6">
        <v>3598.18</v>
      </c>
      <c r="J871">
        <v>26</v>
      </c>
      <c r="K871">
        <v>46</v>
      </c>
      <c r="L871" t="s">
        <v>30</v>
      </c>
      <c r="M871" t="s">
        <v>31</v>
      </c>
      <c r="N871">
        <v>3</v>
      </c>
      <c r="O871" s="4"/>
      <c r="P871" s="4" t="str">
        <f>IF(Data_Set_2[[#This Row],[valor_bruto]]&gt;$W$13,"OUTLIER+","")</f>
        <v/>
      </c>
      <c r="Q871" s="4" t="str">
        <f>IF(Data_Set_2[[#This Row],[valor_bruto]]&lt;$W$14,"OUTLIER-","")</f>
        <v/>
      </c>
      <c r="R871" s="4"/>
      <c r="S871" s="4"/>
      <c r="AB871" t="str">
        <v>RES-100869</v>
      </c>
      <c r="AC871">
        <v>45828</v>
      </c>
      <c r="AD871">
        <v>0.64097222222222228</v>
      </c>
      <c r="AE871" t="str">
        <v>Poblado</v>
      </c>
      <c r="AF871" t="str">
        <v>Recoge</v>
      </c>
      <c r="AG871" t="str">
        <v>Bebidas</v>
      </c>
      <c r="AH871">
        <v>5</v>
      </c>
      <c r="AI871">
        <v>55835.19</v>
      </c>
      <c r="AJ871">
        <v>3598.18</v>
      </c>
      <c r="AK871">
        <v>26</v>
      </c>
      <c r="AL871">
        <v>46</v>
      </c>
      <c r="AM871" t="str">
        <v>App</v>
      </c>
      <c r="AN871" t="str">
        <v>Reembolsada</v>
      </c>
      <c r="AO871">
        <v>3</v>
      </c>
    </row>
    <row r="872" spans="1:41" x14ac:dyDescent="0.3">
      <c r="A872" t="s">
        <v>910</v>
      </c>
      <c r="B872" s="8">
        <v>45829</v>
      </c>
      <c r="C872" s="2">
        <v>0.6875</v>
      </c>
      <c r="D872" t="s">
        <v>27</v>
      </c>
      <c r="E872" t="s">
        <v>16</v>
      </c>
      <c r="F872" t="s">
        <v>17</v>
      </c>
      <c r="G872">
        <v>5</v>
      </c>
      <c r="H872" s="6">
        <v>68489.73</v>
      </c>
      <c r="I872" s="6">
        <v>921.57</v>
      </c>
      <c r="J872">
        <v>17</v>
      </c>
      <c r="K872">
        <v>37</v>
      </c>
      <c r="L872" t="s">
        <v>18</v>
      </c>
      <c r="M872" t="s">
        <v>19</v>
      </c>
      <c r="N872">
        <v>5</v>
      </c>
      <c r="O872" s="4"/>
      <c r="P872" s="4" t="str">
        <f>IF(Data_Set_2[[#This Row],[valor_bruto]]&gt;$W$13,"OUTLIER+","")</f>
        <v/>
      </c>
      <c r="Q872" s="4" t="str">
        <f>IF(Data_Set_2[[#This Row],[valor_bruto]]&lt;$W$14,"OUTLIER-","")</f>
        <v/>
      </c>
      <c r="R872" s="4"/>
      <c r="S872" s="4"/>
      <c r="AB872" t="str">
        <v>RES-100870</v>
      </c>
      <c r="AC872">
        <v>45829</v>
      </c>
      <c r="AD872">
        <v>0.6875</v>
      </c>
      <c r="AE872" t="str">
        <v>Centro</v>
      </c>
      <c r="AF872" t="str">
        <v>Mesa</v>
      </c>
      <c r="AG872" t="str">
        <v>Comida rapida</v>
      </c>
      <c r="AH872">
        <v>5</v>
      </c>
      <c r="AI872">
        <v>68489.73</v>
      </c>
      <c r="AJ872">
        <v>921.57</v>
      </c>
      <c r="AK872">
        <v>17</v>
      </c>
      <c r="AL872">
        <v>37</v>
      </c>
      <c r="AM872" t="str">
        <v>Tarjeta</v>
      </c>
      <c r="AN872" t="str">
        <v>Entregada</v>
      </c>
      <c r="AO872">
        <v>5</v>
      </c>
    </row>
    <row r="873" spans="1:41" x14ac:dyDescent="0.3">
      <c r="A873" t="s">
        <v>911</v>
      </c>
      <c r="B873" s="8">
        <v>45830</v>
      </c>
      <c r="C873" s="2">
        <v>0.73402777777777772</v>
      </c>
      <c r="D873" t="s">
        <v>33</v>
      </c>
      <c r="E873" t="s">
        <v>22</v>
      </c>
      <c r="F873" t="s">
        <v>23</v>
      </c>
      <c r="G873">
        <v>5</v>
      </c>
      <c r="H873" s="6">
        <v>57484.46</v>
      </c>
      <c r="I873" s="6">
        <v>944.45</v>
      </c>
      <c r="J873">
        <v>14</v>
      </c>
      <c r="K873">
        <v>48</v>
      </c>
      <c r="L873" t="s">
        <v>24</v>
      </c>
      <c r="M873" t="s">
        <v>25</v>
      </c>
      <c r="N873">
        <v>5</v>
      </c>
      <c r="O873" s="4"/>
      <c r="P873" s="4" t="str">
        <f>IF(Data_Set_2[[#This Row],[valor_bruto]]&gt;$W$13,"OUTLIER+","")</f>
        <v/>
      </c>
      <c r="Q873" s="4" t="str">
        <f>IF(Data_Set_2[[#This Row],[valor_bruto]]&lt;$W$14,"OUTLIER-","")</f>
        <v/>
      </c>
      <c r="R873" s="4"/>
      <c r="S873" s="4"/>
      <c r="AB873" t="str">
        <v>RES-100871</v>
      </c>
      <c r="AC873">
        <v>45830</v>
      </c>
      <c r="AD873">
        <v>0.73402777777777772</v>
      </c>
      <c r="AE873" t="str">
        <v>Envigado</v>
      </c>
      <c r="AF873" t="str">
        <v>Domicilio</v>
      </c>
      <c r="AG873" t="str">
        <v>Pasta</v>
      </c>
      <c r="AH873">
        <v>5</v>
      </c>
      <c r="AI873">
        <v>57484.46</v>
      </c>
      <c r="AJ873">
        <v>944.45</v>
      </c>
      <c r="AK873">
        <v>14</v>
      </c>
      <c r="AL873">
        <v>48</v>
      </c>
      <c r="AM873" t="str">
        <v>Efectivo</v>
      </c>
      <c r="AN873" t="str">
        <v>Cancelada</v>
      </c>
      <c r="AO873">
        <v>5</v>
      </c>
    </row>
    <row r="874" spans="1:41" x14ac:dyDescent="0.3">
      <c r="A874" t="s">
        <v>912</v>
      </c>
      <c r="B874" s="8">
        <v>45831</v>
      </c>
      <c r="C874" s="2">
        <v>0.78055555555555556</v>
      </c>
      <c r="D874" t="s">
        <v>15</v>
      </c>
      <c r="E874" t="s">
        <v>28</v>
      </c>
      <c r="F874" t="s">
        <v>29</v>
      </c>
      <c r="G874">
        <v>6</v>
      </c>
      <c r="H874" s="6">
        <v>45804.34</v>
      </c>
      <c r="I874" s="6">
        <v>2480.4899999999998</v>
      </c>
      <c r="J874">
        <v>17</v>
      </c>
      <c r="K874">
        <v>53</v>
      </c>
      <c r="L874" t="s">
        <v>30</v>
      </c>
      <c r="M874" t="s">
        <v>31</v>
      </c>
      <c r="N874">
        <v>5</v>
      </c>
      <c r="O874" s="4"/>
      <c r="P874" s="4" t="str">
        <f>IF(Data_Set_2[[#This Row],[valor_bruto]]&gt;$W$13,"OUTLIER+","")</f>
        <v/>
      </c>
      <c r="Q874" s="4" t="str">
        <f>IF(Data_Set_2[[#This Row],[valor_bruto]]&lt;$W$14,"OUTLIER-","")</f>
        <v/>
      </c>
      <c r="R874" s="4"/>
      <c r="S874" s="4"/>
      <c r="AB874" t="str">
        <v>RES-100872</v>
      </c>
      <c r="AC874">
        <v>45831</v>
      </c>
      <c r="AD874">
        <v>0.78055555555555556</v>
      </c>
      <c r="AE874" t="str">
        <v>Laureles</v>
      </c>
      <c r="AF874" t="str">
        <v>Recoge</v>
      </c>
      <c r="AG874" t="str">
        <v>Parrilla</v>
      </c>
      <c r="AH874">
        <v>6</v>
      </c>
      <c r="AI874">
        <v>45804.34</v>
      </c>
      <c r="AJ874">
        <v>2480.4899999999998</v>
      </c>
      <c r="AK874">
        <v>17</v>
      </c>
      <c r="AL874">
        <v>53</v>
      </c>
      <c r="AM874" t="str">
        <v>App</v>
      </c>
      <c r="AN874" t="str">
        <v>Reembolsada</v>
      </c>
      <c r="AO874">
        <v>5</v>
      </c>
    </row>
    <row r="875" spans="1:41" x14ac:dyDescent="0.3">
      <c r="A875" t="s">
        <v>913</v>
      </c>
      <c r="B875" s="8">
        <v>45832</v>
      </c>
      <c r="C875" s="2">
        <v>0.82708333333333328</v>
      </c>
      <c r="D875" t="s">
        <v>21</v>
      </c>
      <c r="E875" t="s">
        <v>16</v>
      </c>
      <c r="F875" t="s">
        <v>34</v>
      </c>
      <c r="G875">
        <v>3</v>
      </c>
      <c r="H875" s="6">
        <v>65519.88</v>
      </c>
      <c r="I875" s="6">
        <v>4279.8900000000003</v>
      </c>
      <c r="J875">
        <v>23</v>
      </c>
      <c r="K875">
        <v>40</v>
      </c>
      <c r="L875" t="s">
        <v>18</v>
      </c>
      <c r="M875" t="s">
        <v>19</v>
      </c>
      <c r="N875">
        <v>4</v>
      </c>
      <c r="O875" s="4"/>
      <c r="P875" s="4" t="str">
        <f>IF(Data_Set_2[[#This Row],[valor_bruto]]&gt;$W$13,"OUTLIER+","")</f>
        <v/>
      </c>
      <c r="Q875" s="4" t="str">
        <f>IF(Data_Set_2[[#This Row],[valor_bruto]]&lt;$W$14,"OUTLIER-","")</f>
        <v/>
      </c>
      <c r="R875" s="4"/>
      <c r="S875" s="4"/>
      <c r="AB875" t="str">
        <v>RES-100873</v>
      </c>
      <c r="AC875">
        <v>45832</v>
      </c>
      <c r="AD875">
        <v>0.82708333333333328</v>
      </c>
      <c r="AE875" t="str">
        <v>Poblado</v>
      </c>
      <c r="AF875" t="str">
        <v>Mesa</v>
      </c>
      <c r="AG875" t="str">
        <v>Vegano</v>
      </c>
      <c r="AH875">
        <v>3</v>
      </c>
      <c r="AI875">
        <v>65519.88</v>
      </c>
      <c r="AJ875">
        <v>4279.8900000000003</v>
      </c>
      <c r="AK875">
        <v>23</v>
      </c>
      <c r="AL875">
        <v>40</v>
      </c>
      <c r="AM875" t="str">
        <v>Tarjeta</v>
      </c>
      <c r="AN875" t="str">
        <v>Entregada</v>
      </c>
      <c r="AO875">
        <v>4</v>
      </c>
    </row>
    <row r="876" spans="1:41" x14ac:dyDescent="0.3">
      <c r="A876" t="s">
        <v>914</v>
      </c>
      <c r="B876" s="8">
        <v>45833</v>
      </c>
      <c r="C876" s="2">
        <v>0.87361111111111112</v>
      </c>
      <c r="D876" t="s">
        <v>27</v>
      </c>
      <c r="E876" t="s">
        <v>22</v>
      </c>
      <c r="F876" t="s">
        <v>36</v>
      </c>
      <c r="G876">
        <v>5</v>
      </c>
      <c r="H876" s="6">
        <v>37550.300000000003</v>
      </c>
      <c r="I876" s="6">
        <v>1956.28</v>
      </c>
      <c r="J876">
        <v>21</v>
      </c>
      <c r="K876">
        <v>53</v>
      </c>
      <c r="L876" t="s">
        <v>24</v>
      </c>
      <c r="M876" t="s">
        <v>25</v>
      </c>
      <c r="N876">
        <v>3</v>
      </c>
      <c r="O876" s="4"/>
      <c r="P876" s="4" t="str">
        <f>IF(Data_Set_2[[#This Row],[valor_bruto]]&gt;$W$13,"OUTLIER+","")</f>
        <v/>
      </c>
      <c r="Q876" s="4" t="str">
        <f>IF(Data_Set_2[[#This Row],[valor_bruto]]&lt;$W$14,"OUTLIER-","")</f>
        <v/>
      </c>
      <c r="R876" s="4"/>
      <c r="S876" s="4"/>
      <c r="AB876" t="str">
        <v>RES-100874</v>
      </c>
      <c r="AC876">
        <v>45833</v>
      </c>
      <c r="AD876">
        <v>0.87361111111111112</v>
      </c>
      <c r="AE876" t="str">
        <v>Centro</v>
      </c>
      <c r="AF876" t="str">
        <v>Domicilio</v>
      </c>
      <c r="AG876" t="str">
        <v>Bebidas</v>
      </c>
      <c r="AH876">
        <v>5</v>
      </c>
      <c r="AI876">
        <v>37550.300000000003</v>
      </c>
      <c r="AJ876">
        <v>1956.28</v>
      </c>
      <c r="AK876">
        <v>21</v>
      </c>
      <c r="AL876">
        <v>53</v>
      </c>
      <c r="AM876" t="str">
        <v>Efectivo</v>
      </c>
      <c r="AN876" t="str">
        <v>Cancelada</v>
      </c>
      <c r="AO876">
        <v>3</v>
      </c>
    </row>
    <row r="877" spans="1:41" x14ac:dyDescent="0.3">
      <c r="A877" t="s">
        <v>915</v>
      </c>
      <c r="B877" s="8">
        <v>45834</v>
      </c>
      <c r="C877" s="2">
        <v>0.87847222222222221</v>
      </c>
      <c r="D877" t="s">
        <v>33</v>
      </c>
      <c r="E877" t="s">
        <v>28</v>
      </c>
      <c r="F877" t="s">
        <v>17</v>
      </c>
      <c r="G877">
        <v>2</v>
      </c>
      <c r="H877" s="6">
        <v>45918.7</v>
      </c>
      <c r="I877" s="6">
        <v>7473.43</v>
      </c>
      <c r="J877">
        <v>15</v>
      </c>
      <c r="K877">
        <v>43</v>
      </c>
      <c r="L877" t="s">
        <v>30</v>
      </c>
      <c r="M877" t="s">
        <v>31</v>
      </c>
      <c r="N877">
        <v>5</v>
      </c>
      <c r="O877" s="4"/>
      <c r="P877" s="4" t="str">
        <f>IF(Data_Set_2[[#This Row],[valor_bruto]]&gt;$W$13,"OUTLIER+","")</f>
        <v/>
      </c>
      <c r="Q877" s="4" t="str">
        <f>IF(Data_Set_2[[#This Row],[valor_bruto]]&lt;$W$14,"OUTLIER-","")</f>
        <v/>
      </c>
      <c r="R877" s="4"/>
      <c r="S877" s="4"/>
      <c r="AB877" t="str">
        <v>RES-100875</v>
      </c>
      <c r="AC877">
        <v>45834</v>
      </c>
      <c r="AD877">
        <v>0.87847222222222221</v>
      </c>
      <c r="AE877" t="str">
        <v>Envigado</v>
      </c>
      <c r="AF877" t="str">
        <v>Recoge</v>
      </c>
      <c r="AG877" t="str">
        <v>Comida rapida</v>
      </c>
      <c r="AH877">
        <v>2</v>
      </c>
      <c r="AI877">
        <v>45918.7</v>
      </c>
      <c r="AJ877">
        <v>7473.43</v>
      </c>
      <c r="AK877">
        <v>15</v>
      </c>
      <c r="AL877">
        <v>43</v>
      </c>
      <c r="AM877" t="str">
        <v>App</v>
      </c>
      <c r="AN877" t="str">
        <v>Reembolsada</v>
      </c>
      <c r="AO877">
        <v>5</v>
      </c>
    </row>
    <row r="878" spans="1:41" x14ac:dyDescent="0.3">
      <c r="A878" t="s">
        <v>916</v>
      </c>
      <c r="B878" s="8">
        <v>45835</v>
      </c>
      <c r="C878" s="2">
        <v>0.42499999999999999</v>
      </c>
      <c r="D878" t="s">
        <v>15</v>
      </c>
      <c r="E878" t="s">
        <v>16</v>
      </c>
      <c r="F878" t="s">
        <v>23</v>
      </c>
      <c r="G878">
        <v>3</v>
      </c>
      <c r="H878" s="6">
        <v>35744.019999999997</v>
      </c>
      <c r="I878" s="6">
        <v>4107.29</v>
      </c>
      <c r="J878">
        <v>20</v>
      </c>
      <c r="K878">
        <v>40</v>
      </c>
      <c r="L878" t="s">
        <v>18</v>
      </c>
      <c r="M878" t="s">
        <v>19</v>
      </c>
      <c r="N878">
        <v>5</v>
      </c>
      <c r="O878" s="4"/>
      <c r="P878" s="4" t="str">
        <f>IF(Data_Set_2[[#This Row],[valor_bruto]]&gt;$W$13,"OUTLIER+","")</f>
        <v/>
      </c>
      <c r="Q878" s="4" t="str">
        <f>IF(Data_Set_2[[#This Row],[valor_bruto]]&lt;$W$14,"OUTLIER-","")</f>
        <v/>
      </c>
      <c r="R878" s="4"/>
      <c r="S878" s="4"/>
      <c r="AB878" t="str">
        <v>RES-100876</v>
      </c>
      <c r="AC878">
        <v>45835</v>
      </c>
      <c r="AD878">
        <v>0.42499999999999999</v>
      </c>
      <c r="AE878" t="str">
        <v>Laureles</v>
      </c>
      <c r="AF878" t="str">
        <v>Mesa</v>
      </c>
      <c r="AG878" t="str">
        <v>Pasta</v>
      </c>
      <c r="AH878">
        <v>3</v>
      </c>
      <c r="AI878">
        <v>35744.019999999997</v>
      </c>
      <c r="AJ878">
        <v>4107.29</v>
      </c>
      <c r="AK878">
        <v>20</v>
      </c>
      <c r="AL878">
        <v>40</v>
      </c>
      <c r="AM878" t="str">
        <v>Tarjeta</v>
      </c>
      <c r="AN878" t="str">
        <v>Entregada</v>
      </c>
      <c r="AO878">
        <v>5</v>
      </c>
    </row>
    <row r="879" spans="1:41" x14ac:dyDescent="0.3">
      <c r="A879" t="s">
        <v>917</v>
      </c>
      <c r="B879" s="8">
        <v>45836</v>
      </c>
      <c r="C879" s="2">
        <v>0.47152777777777777</v>
      </c>
      <c r="D879" t="s">
        <v>21</v>
      </c>
      <c r="E879" t="s">
        <v>22</v>
      </c>
      <c r="F879" t="s">
        <v>29</v>
      </c>
      <c r="G879">
        <v>2</v>
      </c>
      <c r="H879" s="6">
        <v>49266.726966101662</v>
      </c>
      <c r="I879" s="6">
        <v>7473.21</v>
      </c>
      <c r="J879">
        <v>23</v>
      </c>
      <c r="K879">
        <v>34</v>
      </c>
      <c r="L879" t="s">
        <v>24</v>
      </c>
      <c r="M879" t="s">
        <v>25</v>
      </c>
      <c r="N879">
        <v>3</v>
      </c>
      <c r="O879" s="4"/>
      <c r="P879" s="4" t="str">
        <f>IF(Data_Set_2[[#This Row],[valor_bruto]]&gt;$W$13,"OUTLIER+","")</f>
        <v/>
      </c>
      <c r="Q879" s="4" t="str">
        <f>IF(Data_Set_2[[#This Row],[valor_bruto]]&lt;$W$14,"OUTLIER-","")</f>
        <v/>
      </c>
      <c r="R879" s="4"/>
      <c r="S879" s="4"/>
      <c r="AB879" t="str">
        <v>RES-100877</v>
      </c>
      <c r="AC879">
        <v>45836</v>
      </c>
      <c r="AD879">
        <v>0.47152777777777777</v>
      </c>
      <c r="AE879" t="str">
        <v>Poblado</v>
      </c>
      <c r="AF879" t="str">
        <v>Domicilio</v>
      </c>
      <c r="AG879" t="str">
        <v>Parrilla</v>
      </c>
      <c r="AH879">
        <v>2</v>
      </c>
      <c r="AI879">
        <v>49266.726966101662</v>
      </c>
      <c r="AJ879">
        <v>7473.21</v>
      </c>
      <c r="AK879">
        <v>23</v>
      </c>
      <c r="AL879">
        <v>34</v>
      </c>
      <c r="AM879" t="str">
        <v>Efectivo</v>
      </c>
      <c r="AN879" t="str">
        <v>Cancelada</v>
      </c>
      <c r="AO879">
        <v>3</v>
      </c>
    </row>
    <row r="880" spans="1:41" x14ac:dyDescent="0.3">
      <c r="A880" t="s">
        <v>918</v>
      </c>
      <c r="B880" s="8">
        <v>45837</v>
      </c>
      <c r="C880" s="2">
        <v>0.5180555555555556</v>
      </c>
      <c r="D880" t="s">
        <v>27</v>
      </c>
      <c r="E880" t="s">
        <v>28</v>
      </c>
      <c r="F880" t="s">
        <v>34</v>
      </c>
      <c r="G880">
        <v>6</v>
      </c>
      <c r="H880" s="6">
        <v>35696.28</v>
      </c>
      <c r="I880" s="6">
        <v>7563.47</v>
      </c>
      <c r="J880">
        <v>14</v>
      </c>
      <c r="K880">
        <v>49</v>
      </c>
      <c r="L880" t="s">
        <v>30</v>
      </c>
      <c r="M880" t="s">
        <v>31</v>
      </c>
      <c r="N880">
        <v>4</v>
      </c>
      <c r="O880" s="4"/>
      <c r="P880" s="4" t="str">
        <f>IF(Data_Set_2[[#This Row],[valor_bruto]]&gt;$W$13,"OUTLIER+","")</f>
        <v/>
      </c>
      <c r="Q880" s="4" t="str">
        <f>IF(Data_Set_2[[#This Row],[valor_bruto]]&lt;$W$14,"OUTLIER-","")</f>
        <v/>
      </c>
      <c r="R880" s="4"/>
      <c r="S880" s="4"/>
      <c r="AB880" t="str">
        <v>RES-100878</v>
      </c>
      <c r="AC880">
        <v>45837</v>
      </c>
      <c r="AD880">
        <v>0.5180555555555556</v>
      </c>
      <c r="AE880" t="str">
        <v>Centro</v>
      </c>
      <c r="AF880" t="str">
        <v>Recoge</v>
      </c>
      <c r="AG880" t="str">
        <v>Vegano</v>
      </c>
      <c r="AH880">
        <v>6</v>
      </c>
      <c r="AI880">
        <v>35696.28</v>
      </c>
      <c r="AJ880">
        <v>7563.47</v>
      </c>
      <c r="AK880">
        <v>14</v>
      </c>
      <c r="AL880">
        <v>49</v>
      </c>
      <c r="AM880" t="str">
        <v>App</v>
      </c>
      <c r="AN880" t="str">
        <v>Reembolsada</v>
      </c>
      <c r="AO880">
        <v>4</v>
      </c>
    </row>
    <row r="881" spans="1:41" x14ac:dyDescent="0.3">
      <c r="A881" t="s">
        <v>919</v>
      </c>
      <c r="B881" s="8">
        <v>45838</v>
      </c>
      <c r="C881" s="2">
        <v>0.56458333333333333</v>
      </c>
      <c r="D881" t="s">
        <v>33</v>
      </c>
      <c r="E881" t="s">
        <v>16</v>
      </c>
      <c r="F881" t="s">
        <v>36</v>
      </c>
      <c r="G881">
        <v>2</v>
      </c>
      <c r="H881" s="6">
        <v>39276.65</v>
      </c>
      <c r="I881" s="6">
        <v>6922.28</v>
      </c>
      <c r="J881">
        <v>20</v>
      </c>
      <c r="K881">
        <v>26</v>
      </c>
      <c r="L881" t="s">
        <v>18</v>
      </c>
      <c r="M881" t="s">
        <v>19</v>
      </c>
      <c r="N881">
        <v>4</v>
      </c>
      <c r="O881" s="4"/>
      <c r="P881" s="4" t="str">
        <f>IF(Data_Set_2[[#This Row],[valor_bruto]]&gt;$W$13,"OUTLIER+","")</f>
        <v/>
      </c>
      <c r="Q881" s="4" t="str">
        <f>IF(Data_Set_2[[#This Row],[valor_bruto]]&lt;$W$14,"OUTLIER-","")</f>
        <v/>
      </c>
      <c r="R881" s="4"/>
      <c r="S881" s="4"/>
      <c r="AB881" t="str">
        <v>RES-100879</v>
      </c>
      <c r="AC881">
        <v>45838</v>
      </c>
      <c r="AD881">
        <v>0.56458333333333333</v>
      </c>
      <c r="AE881" t="str">
        <v>Envigado</v>
      </c>
      <c r="AF881" t="str">
        <v>Mesa</v>
      </c>
      <c r="AG881" t="str">
        <v>Bebidas</v>
      </c>
      <c r="AH881">
        <v>2</v>
      </c>
      <c r="AI881">
        <v>39276.65</v>
      </c>
      <c r="AJ881">
        <v>6922.28</v>
      </c>
      <c r="AK881">
        <v>20</v>
      </c>
      <c r="AL881">
        <v>26</v>
      </c>
      <c r="AM881" t="str">
        <v>Tarjeta</v>
      </c>
      <c r="AN881" t="str">
        <v>Entregada</v>
      </c>
      <c r="AO881">
        <v>4</v>
      </c>
    </row>
    <row r="882" spans="1:41" x14ac:dyDescent="0.3">
      <c r="A882" t="s">
        <v>920</v>
      </c>
      <c r="B882" s="8">
        <v>45839</v>
      </c>
      <c r="C882" s="2">
        <v>0.61111111111111116</v>
      </c>
      <c r="D882" t="s">
        <v>15</v>
      </c>
      <c r="E882" t="s">
        <v>22</v>
      </c>
      <c r="F882" t="s">
        <v>17</v>
      </c>
      <c r="G882">
        <v>4</v>
      </c>
      <c r="H882" s="6">
        <v>57970.8</v>
      </c>
      <c r="I882" s="6">
        <v>6290.08</v>
      </c>
      <c r="J882">
        <v>28</v>
      </c>
      <c r="K882">
        <v>23</v>
      </c>
      <c r="L882" t="s">
        <v>24</v>
      </c>
      <c r="M882" t="s">
        <v>25</v>
      </c>
      <c r="N882">
        <v>3</v>
      </c>
      <c r="O882" s="4"/>
      <c r="P882" s="4" t="str">
        <f>IF(Data_Set_2[[#This Row],[valor_bruto]]&gt;$W$13,"OUTLIER+","")</f>
        <v/>
      </c>
      <c r="Q882" s="4" t="str">
        <f>IF(Data_Set_2[[#This Row],[valor_bruto]]&lt;$W$14,"OUTLIER-","")</f>
        <v/>
      </c>
      <c r="R882" s="4"/>
      <c r="S882" s="4"/>
      <c r="AB882" t="str">
        <v>RES-100880</v>
      </c>
      <c r="AC882">
        <v>45839</v>
      </c>
      <c r="AD882">
        <v>0.61111111111111116</v>
      </c>
      <c r="AE882" t="str">
        <v>Laureles</v>
      </c>
      <c r="AF882" t="str">
        <v>Domicilio</v>
      </c>
      <c r="AG882" t="str">
        <v>Comida rapida</v>
      </c>
      <c r="AH882">
        <v>4</v>
      </c>
      <c r="AI882">
        <v>57970.8</v>
      </c>
      <c r="AJ882">
        <v>6290.08</v>
      </c>
      <c r="AK882">
        <v>28</v>
      </c>
      <c r="AL882">
        <v>23</v>
      </c>
      <c r="AM882" t="str">
        <v>Efectivo</v>
      </c>
      <c r="AN882" t="str">
        <v>Cancelada</v>
      </c>
      <c r="AO882">
        <v>3</v>
      </c>
    </row>
    <row r="883" spans="1:41" x14ac:dyDescent="0.3">
      <c r="A883" t="s">
        <v>921</v>
      </c>
      <c r="B883" s="8">
        <v>45695</v>
      </c>
      <c r="C883" s="2">
        <v>0.65763888888888888</v>
      </c>
      <c r="D883" t="s">
        <v>21</v>
      </c>
      <c r="E883" t="s">
        <v>28</v>
      </c>
      <c r="F883" t="s">
        <v>23</v>
      </c>
      <c r="G883">
        <v>3</v>
      </c>
      <c r="H883" s="6">
        <v>67010.48</v>
      </c>
      <c r="I883" s="6">
        <v>7915.23</v>
      </c>
      <c r="J883">
        <v>30</v>
      </c>
      <c r="K883">
        <v>40</v>
      </c>
      <c r="L883" t="s">
        <v>30</v>
      </c>
      <c r="M883" t="s">
        <v>31</v>
      </c>
      <c r="N883">
        <v>3</v>
      </c>
      <c r="O883" s="4"/>
      <c r="P883" s="4" t="str">
        <f>IF(Data_Set_2[[#This Row],[valor_bruto]]&gt;$W$13,"OUTLIER+","")</f>
        <v/>
      </c>
      <c r="Q883" s="4" t="str">
        <f>IF(Data_Set_2[[#This Row],[valor_bruto]]&lt;$W$14,"OUTLIER-","")</f>
        <v/>
      </c>
      <c r="R883" s="4"/>
      <c r="S883" s="4"/>
      <c r="AB883" t="str">
        <v>RES-100881</v>
      </c>
      <c r="AC883">
        <v>45695</v>
      </c>
      <c r="AD883">
        <v>0.65763888888888888</v>
      </c>
      <c r="AE883" t="str">
        <v>Poblado</v>
      </c>
      <c r="AF883" t="str">
        <v>Recoge</v>
      </c>
      <c r="AG883" t="str">
        <v>Pasta</v>
      </c>
      <c r="AH883">
        <v>3</v>
      </c>
      <c r="AI883">
        <v>67010.48</v>
      </c>
      <c r="AJ883">
        <v>7915.23</v>
      </c>
      <c r="AK883">
        <v>30</v>
      </c>
      <c r="AL883">
        <v>40</v>
      </c>
      <c r="AM883" t="str">
        <v>App</v>
      </c>
      <c r="AN883" t="str">
        <v>Reembolsada</v>
      </c>
      <c r="AO883">
        <v>3</v>
      </c>
    </row>
    <row r="884" spans="1:41" x14ac:dyDescent="0.3">
      <c r="A884" t="s">
        <v>922</v>
      </c>
      <c r="B884" s="8">
        <v>45841</v>
      </c>
      <c r="C884" s="2">
        <v>0.70416666666666672</v>
      </c>
      <c r="D884" t="s">
        <v>27</v>
      </c>
      <c r="E884" t="s">
        <v>16</v>
      </c>
      <c r="F884" t="s">
        <v>29</v>
      </c>
      <c r="G884">
        <v>6</v>
      </c>
      <c r="H884" s="6">
        <v>56070.02</v>
      </c>
      <c r="I884" s="6">
        <v>1710.03</v>
      </c>
      <c r="J884">
        <v>26</v>
      </c>
      <c r="K884">
        <v>41</v>
      </c>
      <c r="L884" t="s">
        <v>18</v>
      </c>
      <c r="M884" t="s">
        <v>19</v>
      </c>
      <c r="N884">
        <v>5</v>
      </c>
      <c r="O884" s="4"/>
      <c r="P884" s="4" t="str">
        <f>IF(Data_Set_2[[#This Row],[valor_bruto]]&gt;$W$13,"OUTLIER+","")</f>
        <v/>
      </c>
      <c r="Q884" s="4" t="str">
        <f>IF(Data_Set_2[[#This Row],[valor_bruto]]&lt;$W$14,"OUTLIER-","")</f>
        <v/>
      </c>
      <c r="R884" s="4"/>
      <c r="S884" s="4"/>
      <c r="AB884" t="str">
        <v>RES-100882</v>
      </c>
      <c r="AC884">
        <v>45841</v>
      </c>
      <c r="AD884">
        <v>0.70416666666666672</v>
      </c>
      <c r="AE884" t="str">
        <v>Centro</v>
      </c>
      <c r="AF884" t="str">
        <v>Mesa</v>
      </c>
      <c r="AG884" t="str">
        <v>Parrilla</v>
      </c>
      <c r="AH884">
        <v>6</v>
      </c>
      <c r="AI884">
        <v>56070.02</v>
      </c>
      <c r="AJ884">
        <v>1710.03</v>
      </c>
      <c r="AK884">
        <v>26</v>
      </c>
      <c r="AL884">
        <v>41</v>
      </c>
      <c r="AM884" t="str">
        <v>Tarjeta</v>
      </c>
      <c r="AN884" t="str">
        <v>Entregada</v>
      </c>
      <c r="AO884">
        <v>5</v>
      </c>
    </row>
    <row r="885" spans="1:41" x14ac:dyDescent="0.3">
      <c r="A885" t="s">
        <v>923</v>
      </c>
      <c r="B885" s="8">
        <v>45842</v>
      </c>
      <c r="C885" s="2">
        <v>0.70902777777777781</v>
      </c>
      <c r="D885" t="s">
        <v>33</v>
      </c>
      <c r="E885" t="s">
        <v>22</v>
      </c>
      <c r="F885" t="s">
        <v>34</v>
      </c>
      <c r="G885">
        <v>2</v>
      </c>
      <c r="H885" s="6">
        <v>53673.68</v>
      </c>
      <c r="I885" s="6">
        <v>6578.3</v>
      </c>
      <c r="J885">
        <v>19</v>
      </c>
      <c r="K885">
        <v>44</v>
      </c>
      <c r="L885" t="s">
        <v>24</v>
      </c>
      <c r="M885" t="s">
        <v>25</v>
      </c>
      <c r="N885">
        <v>5</v>
      </c>
      <c r="O885" s="4"/>
      <c r="P885" s="4" t="str">
        <f>IF(Data_Set_2[[#This Row],[valor_bruto]]&gt;$W$13,"OUTLIER+","")</f>
        <v/>
      </c>
      <c r="Q885" s="4" t="str">
        <f>IF(Data_Set_2[[#This Row],[valor_bruto]]&lt;$W$14,"OUTLIER-","")</f>
        <v/>
      </c>
      <c r="R885" s="4"/>
      <c r="S885" s="4"/>
      <c r="AB885" t="str">
        <v>RES-100883</v>
      </c>
      <c r="AC885">
        <v>45842</v>
      </c>
      <c r="AD885">
        <v>0.70902777777777781</v>
      </c>
      <c r="AE885" t="str">
        <v>Envigado</v>
      </c>
      <c r="AF885" t="str">
        <v>Domicilio</v>
      </c>
      <c r="AG885" t="str">
        <v>Vegano</v>
      </c>
      <c r="AH885">
        <v>2</v>
      </c>
      <c r="AI885">
        <v>53673.68</v>
      </c>
      <c r="AJ885">
        <v>6578.3</v>
      </c>
      <c r="AK885">
        <v>19</v>
      </c>
      <c r="AL885">
        <v>44</v>
      </c>
      <c r="AM885" t="str">
        <v>Efectivo</v>
      </c>
      <c r="AN885" t="str">
        <v>Cancelada</v>
      </c>
      <c r="AO885">
        <v>5</v>
      </c>
    </row>
    <row r="886" spans="1:41" x14ac:dyDescent="0.3">
      <c r="A886" t="s">
        <v>924</v>
      </c>
      <c r="B886" s="8">
        <v>45784</v>
      </c>
      <c r="C886" s="2">
        <v>0.75555555555555554</v>
      </c>
      <c r="D886" t="s">
        <v>15</v>
      </c>
      <c r="E886" t="s">
        <v>28</v>
      </c>
      <c r="F886" t="s">
        <v>36</v>
      </c>
      <c r="G886">
        <v>4</v>
      </c>
      <c r="H886" s="6">
        <v>31841.68</v>
      </c>
      <c r="I886" s="6">
        <v>1724.75</v>
      </c>
      <c r="J886">
        <v>21</v>
      </c>
      <c r="K886">
        <v>31</v>
      </c>
      <c r="L886" t="s">
        <v>30</v>
      </c>
      <c r="M886" t="s">
        <v>31</v>
      </c>
      <c r="N886">
        <v>4</v>
      </c>
      <c r="O886" s="4"/>
      <c r="P886" s="4" t="str">
        <f>IF(Data_Set_2[[#This Row],[valor_bruto]]&gt;$W$13,"OUTLIER+","")</f>
        <v/>
      </c>
      <c r="Q886" s="4" t="str">
        <f>IF(Data_Set_2[[#This Row],[valor_bruto]]&lt;$W$14,"OUTLIER-","")</f>
        <v/>
      </c>
      <c r="R886" s="4"/>
      <c r="S886" s="4"/>
      <c r="AB886" t="str">
        <v>RES-100884</v>
      </c>
      <c r="AC886">
        <v>45784</v>
      </c>
      <c r="AD886">
        <v>0.75555555555555554</v>
      </c>
      <c r="AE886" t="str">
        <v>Laureles</v>
      </c>
      <c r="AF886" t="str">
        <v>Recoge</v>
      </c>
      <c r="AG886" t="str">
        <v>Bebidas</v>
      </c>
      <c r="AH886">
        <v>4</v>
      </c>
      <c r="AI886">
        <v>31841.68</v>
      </c>
      <c r="AJ886">
        <v>1724.75</v>
      </c>
      <c r="AK886">
        <v>21</v>
      </c>
      <c r="AL886">
        <v>31</v>
      </c>
      <c r="AM886" t="str">
        <v>App</v>
      </c>
      <c r="AN886" t="str">
        <v>Reembolsada</v>
      </c>
      <c r="AO886">
        <v>4</v>
      </c>
    </row>
    <row r="887" spans="1:41" x14ac:dyDescent="0.3">
      <c r="A887" t="s">
        <v>925</v>
      </c>
      <c r="B887" s="8">
        <v>45844</v>
      </c>
      <c r="C887" s="2">
        <v>0.80208333333333337</v>
      </c>
      <c r="D887" t="s">
        <v>21</v>
      </c>
      <c r="E887" t="s">
        <v>16</v>
      </c>
      <c r="F887" t="s">
        <v>17</v>
      </c>
      <c r="G887">
        <v>4</v>
      </c>
      <c r="H887" s="6">
        <v>58338.53</v>
      </c>
      <c r="I887" s="6">
        <v>2113.3000000000002</v>
      </c>
      <c r="J887">
        <v>18</v>
      </c>
      <c r="K887">
        <v>39</v>
      </c>
      <c r="L887" t="s">
        <v>18</v>
      </c>
      <c r="M887" t="s">
        <v>19</v>
      </c>
      <c r="N887">
        <v>3</v>
      </c>
      <c r="O887" s="4"/>
      <c r="P887" s="4" t="str">
        <f>IF(Data_Set_2[[#This Row],[valor_bruto]]&gt;$W$13,"OUTLIER+","")</f>
        <v/>
      </c>
      <c r="Q887" s="4" t="str">
        <f>IF(Data_Set_2[[#This Row],[valor_bruto]]&lt;$W$14,"OUTLIER-","")</f>
        <v/>
      </c>
      <c r="R887" s="4"/>
      <c r="S887" s="4"/>
      <c r="AB887" t="str">
        <v>RES-100885</v>
      </c>
      <c r="AC887">
        <v>45844</v>
      </c>
      <c r="AD887">
        <v>0.80208333333333337</v>
      </c>
      <c r="AE887" t="str">
        <v>Poblado</v>
      </c>
      <c r="AF887" t="str">
        <v>Mesa</v>
      </c>
      <c r="AG887" t="str">
        <v>Comida rapida</v>
      </c>
      <c r="AH887">
        <v>4</v>
      </c>
      <c r="AI887">
        <v>58338.53</v>
      </c>
      <c r="AJ887">
        <v>2113.3000000000002</v>
      </c>
      <c r="AK887">
        <v>18</v>
      </c>
      <c r="AL887">
        <v>39</v>
      </c>
      <c r="AM887" t="str">
        <v>Tarjeta</v>
      </c>
      <c r="AN887" t="str">
        <v>Entregada</v>
      </c>
      <c r="AO887">
        <v>3</v>
      </c>
    </row>
    <row r="888" spans="1:41" x14ac:dyDescent="0.3">
      <c r="A888" t="s">
        <v>926</v>
      </c>
      <c r="B888" s="8">
        <v>45845</v>
      </c>
      <c r="C888" s="2">
        <v>0.84861111111111109</v>
      </c>
      <c r="D888" t="s">
        <v>27</v>
      </c>
      <c r="E888" t="s">
        <v>22</v>
      </c>
      <c r="F888" t="s">
        <v>23</v>
      </c>
      <c r="G888">
        <v>4</v>
      </c>
      <c r="H888" s="6">
        <v>68931.47</v>
      </c>
      <c r="I888" s="6">
        <v>4271.8500000000004</v>
      </c>
      <c r="J888">
        <v>22</v>
      </c>
      <c r="K888">
        <v>25</v>
      </c>
      <c r="L888" t="s">
        <v>24</v>
      </c>
      <c r="M888" t="s">
        <v>25</v>
      </c>
      <c r="N888">
        <v>5</v>
      </c>
      <c r="O888" s="4"/>
      <c r="P888" s="4" t="str">
        <f>IF(Data_Set_2[[#This Row],[valor_bruto]]&gt;$W$13,"OUTLIER+","")</f>
        <v/>
      </c>
      <c r="Q888" s="4" t="str">
        <f>IF(Data_Set_2[[#This Row],[valor_bruto]]&lt;$W$14,"OUTLIER-","")</f>
        <v/>
      </c>
      <c r="R888" s="4"/>
      <c r="S888" s="4"/>
      <c r="AB888" t="str">
        <v>RES-100886</v>
      </c>
      <c r="AC888">
        <v>45845</v>
      </c>
      <c r="AD888">
        <v>0.84861111111111109</v>
      </c>
      <c r="AE888" t="str">
        <v>Centro</v>
      </c>
      <c r="AF888" t="str">
        <v>Domicilio</v>
      </c>
      <c r="AG888" t="str">
        <v>Pasta</v>
      </c>
      <c r="AH888">
        <v>4</v>
      </c>
      <c r="AI888">
        <v>68931.47</v>
      </c>
      <c r="AJ888">
        <v>4271.8500000000004</v>
      </c>
      <c r="AK888">
        <v>22</v>
      </c>
      <c r="AL888">
        <v>25</v>
      </c>
      <c r="AM888" t="str">
        <v>Efectivo</v>
      </c>
      <c r="AN888" t="str">
        <v>Cancelada</v>
      </c>
      <c r="AO888">
        <v>5</v>
      </c>
    </row>
    <row r="889" spans="1:41" x14ac:dyDescent="0.3">
      <c r="A889" t="s">
        <v>927</v>
      </c>
      <c r="B889" s="8">
        <v>45876</v>
      </c>
      <c r="C889" s="2">
        <v>0.89513888888888893</v>
      </c>
      <c r="D889" t="s">
        <v>33</v>
      </c>
      <c r="E889" t="s">
        <v>28</v>
      </c>
      <c r="F889" t="s">
        <v>29</v>
      </c>
      <c r="G889">
        <v>6</v>
      </c>
      <c r="H889" s="6">
        <v>40301.78</v>
      </c>
      <c r="I889" s="6">
        <v>1396.92</v>
      </c>
      <c r="J889">
        <v>18</v>
      </c>
      <c r="K889">
        <v>49</v>
      </c>
      <c r="L889" t="s">
        <v>30</v>
      </c>
      <c r="M889" t="s">
        <v>31</v>
      </c>
      <c r="N889">
        <v>5</v>
      </c>
      <c r="O889" s="4"/>
      <c r="P889" s="4" t="str">
        <f>IF(Data_Set_2[[#This Row],[valor_bruto]]&gt;$W$13,"OUTLIER+","")</f>
        <v/>
      </c>
      <c r="Q889" s="4" t="str">
        <f>IF(Data_Set_2[[#This Row],[valor_bruto]]&lt;$W$14,"OUTLIER-","")</f>
        <v/>
      </c>
      <c r="R889" s="4"/>
      <c r="S889" s="4"/>
      <c r="AB889" t="str">
        <v>RES-100887</v>
      </c>
      <c r="AC889">
        <v>45876</v>
      </c>
      <c r="AD889">
        <v>0.89513888888888893</v>
      </c>
      <c r="AE889" t="str">
        <v>Envigado</v>
      </c>
      <c r="AF889" t="str">
        <v>Recoge</v>
      </c>
      <c r="AG889" t="str">
        <v>Parrilla</v>
      </c>
      <c r="AH889">
        <v>6</v>
      </c>
      <c r="AI889">
        <v>40301.78</v>
      </c>
      <c r="AJ889">
        <v>1396.92</v>
      </c>
      <c r="AK889">
        <v>18</v>
      </c>
      <c r="AL889">
        <v>49</v>
      </c>
      <c r="AM889" t="str">
        <v>App</v>
      </c>
      <c r="AN889" t="str">
        <v>Reembolsada</v>
      </c>
      <c r="AO889">
        <v>5</v>
      </c>
    </row>
    <row r="890" spans="1:41" x14ac:dyDescent="0.3">
      <c r="A890" t="s">
        <v>928</v>
      </c>
      <c r="B890" s="8">
        <v>45847</v>
      </c>
      <c r="C890" s="2">
        <v>0.44166666666666665</v>
      </c>
      <c r="D890" t="s">
        <v>15</v>
      </c>
      <c r="E890" t="s">
        <v>16</v>
      </c>
      <c r="F890" t="s">
        <v>34</v>
      </c>
      <c r="G890">
        <v>4</v>
      </c>
      <c r="H890" s="6">
        <v>31109.3</v>
      </c>
      <c r="I890" s="6">
        <v>1259.98</v>
      </c>
      <c r="J890">
        <v>29</v>
      </c>
      <c r="K890">
        <v>37</v>
      </c>
      <c r="L890" t="s">
        <v>18</v>
      </c>
      <c r="M890" t="s">
        <v>19</v>
      </c>
      <c r="N890">
        <v>5</v>
      </c>
      <c r="O890" s="4"/>
      <c r="P890" s="4" t="str">
        <f>IF(Data_Set_2[[#This Row],[valor_bruto]]&gt;$W$13,"OUTLIER+","")</f>
        <v/>
      </c>
      <c r="Q890" s="4" t="str">
        <f>IF(Data_Set_2[[#This Row],[valor_bruto]]&lt;$W$14,"OUTLIER-","")</f>
        <v/>
      </c>
      <c r="R890" s="4"/>
      <c r="S890" s="4"/>
      <c r="AB890" t="str">
        <v>RES-100888</v>
      </c>
      <c r="AC890">
        <v>45847</v>
      </c>
      <c r="AD890">
        <v>0.44166666666666665</v>
      </c>
      <c r="AE890" t="str">
        <v>Laureles</v>
      </c>
      <c r="AF890" t="str">
        <v>Mesa</v>
      </c>
      <c r="AG890" t="str">
        <v>Vegano</v>
      </c>
      <c r="AH890">
        <v>4</v>
      </c>
      <c r="AI890">
        <v>31109.3</v>
      </c>
      <c r="AJ890">
        <v>1259.98</v>
      </c>
      <c r="AK890">
        <v>29</v>
      </c>
      <c r="AL890">
        <v>37</v>
      </c>
      <c r="AM890" t="str">
        <v>Tarjeta</v>
      </c>
      <c r="AN890" t="str">
        <v>Entregada</v>
      </c>
      <c r="AO890">
        <v>5</v>
      </c>
    </row>
    <row r="891" spans="1:41" x14ac:dyDescent="0.3">
      <c r="A891" t="s">
        <v>929</v>
      </c>
      <c r="B891" s="8">
        <v>45848</v>
      </c>
      <c r="C891" s="2">
        <v>0.48819444444444443</v>
      </c>
      <c r="D891" t="s">
        <v>21</v>
      </c>
      <c r="E891" t="s">
        <v>22</v>
      </c>
      <c r="F891" t="s">
        <v>36</v>
      </c>
      <c r="G891">
        <v>3</v>
      </c>
      <c r="H891" s="6">
        <v>47990.93</v>
      </c>
      <c r="I891" s="6">
        <v>1749.32</v>
      </c>
      <c r="J891">
        <v>31</v>
      </c>
      <c r="K891">
        <v>38</v>
      </c>
      <c r="L891" t="s">
        <v>24</v>
      </c>
      <c r="M891" t="s">
        <v>25</v>
      </c>
      <c r="N891">
        <v>5</v>
      </c>
      <c r="O891" s="4"/>
      <c r="P891" s="4" t="str">
        <f>IF(Data_Set_2[[#This Row],[valor_bruto]]&gt;$W$13,"OUTLIER+","")</f>
        <v/>
      </c>
      <c r="Q891" s="4" t="str">
        <f>IF(Data_Set_2[[#This Row],[valor_bruto]]&lt;$W$14,"OUTLIER-","")</f>
        <v/>
      </c>
      <c r="R891" s="4"/>
      <c r="S891" s="4"/>
      <c r="AB891" t="str">
        <v>RES-100889</v>
      </c>
      <c r="AC891">
        <v>45848</v>
      </c>
      <c r="AD891">
        <v>0.48819444444444443</v>
      </c>
      <c r="AE891" t="str">
        <v>Poblado</v>
      </c>
      <c r="AF891" t="str">
        <v>Domicilio</v>
      </c>
      <c r="AG891" t="str">
        <v>Bebidas</v>
      </c>
      <c r="AH891">
        <v>3</v>
      </c>
      <c r="AI891">
        <v>47990.93</v>
      </c>
      <c r="AJ891">
        <v>1749.32</v>
      </c>
      <c r="AK891">
        <v>31</v>
      </c>
      <c r="AL891">
        <v>38</v>
      </c>
      <c r="AM891" t="str">
        <v>Efectivo</v>
      </c>
      <c r="AN891" t="str">
        <v>Cancelada</v>
      </c>
      <c r="AO891">
        <v>5</v>
      </c>
    </row>
    <row r="892" spans="1:41" x14ac:dyDescent="0.3">
      <c r="A892" t="s">
        <v>930</v>
      </c>
      <c r="B892" s="8">
        <v>45968</v>
      </c>
      <c r="C892" s="2">
        <v>0.53472222222222221</v>
      </c>
      <c r="D892" t="s">
        <v>27</v>
      </c>
      <c r="E892" t="s">
        <v>28</v>
      </c>
      <c r="F892" t="s">
        <v>17</v>
      </c>
      <c r="G892">
        <v>5</v>
      </c>
      <c r="H892" s="6">
        <v>62809.59</v>
      </c>
      <c r="I892" s="6">
        <v>515.54</v>
      </c>
      <c r="J892">
        <v>30</v>
      </c>
      <c r="K892">
        <v>53</v>
      </c>
      <c r="L892" t="s">
        <v>30</v>
      </c>
      <c r="M892" t="s">
        <v>31</v>
      </c>
      <c r="N892">
        <v>4</v>
      </c>
      <c r="O892" s="4"/>
      <c r="P892" s="4" t="str">
        <f>IF(Data_Set_2[[#This Row],[valor_bruto]]&gt;$W$13,"OUTLIER+","")</f>
        <v/>
      </c>
      <c r="Q892" s="4" t="str">
        <f>IF(Data_Set_2[[#This Row],[valor_bruto]]&lt;$W$14,"OUTLIER-","")</f>
        <v/>
      </c>
      <c r="R892" s="4"/>
      <c r="S892" s="4"/>
      <c r="AB892" t="str">
        <v>RES-100890</v>
      </c>
      <c r="AC892">
        <v>45968</v>
      </c>
      <c r="AD892">
        <v>0.53472222222222221</v>
      </c>
      <c r="AE892" t="str">
        <v>Centro</v>
      </c>
      <c r="AF892" t="str">
        <v>Recoge</v>
      </c>
      <c r="AG892" t="str">
        <v>Comida rapida</v>
      </c>
      <c r="AH892">
        <v>5</v>
      </c>
      <c r="AI892">
        <v>62809.59</v>
      </c>
      <c r="AJ892">
        <v>515.54</v>
      </c>
      <c r="AK892">
        <v>30</v>
      </c>
      <c r="AL892">
        <v>53</v>
      </c>
      <c r="AM892" t="str">
        <v>App</v>
      </c>
      <c r="AN892" t="str">
        <v>Reembolsada</v>
      </c>
      <c r="AO892">
        <v>4</v>
      </c>
    </row>
    <row r="893" spans="1:41" x14ac:dyDescent="0.3">
      <c r="A893" t="s">
        <v>931</v>
      </c>
      <c r="B893" s="8">
        <v>45850</v>
      </c>
      <c r="C893" s="2">
        <v>0.58125000000000004</v>
      </c>
      <c r="D893" t="s">
        <v>33</v>
      </c>
      <c r="E893" t="s">
        <v>16</v>
      </c>
      <c r="F893" t="s">
        <v>23</v>
      </c>
      <c r="G893">
        <v>3</v>
      </c>
      <c r="H893" s="6">
        <v>49390.29</v>
      </c>
      <c r="I893" s="6">
        <v>5486.63</v>
      </c>
      <c r="J893">
        <v>29</v>
      </c>
      <c r="K893">
        <v>37</v>
      </c>
      <c r="L893" t="s">
        <v>18</v>
      </c>
      <c r="M893" t="s">
        <v>19</v>
      </c>
      <c r="N893">
        <v>5</v>
      </c>
      <c r="O893" s="4"/>
      <c r="P893" s="4" t="str">
        <f>IF(Data_Set_2[[#This Row],[valor_bruto]]&gt;$W$13,"OUTLIER+","")</f>
        <v/>
      </c>
      <c r="Q893" s="4" t="str">
        <f>IF(Data_Set_2[[#This Row],[valor_bruto]]&lt;$W$14,"OUTLIER-","")</f>
        <v/>
      </c>
      <c r="R893" s="4"/>
      <c r="S893" s="4"/>
      <c r="AB893" t="str">
        <v>RES-100891</v>
      </c>
      <c r="AC893">
        <v>45850</v>
      </c>
      <c r="AD893">
        <v>0.58125000000000004</v>
      </c>
      <c r="AE893" t="str">
        <v>Envigado</v>
      </c>
      <c r="AF893" t="str">
        <v>Mesa</v>
      </c>
      <c r="AG893" t="str">
        <v>Pasta</v>
      </c>
      <c r="AH893">
        <v>3</v>
      </c>
      <c r="AI893">
        <v>49390.29</v>
      </c>
      <c r="AJ893">
        <v>5486.63</v>
      </c>
      <c r="AK893">
        <v>29</v>
      </c>
      <c r="AL893">
        <v>37</v>
      </c>
      <c r="AM893" t="str">
        <v>Tarjeta</v>
      </c>
      <c r="AN893" t="str">
        <v>Entregada</v>
      </c>
      <c r="AO893">
        <v>5</v>
      </c>
    </row>
    <row r="894" spans="1:41" x14ac:dyDescent="0.3">
      <c r="A894" t="s">
        <v>932</v>
      </c>
      <c r="B894" s="8">
        <v>45851</v>
      </c>
      <c r="C894" s="2">
        <v>0.58611111111111114</v>
      </c>
      <c r="D894" t="s">
        <v>15</v>
      </c>
      <c r="E894" t="s">
        <v>22</v>
      </c>
      <c r="F894" t="s">
        <v>29</v>
      </c>
      <c r="G894">
        <v>2</v>
      </c>
      <c r="H894" s="6">
        <v>38553.69</v>
      </c>
      <c r="I894" s="6">
        <v>2556.29</v>
      </c>
      <c r="J894">
        <v>30</v>
      </c>
      <c r="K894">
        <v>36</v>
      </c>
      <c r="L894" t="s">
        <v>24</v>
      </c>
      <c r="M894" t="s">
        <v>25</v>
      </c>
      <c r="N894">
        <v>4</v>
      </c>
      <c r="O894" s="4"/>
      <c r="P894" s="4" t="str">
        <f>IF(Data_Set_2[[#This Row],[valor_bruto]]&gt;$W$13,"OUTLIER+","")</f>
        <v/>
      </c>
      <c r="Q894" s="4" t="str">
        <f>IF(Data_Set_2[[#This Row],[valor_bruto]]&lt;$W$14,"OUTLIER-","")</f>
        <v/>
      </c>
      <c r="R894" s="4"/>
      <c r="S894" s="4"/>
      <c r="AB894" t="str">
        <v>RES-100892</v>
      </c>
      <c r="AC894">
        <v>45851</v>
      </c>
      <c r="AD894">
        <v>0.58611111111111114</v>
      </c>
      <c r="AE894" t="str">
        <v>Laureles</v>
      </c>
      <c r="AF894" t="str">
        <v>Domicilio</v>
      </c>
      <c r="AG894" t="str">
        <v>Parrilla</v>
      </c>
      <c r="AH894">
        <v>2</v>
      </c>
      <c r="AI894">
        <v>38553.69</v>
      </c>
      <c r="AJ894">
        <v>2556.29</v>
      </c>
      <c r="AK894">
        <v>30</v>
      </c>
      <c r="AL894">
        <v>36</v>
      </c>
      <c r="AM894" t="str">
        <v>Efectivo</v>
      </c>
      <c r="AN894" t="str">
        <v>Cancelada</v>
      </c>
      <c r="AO894">
        <v>4</v>
      </c>
    </row>
    <row r="895" spans="1:41" x14ac:dyDescent="0.3">
      <c r="A895" t="s">
        <v>933</v>
      </c>
      <c r="B895" s="8">
        <v>45852</v>
      </c>
      <c r="C895" s="2">
        <v>0.63263888888888886</v>
      </c>
      <c r="D895" t="s">
        <v>21</v>
      </c>
      <c r="E895" t="s">
        <v>28</v>
      </c>
      <c r="F895" t="s">
        <v>34</v>
      </c>
      <c r="G895">
        <v>3</v>
      </c>
      <c r="H895" s="6">
        <v>61186.79</v>
      </c>
      <c r="I895" s="6">
        <v>1716.92</v>
      </c>
      <c r="J895">
        <v>28</v>
      </c>
      <c r="K895">
        <v>38</v>
      </c>
      <c r="L895" t="s">
        <v>30</v>
      </c>
      <c r="M895" t="s">
        <v>31</v>
      </c>
      <c r="N895">
        <v>4</v>
      </c>
      <c r="O895" s="4"/>
      <c r="P895" s="4" t="str">
        <f>IF(Data_Set_2[[#This Row],[valor_bruto]]&gt;$W$13,"OUTLIER+","")</f>
        <v/>
      </c>
      <c r="Q895" s="4" t="str">
        <f>IF(Data_Set_2[[#This Row],[valor_bruto]]&lt;$W$14,"OUTLIER-","")</f>
        <v/>
      </c>
      <c r="R895" s="4"/>
      <c r="S895" s="4"/>
      <c r="AB895" t="str">
        <v>RES-100893</v>
      </c>
      <c r="AC895">
        <v>45852</v>
      </c>
      <c r="AD895">
        <v>0.63263888888888886</v>
      </c>
      <c r="AE895" t="str">
        <v>Poblado</v>
      </c>
      <c r="AF895" t="str">
        <v>Recoge</v>
      </c>
      <c r="AG895" t="str">
        <v>Vegano</v>
      </c>
      <c r="AH895">
        <v>3</v>
      </c>
      <c r="AI895">
        <v>61186.79</v>
      </c>
      <c r="AJ895">
        <v>1716.92</v>
      </c>
      <c r="AK895">
        <v>28</v>
      </c>
      <c r="AL895">
        <v>38</v>
      </c>
      <c r="AM895" t="str">
        <v>App</v>
      </c>
      <c r="AN895" t="str">
        <v>Reembolsada</v>
      </c>
      <c r="AO895">
        <v>4</v>
      </c>
    </row>
    <row r="896" spans="1:41" x14ac:dyDescent="0.3">
      <c r="A896" t="s">
        <v>934</v>
      </c>
      <c r="B896" s="8">
        <v>45853</v>
      </c>
      <c r="C896" s="2">
        <v>0.6791666666666667</v>
      </c>
      <c r="D896" t="s">
        <v>27</v>
      </c>
      <c r="E896" t="s">
        <v>16</v>
      </c>
      <c r="F896" t="s">
        <v>36</v>
      </c>
      <c r="G896">
        <v>6</v>
      </c>
      <c r="H896" s="6">
        <v>34653.43</v>
      </c>
      <c r="I896" s="6">
        <v>5313.82</v>
      </c>
      <c r="J896">
        <v>17</v>
      </c>
      <c r="K896">
        <v>28</v>
      </c>
      <c r="L896" t="s">
        <v>18</v>
      </c>
      <c r="M896" t="s">
        <v>19</v>
      </c>
      <c r="N896">
        <v>5</v>
      </c>
      <c r="O896" s="4"/>
      <c r="P896" s="4" t="str">
        <f>IF(Data_Set_2[[#This Row],[valor_bruto]]&gt;$W$13,"OUTLIER+","")</f>
        <v/>
      </c>
      <c r="Q896" s="4" t="str">
        <f>IF(Data_Set_2[[#This Row],[valor_bruto]]&lt;$W$14,"OUTLIER-","")</f>
        <v/>
      </c>
      <c r="R896" s="4"/>
      <c r="S896" s="4"/>
      <c r="AB896" t="str">
        <v>RES-100894</v>
      </c>
      <c r="AC896">
        <v>45853</v>
      </c>
      <c r="AD896">
        <v>0.6791666666666667</v>
      </c>
      <c r="AE896" t="str">
        <v>Centro</v>
      </c>
      <c r="AF896" t="str">
        <v>Mesa</v>
      </c>
      <c r="AG896" t="str">
        <v>Bebidas</v>
      </c>
      <c r="AH896">
        <v>6</v>
      </c>
      <c r="AI896">
        <v>34653.43</v>
      </c>
      <c r="AJ896">
        <v>5313.82</v>
      </c>
      <c r="AK896">
        <v>17</v>
      </c>
      <c r="AL896">
        <v>28</v>
      </c>
      <c r="AM896" t="str">
        <v>Tarjeta</v>
      </c>
      <c r="AN896" t="str">
        <v>Entregada</v>
      </c>
      <c r="AO896">
        <v>5</v>
      </c>
    </row>
    <row r="897" spans="1:41" x14ac:dyDescent="0.3">
      <c r="A897" t="s">
        <v>935</v>
      </c>
      <c r="B897" s="8">
        <v>45854</v>
      </c>
      <c r="C897" s="2">
        <v>0.72569444444444442</v>
      </c>
      <c r="D897" t="s">
        <v>33</v>
      </c>
      <c r="E897" t="s">
        <v>22</v>
      </c>
      <c r="F897" t="s">
        <v>17</v>
      </c>
      <c r="G897">
        <v>4</v>
      </c>
      <c r="H897" s="6">
        <v>69998.77</v>
      </c>
      <c r="I897" s="6">
        <v>2273.23</v>
      </c>
      <c r="J897">
        <v>13</v>
      </c>
      <c r="K897">
        <v>47</v>
      </c>
      <c r="L897" t="s">
        <v>24</v>
      </c>
      <c r="M897" t="s">
        <v>25</v>
      </c>
      <c r="N897">
        <v>5</v>
      </c>
      <c r="O897" s="4"/>
      <c r="P897" s="4" t="str">
        <f>IF(Data_Set_2[[#This Row],[valor_bruto]]&gt;$W$13,"OUTLIER+","")</f>
        <v/>
      </c>
      <c r="Q897" s="4" t="str">
        <f>IF(Data_Set_2[[#This Row],[valor_bruto]]&lt;$W$14,"OUTLIER-","")</f>
        <v/>
      </c>
      <c r="R897" s="4"/>
      <c r="S897" s="4"/>
      <c r="AB897" t="str">
        <v>RES-100895</v>
      </c>
      <c r="AC897">
        <v>45854</v>
      </c>
      <c r="AD897">
        <v>0.72569444444444442</v>
      </c>
      <c r="AE897" t="str">
        <v>Envigado</v>
      </c>
      <c r="AF897" t="str">
        <v>Domicilio</v>
      </c>
      <c r="AG897" t="str">
        <v>Comida rapida</v>
      </c>
      <c r="AH897">
        <v>4</v>
      </c>
      <c r="AI897">
        <v>69998.77</v>
      </c>
      <c r="AJ897">
        <v>2273.23</v>
      </c>
      <c r="AK897">
        <v>13</v>
      </c>
      <c r="AL897">
        <v>47</v>
      </c>
      <c r="AM897" t="str">
        <v>Efectivo</v>
      </c>
      <c r="AN897" t="str">
        <v>Cancelada</v>
      </c>
      <c r="AO897">
        <v>5</v>
      </c>
    </row>
    <row r="898" spans="1:41" x14ac:dyDescent="0.3">
      <c r="A898" t="s">
        <v>936</v>
      </c>
      <c r="B898" s="8">
        <v>45855</v>
      </c>
      <c r="C898" s="2">
        <v>0.77222222222222225</v>
      </c>
      <c r="D898" t="s">
        <v>15</v>
      </c>
      <c r="E898" t="s">
        <v>28</v>
      </c>
      <c r="F898" t="s">
        <v>23</v>
      </c>
      <c r="G898">
        <v>5</v>
      </c>
      <c r="H898" s="6">
        <v>52995.62</v>
      </c>
      <c r="I898" s="6">
        <v>4647.66</v>
      </c>
      <c r="J898">
        <v>31</v>
      </c>
      <c r="K898">
        <v>48</v>
      </c>
      <c r="L898" t="s">
        <v>30</v>
      </c>
      <c r="M898" t="s">
        <v>31</v>
      </c>
      <c r="N898">
        <v>3</v>
      </c>
      <c r="O898" s="4"/>
      <c r="P898" s="4" t="str">
        <f>IF(Data_Set_2[[#This Row],[valor_bruto]]&gt;$W$13,"OUTLIER+","")</f>
        <v/>
      </c>
      <c r="Q898" s="4" t="str">
        <f>IF(Data_Set_2[[#This Row],[valor_bruto]]&lt;$W$14,"OUTLIER-","")</f>
        <v/>
      </c>
      <c r="R898" s="4"/>
      <c r="S898" s="4"/>
      <c r="AB898" t="str">
        <v>RES-100896</v>
      </c>
      <c r="AC898">
        <v>45855</v>
      </c>
      <c r="AD898">
        <v>0.77222222222222225</v>
      </c>
      <c r="AE898" t="str">
        <v>Laureles</v>
      </c>
      <c r="AF898" t="str">
        <v>Recoge</v>
      </c>
      <c r="AG898" t="str">
        <v>Pasta</v>
      </c>
      <c r="AH898">
        <v>5</v>
      </c>
      <c r="AI898">
        <v>52995.62</v>
      </c>
      <c r="AJ898">
        <v>4647.66</v>
      </c>
      <c r="AK898">
        <v>31</v>
      </c>
      <c r="AL898">
        <v>48</v>
      </c>
      <c r="AM898" t="str">
        <v>App</v>
      </c>
      <c r="AN898" t="str">
        <v>Reembolsada</v>
      </c>
      <c r="AO898">
        <v>3</v>
      </c>
    </row>
    <row r="899" spans="1:41" x14ac:dyDescent="0.3">
      <c r="A899" t="s">
        <v>937</v>
      </c>
      <c r="B899" s="8">
        <v>45856</v>
      </c>
      <c r="C899" s="2">
        <v>0.81874999999999998</v>
      </c>
      <c r="D899" t="s">
        <v>21</v>
      </c>
      <c r="E899" t="s">
        <v>16</v>
      </c>
      <c r="F899" t="s">
        <v>29</v>
      </c>
      <c r="G899">
        <v>3</v>
      </c>
      <c r="H899" s="6">
        <v>55225.23</v>
      </c>
      <c r="I899" s="6">
        <v>4848.1000000000004</v>
      </c>
      <c r="J899">
        <v>19</v>
      </c>
      <c r="K899">
        <v>23</v>
      </c>
      <c r="L899" t="s">
        <v>18</v>
      </c>
      <c r="M899" t="s">
        <v>19</v>
      </c>
      <c r="N899">
        <v>4</v>
      </c>
      <c r="O899" s="4"/>
      <c r="P899" s="4" t="str">
        <f>IF(Data_Set_2[[#This Row],[valor_bruto]]&gt;$W$13,"OUTLIER+","")</f>
        <v/>
      </c>
      <c r="Q899" s="4" t="str">
        <f>IF(Data_Set_2[[#This Row],[valor_bruto]]&lt;$W$14,"OUTLIER-","")</f>
        <v/>
      </c>
      <c r="R899" s="4"/>
      <c r="S899" s="4"/>
      <c r="AB899" t="str">
        <v>RES-100897</v>
      </c>
      <c r="AC899">
        <v>45856</v>
      </c>
      <c r="AD899">
        <v>0.81874999999999998</v>
      </c>
      <c r="AE899" t="str">
        <v>Poblado</v>
      </c>
      <c r="AF899" t="str">
        <v>Mesa</v>
      </c>
      <c r="AG899" t="str">
        <v>Parrilla</v>
      </c>
      <c r="AH899">
        <v>3</v>
      </c>
      <c r="AI899">
        <v>55225.23</v>
      </c>
      <c r="AJ899">
        <v>4848.1000000000004</v>
      </c>
      <c r="AK899">
        <v>19</v>
      </c>
      <c r="AL899">
        <v>23</v>
      </c>
      <c r="AM899" t="str">
        <v>Tarjeta</v>
      </c>
      <c r="AN899" t="str">
        <v>Entregada</v>
      </c>
      <c r="AO899">
        <v>4</v>
      </c>
    </row>
    <row r="900" spans="1:41" x14ac:dyDescent="0.3">
      <c r="A900" t="s">
        <v>938</v>
      </c>
      <c r="B900" s="8">
        <v>45857</v>
      </c>
      <c r="C900" s="2">
        <v>0.86527777777777781</v>
      </c>
      <c r="D900" t="s">
        <v>27</v>
      </c>
      <c r="E900" t="s">
        <v>22</v>
      </c>
      <c r="F900" t="s">
        <v>34</v>
      </c>
      <c r="G900">
        <v>6</v>
      </c>
      <c r="H900" s="6">
        <v>51397.1</v>
      </c>
      <c r="I900" s="6">
        <v>7194.65</v>
      </c>
      <c r="J900">
        <v>29</v>
      </c>
      <c r="K900">
        <v>35</v>
      </c>
      <c r="L900" t="s">
        <v>24</v>
      </c>
      <c r="M900" t="s">
        <v>25</v>
      </c>
      <c r="N900">
        <v>3</v>
      </c>
      <c r="O900" s="4"/>
      <c r="P900" s="4" t="str">
        <f>IF(Data_Set_2[[#This Row],[valor_bruto]]&gt;$W$13,"OUTLIER+","")</f>
        <v/>
      </c>
      <c r="Q900" s="4" t="str">
        <f>IF(Data_Set_2[[#This Row],[valor_bruto]]&lt;$W$14,"OUTLIER-","")</f>
        <v/>
      </c>
      <c r="R900" s="4"/>
      <c r="S900" s="4"/>
      <c r="AB900" t="str">
        <v>RES-100898</v>
      </c>
      <c r="AC900">
        <v>45857</v>
      </c>
      <c r="AD900">
        <v>0.86527777777777781</v>
      </c>
      <c r="AE900" t="str">
        <v>Centro</v>
      </c>
      <c r="AF900" t="str">
        <v>Domicilio</v>
      </c>
      <c r="AG900" t="str">
        <v>Vegano</v>
      </c>
      <c r="AH900">
        <v>6</v>
      </c>
      <c r="AI900">
        <v>51397.1</v>
      </c>
      <c r="AJ900">
        <v>7194.65</v>
      </c>
      <c r="AK900">
        <v>29</v>
      </c>
      <c r="AL900">
        <v>35</v>
      </c>
      <c r="AM900" t="str">
        <v>Efectivo</v>
      </c>
      <c r="AN900" t="str">
        <v>Cancelada</v>
      </c>
      <c r="AO900">
        <v>3</v>
      </c>
    </row>
    <row r="901" spans="1:41" x14ac:dyDescent="0.3">
      <c r="A901" t="s">
        <v>939</v>
      </c>
      <c r="B901" s="8">
        <v>45858</v>
      </c>
      <c r="C901" s="2">
        <v>0.91180555555555554</v>
      </c>
      <c r="D901" t="s">
        <v>33</v>
      </c>
      <c r="E901" t="s">
        <v>28</v>
      </c>
      <c r="F901" t="s">
        <v>36</v>
      </c>
      <c r="G901">
        <v>3</v>
      </c>
      <c r="H901" s="6">
        <v>28294.5</v>
      </c>
      <c r="I901" s="6">
        <v>4625.51</v>
      </c>
      <c r="J901">
        <v>21</v>
      </c>
      <c r="K901">
        <v>290</v>
      </c>
      <c r="L901" t="s">
        <v>30</v>
      </c>
      <c r="M901" t="s">
        <v>31</v>
      </c>
      <c r="N901">
        <v>3</v>
      </c>
      <c r="O901" s="4"/>
      <c r="P901" s="4" t="str">
        <f>IF(Data_Set_2[[#This Row],[valor_bruto]]&gt;$W$13,"OUTLIER+","")</f>
        <v/>
      </c>
      <c r="Q901" s="4" t="str">
        <f>IF(Data_Set_2[[#This Row],[valor_bruto]]&lt;$W$14,"OUTLIER-","")</f>
        <v/>
      </c>
      <c r="R901" s="4"/>
      <c r="S901" s="4"/>
      <c r="AB901" t="str">
        <v>RES-100899</v>
      </c>
      <c r="AC901">
        <v>45858</v>
      </c>
      <c r="AD901">
        <v>0.91180555555555554</v>
      </c>
      <c r="AE901" t="str">
        <v>Envigado</v>
      </c>
      <c r="AF901" t="str">
        <v>Recoge</v>
      </c>
      <c r="AG901" t="str">
        <v>Bebidas</v>
      </c>
      <c r="AH901">
        <v>3</v>
      </c>
      <c r="AI901">
        <v>28294.5</v>
      </c>
      <c r="AJ901">
        <v>4625.51</v>
      </c>
      <c r="AK901">
        <v>21</v>
      </c>
      <c r="AL901">
        <v>290</v>
      </c>
      <c r="AM901" t="str">
        <v>App</v>
      </c>
      <c r="AN901" t="str">
        <v>Reembolsada</v>
      </c>
      <c r="AO901">
        <v>3</v>
      </c>
    </row>
    <row r="902" spans="1:41" x14ac:dyDescent="0.3">
      <c r="A902" t="s">
        <v>940</v>
      </c>
      <c r="B902" s="8">
        <v>45859</v>
      </c>
      <c r="C902" s="2">
        <v>0.41666666666666669</v>
      </c>
      <c r="D902" t="s">
        <v>15</v>
      </c>
      <c r="E902" t="s">
        <v>16</v>
      </c>
      <c r="F902" t="s">
        <v>17</v>
      </c>
      <c r="G902">
        <v>2</v>
      </c>
      <c r="H902" s="6">
        <v>63984.15</v>
      </c>
      <c r="I902" s="6">
        <v>1326.11</v>
      </c>
      <c r="J902">
        <v>24</v>
      </c>
      <c r="K902">
        <v>45</v>
      </c>
      <c r="L902" t="s">
        <v>18</v>
      </c>
      <c r="M902" t="s">
        <v>19</v>
      </c>
      <c r="N902">
        <v>4</v>
      </c>
      <c r="O902" s="4"/>
      <c r="P902" s="4" t="str">
        <f>IF(Data_Set_2[[#This Row],[valor_bruto]]&gt;$W$13,"OUTLIER+","")</f>
        <v/>
      </c>
      <c r="Q902" s="4" t="str">
        <f>IF(Data_Set_2[[#This Row],[valor_bruto]]&lt;$W$14,"OUTLIER-","")</f>
        <v/>
      </c>
      <c r="R902" s="4"/>
      <c r="S902" s="4"/>
      <c r="AB902" t="str">
        <v>RES-100900</v>
      </c>
      <c r="AC902">
        <v>45859</v>
      </c>
      <c r="AD902">
        <v>0.41666666666666669</v>
      </c>
      <c r="AE902" t="str">
        <v>Laureles</v>
      </c>
      <c r="AF902" t="str">
        <v>Mesa</v>
      </c>
      <c r="AG902" t="str">
        <v>Comida rapida</v>
      </c>
      <c r="AH902">
        <v>2</v>
      </c>
      <c r="AI902">
        <v>63984.15</v>
      </c>
      <c r="AJ902">
        <v>1326.11</v>
      </c>
      <c r="AK902">
        <v>24</v>
      </c>
      <c r="AL902">
        <v>45</v>
      </c>
      <c r="AM902" t="str">
        <v>Tarjeta</v>
      </c>
      <c r="AN902" t="str">
        <v>Entregada</v>
      </c>
      <c r="AO902">
        <v>4</v>
      </c>
    </row>
    <row r="903" spans="1:41" x14ac:dyDescent="0.3">
      <c r="A903" t="s">
        <v>941</v>
      </c>
      <c r="B903" s="8">
        <v>45860</v>
      </c>
      <c r="C903" s="2">
        <v>0.46319444444444446</v>
      </c>
      <c r="D903" t="s">
        <v>21</v>
      </c>
      <c r="E903" t="s">
        <v>22</v>
      </c>
      <c r="F903" t="s">
        <v>23</v>
      </c>
      <c r="G903">
        <v>4</v>
      </c>
      <c r="H903" s="6">
        <v>43617.65</v>
      </c>
      <c r="I903" s="6">
        <v>3760.23</v>
      </c>
      <c r="J903">
        <v>30</v>
      </c>
      <c r="K903">
        <v>40</v>
      </c>
      <c r="L903" t="s">
        <v>24</v>
      </c>
      <c r="M903" t="s">
        <v>25</v>
      </c>
      <c r="N903">
        <v>3</v>
      </c>
      <c r="O903" s="4"/>
      <c r="P903" s="4" t="str">
        <f>IF(Data_Set_2[[#This Row],[valor_bruto]]&gt;$W$13,"OUTLIER+","")</f>
        <v/>
      </c>
      <c r="Q903" s="4" t="str">
        <f>IF(Data_Set_2[[#This Row],[valor_bruto]]&lt;$W$14,"OUTLIER-","")</f>
        <v/>
      </c>
      <c r="R903" s="4"/>
      <c r="S903" s="4"/>
      <c r="AB903" t="str">
        <v>RES-100901</v>
      </c>
      <c r="AC903">
        <v>45860</v>
      </c>
      <c r="AD903">
        <v>0.46319444444444446</v>
      </c>
      <c r="AE903" t="str">
        <v>Poblado</v>
      </c>
      <c r="AF903" t="str">
        <v>Domicilio</v>
      </c>
      <c r="AG903" t="str">
        <v>Pasta</v>
      </c>
      <c r="AH903">
        <v>4</v>
      </c>
      <c r="AI903">
        <v>43617.65</v>
      </c>
      <c r="AJ903">
        <v>3760.23</v>
      </c>
      <c r="AK903">
        <v>30</v>
      </c>
      <c r="AL903">
        <v>40</v>
      </c>
      <c r="AM903" t="str">
        <v>Efectivo</v>
      </c>
      <c r="AN903" t="str">
        <v>Cancelada</v>
      </c>
      <c r="AO903">
        <v>3</v>
      </c>
    </row>
    <row r="904" spans="1:41" x14ac:dyDescent="0.3">
      <c r="A904" t="s">
        <v>942</v>
      </c>
      <c r="B904" s="8">
        <v>45861</v>
      </c>
      <c r="C904" s="2">
        <v>0.50972222222222219</v>
      </c>
      <c r="D904" t="s">
        <v>27</v>
      </c>
      <c r="E904" t="s">
        <v>28</v>
      </c>
      <c r="F904" t="s">
        <v>29</v>
      </c>
      <c r="G904">
        <v>3</v>
      </c>
      <c r="H904" s="6">
        <v>28328.65</v>
      </c>
      <c r="I904" s="6">
        <v>7383.59</v>
      </c>
      <c r="J904">
        <v>15</v>
      </c>
      <c r="K904">
        <v>30</v>
      </c>
      <c r="L904" t="s">
        <v>30</v>
      </c>
      <c r="M904" t="s">
        <v>31</v>
      </c>
      <c r="N904">
        <v>4</v>
      </c>
      <c r="O904" s="4"/>
      <c r="P904" s="4" t="str">
        <f>IF(Data_Set_2[[#This Row],[valor_bruto]]&gt;$W$13,"OUTLIER+","")</f>
        <v/>
      </c>
      <c r="Q904" s="4" t="str">
        <f>IF(Data_Set_2[[#This Row],[valor_bruto]]&lt;$W$14,"OUTLIER-","")</f>
        <v/>
      </c>
      <c r="R904" s="4"/>
      <c r="S904" s="4"/>
      <c r="AB904" t="str">
        <v>RES-100902</v>
      </c>
      <c r="AC904">
        <v>45861</v>
      </c>
      <c r="AD904">
        <v>0.50972222222222219</v>
      </c>
      <c r="AE904" t="str">
        <v>Centro</v>
      </c>
      <c r="AF904" t="str">
        <v>Recoge</v>
      </c>
      <c r="AG904" t="str">
        <v>Parrilla</v>
      </c>
      <c r="AH904">
        <v>3</v>
      </c>
      <c r="AI904">
        <v>28328.65</v>
      </c>
      <c r="AJ904">
        <v>7383.59</v>
      </c>
      <c r="AK904">
        <v>15</v>
      </c>
      <c r="AL904">
        <v>30</v>
      </c>
      <c r="AM904" t="str">
        <v>App</v>
      </c>
      <c r="AN904" t="str">
        <v>Reembolsada</v>
      </c>
      <c r="AO904">
        <v>4</v>
      </c>
    </row>
    <row r="905" spans="1:41" x14ac:dyDescent="0.3">
      <c r="A905" t="s">
        <v>943</v>
      </c>
      <c r="B905" s="8">
        <v>45862</v>
      </c>
      <c r="C905" s="2">
        <v>0.55625000000000002</v>
      </c>
      <c r="D905" t="s">
        <v>33</v>
      </c>
      <c r="E905" t="s">
        <v>16</v>
      </c>
      <c r="F905" t="s">
        <v>34</v>
      </c>
      <c r="G905">
        <v>2</v>
      </c>
      <c r="H905" s="6">
        <v>57093.9</v>
      </c>
      <c r="I905" s="6">
        <v>4292.3</v>
      </c>
      <c r="J905">
        <v>14</v>
      </c>
      <c r="K905">
        <v>44</v>
      </c>
      <c r="L905" t="s">
        <v>18</v>
      </c>
      <c r="M905" t="s">
        <v>19</v>
      </c>
      <c r="N905">
        <v>5</v>
      </c>
      <c r="O905" s="4"/>
      <c r="P905" s="4" t="str">
        <f>IF(Data_Set_2[[#This Row],[valor_bruto]]&gt;$W$13,"OUTLIER+","")</f>
        <v/>
      </c>
      <c r="Q905" s="4" t="str">
        <f>IF(Data_Set_2[[#This Row],[valor_bruto]]&lt;$W$14,"OUTLIER-","")</f>
        <v/>
      </c>
      <c r="R905" s="4"/>
      <c r="S905" s="4"/>
      <c r="AB905" t="str">
        <v>RES-100903</v>
      </c>
      <c r="AC905">
        <v>45862</v>
      </c>
      <c r="AD905">
        <v>0.55625000000000002</v>
      </c>
      <c r="AE905" t="str">
        <v>Envigado</v>
      </c>
      <c r="AF905" t="str">
        <v>Mesa</v>
      </c>
      <c r="AG905" t="str">
        <v>Vegano</v>
      </c>
      <c r="AH905">
        <v>2</v>
      </c>
      <c r="AI905">
        <v>57093.9</v>
      </c>
      <c r="AJ905">
        <v>4292.3</v>
      </c>
      <c r="AK905">
        <v>14</v>
      </c>
      <c r="AL905">
        <v>44</v>
      </c>
      <c r="AM905" t="str">
        <v>Tarjeta</v>
      </c>
      <c r="AN905" t="str">
        <v>Entregada</v>
      </c>
      <c r="AO905">
        <v>5</v>
      </c>
    </row>
    <row r="906" spans="1:41" x14ac:dyDescent="0.3">
      <c r="A906" t="s">
        <v>944</v>
      </c>
      <c r="B906" s="8">
        <v>45863</v>
      </c>
      <c r="C906" s="2">
        <v>0.60277777777777775</v>
      </c>
      <c r="D906" t="s">
        <v>15</v>
      </c>
      <c r="E906" t="s">
        <v>22</v>
      </c>
      <c r="F906" t="s">
        <v>36</v>
      </c>
      <c r="G906">
        <v>3</v>
      </c>
      <c r="H906" s="6">
        <v>26788.41</v>
      </c>
      <c r="I906" s="6">
        <v>7913.13</v>
      </c>
      <c r="J906">
        <v>19</v>
      </c>
      <c r="K906">
        <v>48</v>
      </c>
      <c r="L906" t="s">
        <v>24</v>
      </c>
      <c r="M906" t="s">
        <v>25</v>
      </c>
      <c r="N906">
        <v>3</v>
      </c>
      <c r="O906" s="4"/>
      <c r="P906" s="4" t="str">
        <f>IF(Data_Set_2[[#This Row],[valor_bruto]]&gt;$W$13,"OUTLIER+","")</f>
        <v/>
      </c>
      <c r="Q906" s="4" t="str">
        <f>IF(Data_Set_2[[#This Row],[valor_bruto]]&lt;$W$14,"OUTLIER-","")</f>
        <v/>
      </c>
      <c r="R906" s="4"/>
      <c r="S906" s="4"/>
      <c r="AB906" t="str">
        <v>RES-100904</v>
      </c>
      <c r="AC906">
        <v>45863</v>
      </c>
      <c r="AD906">
        <v>0.60277777777777775</v>
      </c>
      <c r="AE906" t="str">
        <v>Laureles</v>
      </c>
      <c r="AF906" t="str">
        <v>Domicilio</v>
      </c>
      <c r="AG906" t="str">
        <v>Bebidas</v>
      </c>
      <c r="AH906">
        <v>3</v>
      </c>
      <c r="AI906">
        <v>26788.41</v>
      </c>
      <c r="AJ906">
        <v>7913.13</v>
      </c>
      <c r="AK906">
        <v>19</v>
      </c>
      <c r="AL906">
        <v>48</v>
      </c>
      <c r="AM906" t="str">
        <v>Efectivo</v>
      </c>
      <c r="AN906" t="str">
        <v>Cancelada</v>
      </c>
      <c r="AO906">
        <v>3</v>
      </c>
    </row>
    <row r="907" spans="1:41" x14ac:dyDescent="0.3">
      <c r="A907" t="s">
        <v>945</v>
      </c>
      <c r="B907" s="8">
        <v>45864</v>
      </c>
      <c r="C907" s="2">
        <v>0.64930555555555558</v>
      </c>
      <c r="D907" t="s">
        <v>21</v>
      </c>
      <c r="E907" t="s">
        <v>28</v>
      </c>
      <c r="F907" t="s">
        <v>17</v>
      </c>
      <c r="G907">
        <v>4</v>
      </c>
      <c r="H907" s="6">
        <v>26640.799999999999</v>
      </c>
      <c r="I907" s="6">
        <v>714.09</v>
      </c>
      <c r="J907">
        <v>16</v>
      </c>
      <c r="K907">
        <v>45</v>
      </c>
      <c r="L907" t="s">
        <v>30</v>
      </c>
      <c r="M907" t="s">
        <v>31</v>
      </c>
      <c r="N907">
        <v>5</v>
      </c>
      <c r="O907" s="4"/>
      <c r="P907" s="4" t="str">
        <f>IF(Data_Set_2[[#This Row],[valor_bruto]]&gt;$W$13,"OUTLIER+","")</f>
        <v/>
      </c>
      <c r="Q907" s="4" t="str">
        <f>IF(Data_Set_2[[#This Row],[valor_bruto]]&lt;$W$14,"OUTLIER-","")</f>
        <v/>
      </c>
      <c r="R907" s="4"/>
      <c r="S907" s="4"/>
      <c r="AB907" t="str">
        <v>RES-100905</v>
      </c>
      <c r="AC907">
        <v>45864</v>
      </c>
      <c r="AD907">
        <v>0.64930555555555558</v>
      </c>
      <c r="AE907" t="str">
        <v>Poblado</v>
      </c>
      <c r="AF907" t="str">
        <v>Recoge</v>
      </c>
      <c r="AG907" t="str">
        <v>Comida rapida</v>
      </c>
      <c r="AH907">
        <v>4</v>
      </c>
      <c r="AI907">
        <v>26640.799999999999</v>
      </c>
      <c r="AJ907">
        <v>714.09</v>
      </c>
      <c r="AK907">
        <v>16</v>
      </c>
      <c r="AL907">
        <v>45</v>
      </c>
      <c r="AM907" t="str">
        <v>App</v>
      </c>
      <c r="AN907" t="str">
        <v>Reembolsada</v>
      </c>
      <c r="AO907">
        <v>5</v>
      </c>
    </row>
    <row r="908" spans="1:41" x14ac:dyDescent="0.3">
      <c r="A908" t="s">
        <v>946</v>
      </c>
      <c r="B908" s="8">
        <v>45865</v>
      </c>
      <c r="C908" s="2">
        <v>0.6958333333333333</v>
      </c>
      <c r="D908" t="s">
        <v>27</v>
      </c>
      <c r="E908" t="s">
        <v>16</v>
      </c>
      <c r="F908" t="s">
        <v>23</v>
      </c>
      <c r="G908">
        <v>4</v>
      </c>
      <c r="H908" s="6">
        <v>56759.11</v>
      </c>
      <c r="I908" s="6">
        <v>1391.54</v>
      </c>
      <c r="J908">
        <v>26</v>
      </c>
      <c r="K908">
        <v>44</v>
      </c>
      <c r="L908" t="s">
        <v>18</v>
      </c>
      <c r="M908" t="s">
        <v>19</v>
      </c>
      <c r="N908">
        <v>3</v>
      </c>
      <c r="O908" s="4"/>
      <c r="P908" s="4" t="str">
        <f>IF(Data_Set_2[[#This Row],[valor_bruto]]&gt;$W$13,"OUTLIER+","")</f>
        <v/>
      </c>
      <c r="Q908" s="4" t="str">
        <f>IF(Data_Set_2[[#This Row],[valor_bruto]]&lt;$W$14,"OUTLIER-","")</f>
        <v/>
      </c>
      <c r="R908" s="4"/>
      <c r="S908" s="4"/>
      <c r="AB908" t="str">
        <v>RES-100906</v>
      </c>
      <c r="AC908">
        <v>45865</v>
      </c>
      <c r="AD908">
        <v>0.6958333333333333</v>
      </c>
      <c r="AE908" t="str">
        <v>Centro</v>
      </c>
      <c r="AF908" t="str">
        <v>Mesa</v>
      </c>
      <c r="AG908" t="str">
        <v>Pasta</v>
      </c>
      <c r="AH908">
        <v>4</v>
      </c>
      <c r="AI908">
        <v>56759.11</v>
      </c>
      <c r="AJ908">
        <v>1391.54</v>
      </c>
      <c r="AK908">
        <v>26</v>
      </c>
      <c r="AL908">
        <v>44</v>
      </c>
      <c r="AM908" t="str">
        <v>Tarjeta</v>
      </c>
      <c r="AN908" t="str">
        <v>Entregada</v>
      </c>
      <c r="AO908">
        <v>3</v>
      </c>
    </row>
    <row r="909" spans="1:41" x14ac:dyDescent="0.3">
      <c r="A909" t="s">
        <v>947</v>
      </c>
      <c r="B909" s="8">
        <v>45866</v>
      </c>
      <c r="C909" s="2">
        <v>0.74236111111111114</v>
      </c>
      <c r="D909" t="s">
        <v>33</v>
      </c>
      <c r="E909" t="s">
        <v>22</v>
      </c>
      <c r="F909" t="s">
        <v>29</v>
      </c>
      <c r="G909">
        <v>6</v>
      </c>
      <c r="H909" s="6">
        <v>59910.52</v>
      </c>
      <c r="I909" s="6">
        <v>1094.04</v>
      </c>
      <c r="J909">
        <v>13</v>
      </c>
      <c r="K909">
        <v>53</v>
      </c>
      <c r="L909" t="s">
        <v>24</v>
      </c>
      <c r="M909" t="s">
        <v>25</v>
      </c>
      <c r="N909">
        <v>5</v>
      </c>
      <c r="O909" s="4"/>
      <c r="P909" s="4" t="str">
        <f>IF(Data_Set_2[[#This Row],[valor_bruto]]&gt;$W$13,"OUTLIER+","")</f>
        <v/>
      </c>
      <c r="Q909" s="4" t="str">
        <f>IF(Data_Set_2[[#This Row],[valor_bruto]]&lt;$W$14,"OUTLIER-","")</f>
        <v/>
      </c>
      <c r="R909" s="4"/>
      <c r="S909" s="4"/>
      <c r="AB909" t="str">
        <v>RES-100907</v>
      </c>
      <c r="AC909">
        <v>45866</v>
      </c>
      <c r="AD909">
        <v>0.74236111111111114</v>
      </c>
      <c r="AE909" t="str">
        <v>Envigado</v>
      </c>
      <c r="AF909" t="str">
        <v>Domicilio</v>
      </c>
      <c r="AG909" t="str">
        <v>Parrilla</v>
      </c>
      <c r="AH909">
        <v>6</v>
      </c>
      <c r="AI909">
        <v>59910.52</v>
      </c>
      <c r="AJ909">
        <v>1094.04</v>
      </c>
      <c r="AK909">
        <v>13</v>
      </c>
      <c r="AL909">
        <v>53</v>
      </c>
      <c r="AM909" t="str">
        <v>Efectivo</v>
      </c>
      <c r="AN909" t="str">
        <v>Cancelada</v>
      </c>
      <c r="AO909">
        <v>5</v>
      </c>
    </row>
    <row r="910" spans="1:41" x14ac:dyDescent="0.3">
      <c r="A910" t="s">
        <v>948</v>
      </c>
      <c r="B910" s="8">
        <v>45867</v>
      </c>
      <c r="C910" s="2">
        <v>0.78888888888888886</v>
      </c>
      <c r="D910" t="s">
        <v>15</v>
      </c>
      <c r="E910" t="s">
        <v>28</v>
      </c>
      <c r="F910" t="s">
        <v>34</v>
      </c>
      <c r="G910">
        <v>3</v>
      </c>
      <c r="H910" s="6">
        <v>26155.96</v>
      </c>
      <c r="I910" s="6">
        <v>6084.66</v>
      </c>
      <c r="J910">
        <v>19</v>
      </c>
      <c r="K910">
        <v>25</v>
      </c>
      <c r="L910" t="s">
        <v>30</v>
      </c>
      <c r="M910" t="s">
        <v>31</v>
      </c>
      <c r="N910">
        <v>5</v>
      </c>
      <c r="O910" s="4"/>
      <c r="P910" s="4" t="str">
        <f>IF(Data_Set_2[[#This Row],[valor_bruto]]&gt;$W$13,"OUTLIER+","")</f>
        <v/>
      </c>
      <c r="Q910" s="4" t="str">
        <f>IF(Data_Set_2[[#This Row],[valor_bruto]]&lt;$W$14,"OUTLIER-","")</f>
        <v/>
      </c>
      <c r="R910" s="4"/>
      <c r="S910" s="4"/>
      <c r="AB910" t="str">
        <v>RES-100908</v>
      </c>
      <c r="AC910">
        <v>45867</v>
      </c>
      <c r="AD910">
        <v>0.78888888888888886</v>
      </c>
      <c r="AE910" t="str">
        <v>Laureles</v>
      </c>
      <c r="AF910" t="str">
        <v>Recoge</v>
      </c>
      <c r="AG910" t="str">
        <v>Vegano</v>
      </c>
      <c r="AH910">
        <v>3</v>
      </c>
      <c r="AI910">
        <v>26155.96</v>
      </c>
      <c r="AJ910">
        <v>6084.66</v>
      </c>
      <c r="AK910">
        <v>19</v>
      </c>
      <c r="AL910">
        <v>25</v>
      </c>
      <c r="AM910" t="str">
        <v>App</v>
      </c>
      <c r="AN910" t="str">
        <v>Reembolsada</v>
      </c>
      <c r="AO910">
        <v>5</v>
      </c>
    </row>
    <row r="911" spans="1:41" x14ac:dyDescent="0.3">
      <c r="A911" t="s">
        <v>949</v>
      </c>
      <c r="B911" s="8">
        <v>45868</v>
      </c>
      <c r="C911" s="2">
        <v>0.79374999999999996</v>
      </c>
      <c r="D911" t="s">
        <v>21</v>
      </c>
      <c r="E911" t="s">
        <v>16</v>
      </c>
      <c r="F911" t="s">
        <v>36</v>
      </c>
      <c r="G911">
        <v>6</v>
      </c>
      <c r="H911" s="6">
        <v>66424.240000000005</v>
      </c>
      <c r="I911" s="6">
        <v>664.35</v>
      </c>
      <c r="J911">
        <v>27</v>
      </c>
      <c r="K911">
        <v>36</v>
      </c>
      <c r="L911" t="s">
        <v>18</v>
      </c>
      <c r="M911" t="s">
        <v>19</v>
      </c>
      <c r="N911">
        <v>5</v>
      </c>
      <c r="O911" s="4"/>
      <c r="P911" s="4" t="str">
        <f>IF(Data_Set_2[[#This Row],[valor_bruto]]&gt;$W$13,"OUTLIER+","")</f>
        <v/>
      </c>
      <c r="Q911" s="4" t="str">
        <f>IF(Data_Set_2[[#This Row],[valor_bruto]]&lt;$W$14,"OUTLIER-","")</f>
        <v/>
      </c>
      <c r="R911" s="4"/>
      <c r="S911" s="4"/>
      <c r="AB911" t="str">
        <v>RES-100909</v>
      </c>
      <c r="AC911">
        <v>45868</v>
      </c>
      <c r="AD911">
        <v>0.79374999999999996</v>
      </c>
      <c r="AE911" t="str">
        <v>Poblado</v>
      </c>
      <c r="AF911" t="str">
        <v>Mesa</v>
      </c>
      <c r="AG911" t="str">
        <v>Bebidas</v>
      </c>
      <c r="AH911">
        <v>6</v>
      </c>
      <c r="AI911">
        <v>66424.240000000005</v>
      </c>
      <c r="AJ911">
        <v>664.35</v>
      </c>
      <c r="AK911">
        <v>27</v>
      </c>
      <c r="AL911">
        <v>36</v>
      </c>
      <c r="AM911" t="str">
        <v>Tarjeta</v>
      </c>
      <c r="AN911" t="str">
        <v>Entregada</v>
      </c>
      <c r="AO911">
        <v>5</v>
      </c>
    </row>
    <row r="912" spans="1:41" x14ac:dyDescent="0.3">
      <c r="A912" t="s">
        <v>950</v>
      </c>
      <c r="B912" s="8">
        <v>45869</v>
      </c>
      <c r="C912" s="2">
        <v>0.84027777777777779</v>
      </c>
      <c r="D912" t="s">
        <v>27</v>
      </c>
      <c r="E912" t="s">
        <v>22</v>
      </c>
      <c r="F912" t="s">
        <v>17</v>
      </c>
      <c r="G912">
        <v>6</v>
      </c>
      <c r="H912" s="6">
        <v>46060.58</v>
      </c>
      <c r="I912" s="6">
        <v>4772.59</v>
      </c>
      <c r="J912">
        <v>13</v>
      </c>
      <c r="K912">
        <v>52</v>
      </c>
      <c r="L912" t="s">
        <v>24</v>
      </c>
      <c r="M912" t="s">
        <v>25</v>
      </c>
      <c r="N912">
        <v>4</v>
      </c>
      <c r="O912" s="4"/>
      <c r="P912" s="4" t="str">
        <f>IF(Data_Set_2[[#This Row],[valor_bruto]]&gt;$W$13,"OUTLIER+","")</f>
        <v/>
      </c>
      <c r="Q912" s="4" t="str">
        <f>IF(Data_Set_2[[#This Row],[valor_bruto]]&lt;$W$14,"OUTLIER-","")</f>
        <v/>
      </c>
      <c r="R912" s="4"/>
      <c r="S912" s="4"/>
      <c r="AB912" t="str">
        <v>RES-100910</v>
      </c>
      <c r="AC912">
        <v>45869</v>
      </c>
      <c r="AD912">
        <v>0.84027777777777779</v>
      </c>
      <c r="AE912" t="str">
        <v>Centro</v>
      </c>
      <c r="AF912" t="str">
        <v>Domicilio</v>
      </c>
      <c r="AG912" t="str">
        <v>Comida rapida</v>
      </c>
      <c r="AH912">
        <v>6</v>
      </c>
      <c r="AI912">
        <v>46060.58</v>
      </c>
      <c r="AJ912">
        <v>4772.59</v>
      </c>
      <c r="AK912">
        <v>13</v>
      </c>
      <c r="AL912">
        <v>52</v>
      </c>
      <c r="AM912" t="str">
        <v>Efectivo</v>
      </c>
      <c r="AN912" t="str">
        <v>Cancelada</v>
      </c>
      <c r="AO912">
        <v>4</v>
      </c>
    </row>
    <row r="913" spans="1:41" x14ac:dyDescent="0.3">
      <c r="A913" t="s">
        <v>951</v>
      </c>
      <c r="B913" s="8">
        <v>45665</v>
      </c>
      <c r="C913" s="2">
        <v>0.88680555555555551</v>
      </c>
      <c r="D913" t="s">
        <v>33</v>
      </c>
      <c r="E913" t="s">
        <v>28</v>
      </c>
      <c r="F913" t="s">
        <v>23</v>
      </c>
      <c r="G913">
        <v>6</v>
      </c>
      <c r="H913" s="6">
        <v>37556.61</v>
      </c>
      <c r="I913" s="6">
        <v>1361.03</v>
      </c>
      <c r="J913">
        <v>19</v>
      </c>
      <c r="K913">
        <v>27</v>
      </c>
      <c r="L913" t="s">
        <v>30</v>
      </c>
      <c r="M913" t="s">
        <v>31</v>
      </c>
      <c r="N913">
        <v>4</v>
      </c>
      <c r="O913" s="4"/>
      <c r="P913" s="4" t="str">
        <f>IF(Data_Set_2[[#This Row],[valor_bruto]]&gt;$W$13,"OUTLIER+","")</f>
        <v/>
      </c>
      <c r="Q913" s="4" t="str">
        <f>IF(Data_Set_2[[#This Row],[valor_bruto]]&lt;$W$14,"OUTLIER-","")</f>
        <v/>
      </c>
      <c r="R913" s="4"/>
      <c r="S913" s="4"/>
      <c r="AB913" t="str">
        <v>RES-100911</v>
      </c>
      <c r="AC913">
        <v>45665</v>
      </c>
      <c r="AD913">
        <v>0.88680555555555551</v>
      </c>
      <c r="AE913" t="str">
        <v>Envigado</v>
      </c>
      <c r="AF913" t="str">
        <v>Recoge</v>
      </c>
      <c r="AG913" t="str">
        <v>Pasta</v>
      </c>
      <c r="AH913">
        <v>6</v>
      </c>
      <c r="AI913">
        <v>37556.61</v>
      </c>
      <c r="AJ913">
        <v>1361.03</v>
      </c>
      <c r="AK913">
        <v>19</v>
      </c>
      <c r="AL913">
        <v>27</v>
      </c>
      <c r="AM913" t="str">
        <v>App</v>
      </c>
      <c r="AN913" t="str">
        <v>Reembolsada</v>
      </c>
      <c r="AO913">
        <v>4</v>
      </c>
    </row>
    <row r="914" spans="1:41" x14ac:dyDescent="0.3">
      <c r="A914" t="s">
        <v>952</v>
      </c>
      <c r="B914" s="8">
        <v>45871</v>
      </c>
      <c r="C914" s="2">
        <v>0.43333333333333335</v>
      </c>
      <c r="D914" t="s">
        <v>15</v>
      </c>
      <c r="E914" t="s">
        <v>16</v>
      </c>
      <c r="F914" t="s">
        <v>29</v>
      </c>
      <c r="G914">
        <v>6</v>
      </c>
      <c r="H914" s="6">
        <v>57784.08</v>
      </c>
      <c r="I914" s="6">
        <v>1081.79</v>
      </c>
      <c r="J914">
        <v>22</v>
      </c>
      <c r="K914">
        <v>37</v>
      </c>
      <c r="L914" t="s">
        <v>18</v>
      </c>
      <c r="M914" t="s">
        <v>19</v>
      </c>
      <c r="N914">
        <v>3</v>
      </c>
      <c r="O914" s="4"/>
      <c r="P914" s="4" t="str">
        <f>IF(Data_Set_2[[#This Row],[valor_bruto]]&gt;$W$13,"OUTLIER+","")</f>
        <v/>
      </c>
      <c r="Q914" s="4" t="str">
        <f>IF(Data_Set_2[[#This Row],[valor_bruto]]&lt;$W$14,"OUTLIER-","")</f>
        <v/>
      </c>
      <c r="R914" s="4"/>
      <c r="S914" s="4"/>
      <c r="AB914" t="str">
        <v>RES-100912</v>
      </c>
      <c r="AC914">
        <v>45871</v>
      </c>
      <c r="AD914">
        <v>0.43333333333333335</v>
      </c>
      <c r="AE914" t="str">
        <v>Laureles</v>
      </c>
      <c r="AF914" t="str">
        <v>Mesa</v>
      </c>
      <c r="AG914" t="str">
        <v>Parrilla</v>
      </c>
      <c r="AH914">
        <v>6</v>
      </c>
      <c r="AI914">
        <v>57784.08</v>
      </c>
      <c r="AJ914">
        <v>1081.79</v>
      </c>
      <c r="AK914">
        <v>22</v>
      </c>
      <c r="AL914">
        <v>37</v>
      </c>
      <c r="AM914" t="str">
        <v>Tarjeta</v>
      </c>
      <c r="AN914" t="str">
        <v>Entregada</v>
      </c>
      <c r="AO914">
        <v>3</v>
      </c>
    </row>
    <row r="915" spans="1:41" x14ac:dyDescent="0.3">
      <c r="A915" t="s">
        <v>953</v>
      </c>
      <c r="B915" s="8">
        <v>45872</v>
      </c>
      <c r="C915" s="2">
        <v>0.47986111111111113</v>
      </c>
      <c r="D915" t="s">
        <v>21</v>
      </c>
      <c r="E915" t="s">
        <v>22</v>
      </c>
      <c r="F915" t="s">
        <v>34</v>
      </c>
      <c r="G915">
        <v>2</v>
      </c>
      <c r="H915" s="6">
        <v>57746.1</v>
      </c>
      <c r="I915" s="6">
        <v>6188.51</v>
      </c>
      <c r="J915">
        <v>31</v>
      </c>
      <c r="K915">
        <v>48</v>
      </c>
      <c r="L915" t="s">
        <v>24</v>
      </c>
      <c r="M915" t="s">
        <v>25</v>
      </c>
      <c r="N915">
        <v>5</v>
      </c>
      <c r="O915" s="4"/>
      <c r="P915" s="4" t="str">
        <f>IF(Data_Set_2[[#This Row],[valor_bruto]]&gt;$W$13,"OUTLIER+","")</f>
        <v/>
      </c>
      <c r="Q915" s="4" t="str">
        <f>IF(Data_Set_2[[#This Row],[valor_bruto]]&lt;$W$14,"OUTLIER-","")</f>
        <v/>
      </c>
      <c r="R915" s="4"/>
      <c r="S915" s="4"/>
      <c r="AB915" t="str">
        <v>RES-100913</v>
      </c>
      <c r="AC915">
        <v>45872</v>
      </c>
      <c r="AD915">
        <v>0.47986111111111113</v>
      </c>
      <c r="AE915" t="str">
        <v>Poblado</v>
      </c>
      <c r="AF915" t="str">
        <v>Domicilio</v>
      </c>
      <c r="AG915" t="str">
        <v>Vegano</v>
      </c>
      <c r="AH915">
        <v>2</v>
      </c>
      <c r="AI915">
        <v>57746.1</v>
      </c>
      <c r="AJ915">
        <v>6188.51</v>
      </c>
      <c r="AK915">
        <v>31</v>
      </c>
      <c r="AL915">
        <v>48</v>
      </c>
      <c r="AM915" t="str">
        <v>Efectivo</v>
      </c>
      <c r="AN915" t="str">
        <v>Cancelada</v>
      </c>
      <c r="AO915">
        <v>5</v>
      </c>
    </row>
    <row r="916" spans="1:41" x14ac:dyDescent="0.3">
      <c r="A916" t="s">
        <v>954</v>
      </c>
      <c r="B916" s="8">
        <v>45755</v>
      </c>
      <c r="C916" s="2">
        <v>0.52638888888888891</v>
      </c>
      <c r="D916" t="s">
        <v>27</v>
      </c>
      <c r="E916" t="s">
        <v>28</v>
      </c>
      <c r="F916" t="s">
        <v>36</v>
      </c>
      <c r="G916">
        <v>5</v>
      </c>
      <c r="H916" s="6">
        <v>35078.080000000002</v>
      </c>
      <c r="I916" s="6">
        <v>1224.5999999999999</v>
      </c>
      <c r="J916">
        <v>15</v>
      </c>
      <c r="K916">
        <v>36</v>
      </c>
      <c r="L916" t="s">
        <v>30</v>
      </c>
      <c r="M916" t="s">
        <v>31</v>
      </c>
      <c r="N916">
        <f>VLOOKUP(Data_Set_2[[#This Row],[estado]],M2:N915,2,0)</f>
        <v>5</v>
      </c>
      <c r="O916" s="4"/>
      <c r="P916" s="4" t="str">
        <f>IF(Data_Set_2[[#This Row],[valor_bruto]]&gt;$W$13,"OUTLIER+","")</f>
        <v/>
      </c>
      <c r="Q916" s="4" t="str">
        <f>IF(Data_Set_2[[#This Row],[valor_bruto]]&lt;$W$14,"OUTLIER-","")</f>
        <v/>
      </c>
      <c r="R916" s="4"/>
      <c r="S916" s="4"/>
      <c r="AB916" t="str">
        <v>RES-100914</v>
      </c>
      <c r="AC916">
        <v>45755</v>
      </c>
      <c r="AD916">
        <v>0.52638888888888891</v>
      </c>
      <c r="AE916" t="str">
        <v>Centro</v>
      </c>
      <c r="AF916" t="str">
        <v>Recoge</v>
      </c>
      <c r="AG916" t="str">
        <v>Bebidas</v>
      </c>
      <c r="AH916">
        <v>5</v>
      </c>
      <c r="AI916">
        <v>35078.080000000002</v>
      </c>
      <c r="AJ916">
        <v>1224.5999999999999</v>
      </c>
      <c r="AK916">
        <v>15</v>
      </c>
      <c r="AL916">
        <v>36</v>
      </c>
      <c r="AM916" t="str">
        <v>App</v>
      </c>
      <c r="AN916" t="str">
        <v>Reembolsada</v>
      </c>
      <c r="AO916">
        <v>5</v>
      </c>
    </row>
    <row r="917" spans="1:41" x14ac:dyDescent="0.3">
      <c r="A917" t="s">
        <v>955</v>
      </c>
      <c r="B917" s="8">
        <v>45874</v>
      </c>
      <c r="C917" s="2">
        <v>0.57291666666666663</v>
      </c>
      <c r="D917" t="s">
        <v>33</v>
      </c>
      <c r="E917" t="s">
        <v>16</v>
      </c>
      <c r="F917" t="s">
        <v>17</v>
      </c>
      <c r="G917">
        <v>5</v>
      </c>
      <c r="H917" s="6">
        <v>69710.05</v>
      </c>
      <c r="I917" s="6">
        <v>6918.16</v>
      </c>
      <c r="J917">
        <v>18</v>
      </c>
      <c r="K917">
        <v>32</v>
      </c>
      <c r="L917" t="s">
        <v>18</v>
      </c>
      <c r="M917" t="s">
        <v>19</v>
      </c>
      <c r="N917">
        <v>4</v>
      </c>
      <c r="O917" s="4"/>
      <c r="P917" s="4" t="str">
        <f>IF(Data_Set_2[[#This Row],[valor_bruto]]&gt;$W$13,"OUTLIER+","")</f>
        <v/>
      </c>
      <c r="Q917" s="4" t="str">
        <f>IF(Data_Set_2[[#This Row],[valor_bruto]]&lt;$W$14,"OUTLIER-","")</f>
        <v/>
      </c>
      <c r="R917" s="4"/>
      <c r="S917" s="4"/>
      <c r="AB917" t="str">
        <v>RES-100915</v>
      </c>
      <c r="AC917">
        <v>45874</v>
      </c>
      <c r="AD917">
        <v>0.57291666666666663</v>
      </c>
      <c r="AE917" t="str">
        <v>Envigado</v>
      </c>
      <c r="AF917" t="str">
        <v>Mesa</v>
      </c>
      <c r="AG917" t="str">
        <v>Comida rapida</v>
      </c>
      <c r="AH917">
        <v>5</v>
      </c>
      <c r="AI917">
        <v>69710.05</v>
      </c>
      <c r="AJ917">
        <v>6918.16</v>
      </c>
      <c r="AK917">
        <v>18</v>
      </c>
      <c r="AL917">
        <v>32</v>
      </c>
      <c r="AM917" t="str">
        <v>Tarjeta</v>
      </c>
      <c r="AN917" t="str">
        <v>Entregada</v>
      </c>
      <c r="AO917">
        <v>4</v>
      </c>
    </row>
    <row r="918" spans="1:41" x14ac:dyDescent="0.3">
      <c r="A918" t="s">
        <v>956</v>
      </c>
      <c r="B918" s="8">
        <v>45875</v>
      </c>
      <c r="C918" s="2">
        <v>0.61944444444444446</v>
      </c>
      <c r="D918" t="s">
        <v>15</v>
      </c>
      <c r="E918" t="s">
        <v>22</v>
      </c>
      <c r="F918" t="s">
        <v>23</v>
      </c>
      <c r="G918">
        <v>6</v>
      </c>
      <c r="H918" s="6">
        <v>49569.2</v>
      </c>
      <c r="I918" s="6">
        <v>4122.38</v>
      </c>
      <c r="J918">
        <v>29</v>
      </c>
      <c r="K918">
        <v>27</v>
      </c>
      <c r="L918" t="s">
        <v>24</v>
      </c>
      <c r="M918" t="s">
        <v>25</v>
      </c>
      <c r="N918">
        <v>3</v>
      </c>
      <c r="O918" s="4"/>
      <c r="P918" s="4" t="str">
        <f>IF(Data_Set_2[[#This Row],[valor_bruto]]&gt;$W$13,"OUTLIER+","")</f>
        <v/>
      </c>
      <c r="Q918" s="4" t="str">
        <f>IF(Data_Set_2[[#This Row],[valor_bruto]]&lt;$W$14,"OUTLIER-","")</f>
        <v/>
      </c>
      <c r="R918" s="4"/>
      <c r="S918" s="4"/>
      <c r="AB918" t="str">
        <v>RES-100916</v>
      </c>
      <c r="AC918">
        <v>45875</v>
      </c>
      <c r="AD918">
        <v>0.61944444444444446</v>
      </c>
      <c r="AE918" t="str">
        <v>Laureles</v>
      </c>
      <c r="AF918" t="str">
        <v>Domicilio</v>
      </c>
      <c r="AG918" t="str">
        <v>Pasta</v>
      </c>
      <c r="AH918">
        <v>6</v>
      </c>
      <c r="AI918">
        <v>49569.2</v>
      </c>
      <c r="AJ918">
        <v>4122.38</v>
      </c>
      <c r="AK918">
        <v>29</v>
      </c>
      <c r="AL918">
        <v>27</v>
      </c>
      <c r="AM918" t="str">
        <v>Efectivo</v>
      </c>
      <c r="AN918" t="str">
        <v>Cancelada</v>
      </c>
      <c r="AO918">
        <v>3</v>
      </c>
    </row>
    <row r="919" spans="1:41" x14ac:dyDescent="0.3">
      <c r="A919" t="s">
        <v>957</v>
      </c>
      <c r="B919" s="8">
        <v>45846</v>
      </c>
      <c r="C919" s="2">
        <v>0.66597222222222219</v>
      </c>
      <c r="D919" t="s">
        <v>21</v>
      </c>
      <c r="E919" t="s">
        <v>28</v>
      </c>
      <c r="F919" t="s">
        <v>29</v>
      </c>
      <c r="G919">
        <v>6</v>
      </c>
      <c r="H919" s="6">
        <v>67710.12</v>
      </c>
      <c r="I919" s="6">
        <v>4672.4799999999996</v>
      </c>
      <c r="J919">
        <v>24</v>
      </c>
      <c r="K919">
        <v>39</v>
      </c>
      <c r="L919" t="s">
        <v>30</v>
      </c>
      <c r="M919" t="s">
        <v>31</v>
      </c>
      <c r="N919">
        <v>4</v>
      </c>
      <c r="O919" s="4"/>
      <c r="P919" s="4" t="str">
        <f>IF(Data_Set_2[[#This Row],[valor_bruto]]&gt;$W$13,"OUTLIER+","")</f>
        <v/>
      </c>
      <c r="Q919" s="4" t="str">
        <f>IF(Data_Set_2[[#This Row],[valor_bruto]]&lt;$W$14,"OUTLIER-","")</f>
        <v/>
      </c>
      <c r="R919" s="4"/>
      <c r="S919" s="4"/>
      <c r="AB919" t="str">
        <v>RES-100917</v>
      </c>
      <c r="AC919">
        <v>45846</v>
      </c>
      <c r="AD919">
        <v>0.66597222222222219</v>
      </c>
      <c r="AE919" t="str">
        <v>Poblado</v>
      </c>
      <c r="AF919" t="str">
        <v>Recoge</v>
      </c>
      <c r="AG919" t="str">
        <v>Parrilla</v>
      </c>
      <c r="AH919">
        <v>6</v>
      </c>
      <c r="AI919">
        <v>67710.12</v>
      </c>
      <c r="AJ919">
        <v>4672.4799999999996</v>
      </c>
      <c r="AK919">
        <v>24</v>
      </c>
      <c r="AL919">
        <v>39</v>
      </c>
      <c r="AM919" t="str">
        <v>App</v>
      </c>
      <c r="AN919" t="str">
        <v>Reembolsada</v>
      </c>
      <c r="AO919">
        <v>4</v>
      </c>
    </row>
    <row r="920" spans="1:41" x14ac:dyDescent="0.3">
      <c r="A920" t="s">
        <v>958</v>
      </c>
      <c r="B920" s="8">
        <v>45877</v>
      </c>
      <c r="C920" s="2">
        <v>0.67083333333333328</v>
      </c>
      <c r="D920" t="s">
        <v>27</v>
      </c>
      <c r="E920" t="s">
        <v>16</v>
      </c>
      <c r="F920" t="s">
        <v>34</v>
      </c>
      <c r="G920">
        <v>4</v>
      </c>
      <c r="H920" s="6">
        <v>55951.27</v>
      </c>
      <c r="I920" s="6">
        <v>4722.8599999999997</v>
      </c>
      <c r="J920">
        <v>21</v>
      </c>
      <c r="K920">
        <v>26</v>
      </c>
      <c r="L920" t="s">
        <v>18</v>
      </c>
      <c r="M920" t="s">
        <v>19</v>
      </c>
      <c r="N920">
        <v>5</v>
      </c>
      <c r="O920" s="4"/>
      <c r="P920" s="4" t="str">
        <f>IF(Data_Set_2[[#This Row],[valor_bruto]]&gt;$W$13,"OUTLIER+","")</f>
        <v/>
      </c>
      <c r="Q920" s="4" t="str">
        <f>IF(Data_Set_2[[#This Row],[valor_bruto]]&lt;$W$14,"OUTLIER-","")</f>
        <v/>
      </c>
      <c r="R920" s="4"/>
      <c r="S920" s="4"/>
      <c r="AB920" t="str">
        <v>RES-100918</v>
      </c>
      <c r="AC920">
        <v>45877</v>
      </c>
      <c r="AD920">
        <v>0.67083333333333328</v>
      </c>
      <c r="AE920" t="str">
        <v>Centro</v>
      </c>
      <c r="AF920" t="str">
        <v>Mesa</v>
      </c>
      <c r="AG920" t="str">
        <v>Vegano</v>
      </c>
      <c r="AH920">
        <v>4</v>
      </c>
      <c r="AI920">
        <v>55951.27</v>
      </c>
      <c r="AJ920">
        <v>4722.8599999999997</v>
      </c>
      <c r="AK920">
        <v>21</v>
      </c>
      <c r="AL920">
        <v>26</v>
      </c>
      <c r="AM920" t="str">
        <v>Tarjeta</v>
      </c>
      <c r="AN920" t="str">
        <v>Entregada</v>
      </c>
      <c r="AO920">
        <v>5</v>
      </c>
    </row>
    <row r="921" spans="1:41" x14ac:dyDescent="0.3">
      <c r="A921" t="s">
        <v>959</v>
      </c>
      <c r="B921" s="8">
        <v>45878</v>
      </c>
      <c r="C921" s="2">
        <v>0.71736111111111112</v>
      </c>
      <c r="D921" t="s">
        <v>33</v>
      </c>
      <c r="E921" t="s">
        <v>22</v>
      </c>
      <c r="F921" t="s">
        <v>36</v>
      </c>
      <c r="G921">
        <v>3</v>
      </c>
      <c r="H921" s="6">
        <v>43224.05</v>
      </c>
      <c r="I921" s="6">
        <v>7501.21</v>
      </c>
      <c r="J921">
        <v>30</v>
      </c>
      <c r="K921">
        <v>52</v>
      </c>
      <c r="L921" t="s">
        <v>24</v>
      </c>
      <c r="M921" t="s">
        <v>25</v>
      </c>
      <c r="N921">
        <v>5</v>
      </c>
      <c r="O921" s="4"/>
      <c r="P921" s="4" t="str">
        <f>IF(Data_Set_2[[#This Row],[valor_bruto]]&gt;$W$13,"OUTLIER+","")</f>
        <v/>
      </c>
      <c r="Q921" s="4" t="str">
        <f>IF(Data_Set_2[[#This Row],[valor_bruto]]&lt;$W$14,"OUTLIER-","")</f>
        <v/>
      </c>
      <c r="R921" s="4"/>
      <c r="S921" s="4"/>
      <c r="AB921" t="str">
        <v>RES-100919</v>
      </c>
      <c r="AC921">
        <v>45878</v>
      </c>
      <c r="AD921">
        <v>0.71736111111111112</v>
      </c>
      <c r="AE921" t="str">
        <v>Envigado</v>
      </c>
      <c r="AF921" t="str">
        <v>Domicilio</v>
      </c>
      <c r="AG921" t="str">
        <v>Bebidas</v>
      </c>
      <c r="AH921">
        <v>3</v>
      </c>
      <c r="AI921">
        <v>43224.05</v>
      </c>
      <c r="AJ921">
        <v>7501.21</v>
      </c>
      <c r="AK921">
        <v>30</v>
      </c>
      <c r="AL921">
        <v>52</v>
      </c>
      <c r="AM921" t="str">
        <v>Efectivo</v>
      </c>
      <c r="AN921" t="str">
        <v>Cancelada</v>
      </c>
      <c r="AO921">
        <v>5</v>
      </c>
    </row>
    <row r="922" spans="1:41" x14ac:dyDescent="0.3">
      <c r="A922" t="s">
        <v>960</v>
      </c>
      <c r="B922" s="8">
        <v>45938</v>
      </c>
      <c r="C922" s="2">
        <v>0.76388888888888884</v>
      </c>
      <c r="D922" t="s">
        <v>15</v>
      </c>
      <c r="E922" t="s">
        <v>28</v>
      </c>
      <c r="F922" t="s">
        <v>17</v>
      </c>
      <c r="G922">
        <v>5</v>
      </c>
      <c r="H922" s="6">
        <v>50512.18</v>
      </c>
      <c r="I922" s="6">
        <v>1535.03</v>
      </c>
      <c r="J922">
        <v>27</v>
      </c>
      <c r="K922">
        <v>39</v>
      </c>
      <c r="L922" t="s">
        <v>30</v>
      </c>
      <c r="M922" t="s">
        <v>31</v>
      </c>
      <c r="N922">
        <v>4</v>
      </c>
      <c r="O922" s="4"/>
      <c r="P922" s="4" t="str">
        <f>IF(Data_Set_2[[#This Row],[valor_bruto]]&gt;$W$13,"OUTLIER+","")</f>
        <v/>
      </c>
      <c r="Q922" s="4" t="str">
        <f>IF(Data_Set_2[[#This Row],[valor_bruto]]&lt;$W$14,"OUTLIER-","")</f>
        <v/>
      </c>
      <c r="R922" s="4"/>
      <c r="S922" s="4"/>
      <c r="AB922" t="str">
        <v>RES-100920</v>
      </c>
      <c r="AC922">
        <v>45938</v>
      </c>
      <c r="AD922">
        <v>0.76388888888888884</v>
      </c>
      <c r="AE922" t="str">
        <v>Laureles</v>
      </c>
      <c r="AF922" t="str">
        <v>Recoge</v>
      </c>
      <c r="AG922" t="str">
        <v>Comida rapida</v>
      </c>
      <c r="AH922">
        <v>5</v>
      </c>
      <c r="AI922">
        <v>50512.18</v>
      </c>
      <c r="AJ922">
        <v>1535.03</v>
      </c>
      <c r="AK922">
        <v>27</v>
      </c>
      <c r="AL922">
        <v>39</v>
      </c>
      <c r="AM922" t="str">
        <v>App</v>
      </c>
      <c r="AN922" t="str">
        <v>Reembolsada</v>
      </c>
      <c r="AO922">
        <v>4</v>
      </c>
    </row>
    <row r="923" spans="1:41" x14ac:dyDescent="0.3">
      <c r="A923" t="s">
        <v>961</v>
      </c>
      <c r="B923" s="8">
        <v>45880</v>
      </c>
      <c r="C923" s="2">
        <v>0.81041666666666667</v>
      </c>
      <c r="D923" t="s">
        <v>21</v>
      </c>
      <c r="E923" t="s">
        <v>16</v>
      </c>
      <c r="F923" t="s">
        <v>23</v>
      </c>
      <c r="G923">
        <v>2</v>
      </c>
      <c r="H923" s="6">
        <v>39483.24</v>
      </c>
      <c r="I923" s="6">
        <v>6902.79</v>
      </c>
      <c r="J923">
        <v>14</v>
      </c>
      <c r="K923">
        <v>31</v>
      </c>
      <c r="L923" t="s">
        <v>18</v>
      </c>
      <c r="M923" t="s">
        <v>19</v>
      </c>
      <c r="N923">
        <v>4</v>
      </c>
      <c r="O923" s="4"/>
      <c r="P923" s="4" t="str">
        <f>IF(Data_Set_2[[#This Row],[valor_bruto]]&gt;$W$13,"OUTLIER+","")</f>
        <v/>
      </c>
      <c r="Q923" s="4" t="str">
        <f>IF(Data_Set_2[[#This Row],[valor_bruto]]&lt;$W$14,"OUTLIER-","")</f>
        <v/>
      </c>
      <c r="R923" s="4"/>
      <c r="S923" s="4"/>
      <c r="AB923" t="str">
        <v>RES-100921</v>
      </c>
      <c r="AC923">
        <v>45880</v>
      </c>
      <c r="AD923">
        <v>0.81041666666666667</v>
      </c>
      <c r="AE923" t="str">
        <v>Poblado</v>
      </c>
      <c r="AF923" t="str">
        <v>Mesa</v>
      </c>
      <c r="AG923" t="str">
        <v>Pasta</v>
      </c>
      <c r="AH923">
        <v>2</v>
      </c>
      <c r="AI923">
        <v>39483.24</v>
      </c>
      <c r="AJ923">
        <v>6902.79</v>
      </c>
      <c r="AK923">
        <v>14</v>
      </c>
      <c r="AL923">
        <v>31</v>
      </c>
      <c r="AM923" t="str">
        <v>Tarjeta</v>
      </c>
      <c r="AN923" t="str">
        <v>Entregada</v>
      </c>
      <c r="AO923">
        <v>4</v>
      </c>
    </row>
    <row r="924" spans="1:41" x14ac:dyDescent="0.3">
      <c r="A924" t="s">
        <v>962</v>
      </c>
      <c r="B924" s="8">
        <v>45881</v>
      </c>
      <c r="C924" s="2">
        <v>0.8569444444444444</v>
      </c>
      <c r="D924" t="s">
        <v>27</v>
      </c>
      <c r="E924" t="s">
        <v>22</v>
      </c>
      <c r="F924" t="s">
        <v>29</v>
      </c>
      <c r="G924">
        <v>2</v>
      </c>
      <c r="H924" s="6">
        <v>55883.92</v>
      </c>
      <c r="I924" s="6">
        <v>1247.96</v>
      </c>
      <c r="J924">
        <v>19</v>
      </c>
      <c r="K924">
        <v>44</v>
      </c>
      <c r="L924" t="s">
        <v>24</v>
      </c>
      <c r="M924" t="s">
        <v>25</v>
      </c>
      <c r="N924">
        <v>5</v>
      </c>
      <c r="O924" s="4"/>
      <c r="P924" s="4" t="str">
        <f>IF(Data_Set_2[[#This Row],[valor_bruto]]&gt;$W$13,"OUTLIER+","")</f>
        <v/>
      </c>
      <c r="Q924" s="4" t="str">
        <f>IF(Data_Set_2[[#This Row],[valor_bruto]]&lt;$W$14,"OUTLIER-","")</f>
        <v/>
      </c>
      <c r="R924" s="4"/>
      <c r="S924" s="4"/>
      <c r="AB924" t="str">
        <v>RES-100922</v>
      </c>
      <c r="AC924">
        <v>45881</v>
      </c>
      <c r="AD924">
        <v>0.8569444444444444</v>
      </c>
      <c r="AE924" t="str">
        <v>Centro</v>
      </c>
      <c r="AF924" t="str">
        <v>Domicilio</v>
      </c>
      <c r="AG924" t="str">
        <v>Parrilla</v>
      </c>
      <c r="AH924">
        <v>2</v>
      </c>
      <c r="AI924">
        <v>55883.92</v>
      </c>
      <c r="AJ924">
        <v>1247.96</v>
      </c>
      <c r="AK924">
        <v>19</v>
      </c>
      <c r="AL924">
        <v>44</v>
      </c>
      <c r="AM924" t="str">
        <v>Efectivo</v>
      </c>
      <c r="AN924" t="str">
        <v>Cancelada</v>
      </c>
      <c r="AO924">
        <v>5</v>
      </c>
    </row>
    <row r="925" spans="1:41" x14ac:dyDescent="0.3">
      <c r="A925" t="s">
        <v>963</v>
      </c>
      <c r="B925" s="8">
        <v>45882</v>
      </c>
      <c r="C925" s="2">
        <v>0.90347222222222223</v>
      </c>
      <c r="D925" t="s">
        <v>33</v>
      </c>
      <c r="E925" t="s">
        <v>28</v>
      </c>
      <c r="F925" t="s">
        <v>34</v>
      </c>
      <c r="G925">
        <v>4</v>
      </c>
      <c r="H925" s="6">
        <v>53467.41</v>
      </c>
      <c r="I925" s="6">
        <v>3896.22</v>
      </c>
      <c r="J925">
        <v>27</v>
      </c>
      <c r="K925">
        <v>34</v>
      </c>
      <c r="L925" t="s">
        <v>30</v>
      </c>
      <c r="M925" t="s">
        <v>31</v>
      </c>
      <c r="N925">
        <v>3</v>
      </c>
      <c r="O925" s="4"/>
      <c r="P925" s="4" t="str">
        <f>IF(Data_Set_2[[#This Row],[valor_bruto]]&gt;$W$13,"OUTLIER+","")</f>
        <v/>
      </c>
      <c r="Q925" s="4" t="str">
        <f>IF(Data_Set_2[[#This Row],[valor_bruto]]&lt;$W$14,"OUTLIER-","")</f>
        <v/>
      </c>
      <c r="R925" s="4"/>
      <c r="S925" s="4"/>
      <c r="AB925" t="str">
        <v>RES-100923</v>
      </c>
      <c r="AC925">
        <v>45882</v>
      </c>
      <c r="AD925">
        <v>0.90347222222222223</v>
      </c>
      <c r="AE925" t="str">
        <v>Envigado</v>
      </c>
      <c r="AF925" t="str">
        <v>Recoge</v>
      </c>
      <c r="AG925" t="str">
        <v>Vegano</v>
      </c>
      <c r="AH925">
        <v>4</v>
      </c>
      <c r="AI925">
        <v>53467.41</v>
      </c>
      <c r="AJ925">
        <v>3896.22</v>
      </c>
      <c r="AK925">
        <v>27</v>
      </c>
      <c r="AL925">
        <v>34</v>
      </c>
      <c r="AM925" t="str">
        <v>App</v>
      </c>
      <c r="AN925" t="str">
        <v>Reembolsada</v>
      </c>
      <c r="AO925">
        <v>3</v>
      </c>
    </row>
    <row r="926" spans="1:41" x14ac:dyDescent="0.3">
      <c r="A926" t="s">
        <v>964</v>
      </c>
      <c r="B926" s="8">
        <v>45883</v>
      </c>
      <c r="C926" s="2">
        <v>0.45</v>
      </c>
      <c r="D926" t="s">
        <v>15</v>
      </c>
      <c r="E926" t="s">
        <v>16</v>
      </c>
      <c r="F926" t="s">
        <v>36</v>
      </c>
      <c r="G926">
        <v>6</v>
      </c>
      <c r="H926" s="6">
        <v>69053.84</v>
      </c>
      <c r="I926" s="6">
        <v>7806.89</v>
      </c>
      <c r="J926">
        <v>20</v>
      </c>
      <c r="K926">
        <v>32</v>
      </c>
      <c r="L926" t="s">
        <v>18</v>
      </c>
      <c r="M926" t="s">
        <v>19</v>
      </c>
      <c r="N926">
        <v>5</v>
      </c>
      <c r="O926" s="4"/>
      <c r="P926" s="4" t="str">
        <f>IF(Data_Set_2[[#This Row],[valor_bruto]]&gt;$W$13,"OUTLIER+","")</f>
        <v/>
      </c>
      <c r="Q926" s="4" t="str">
        <f>IF(Data_Set_2[[#This Row],[valor_bruto]]&lt;$W$14,"OUTLIER-","")</f>
        <v/>
      </c>
      <c r="R926" s="4"/>
      <c r="S926" s="4"/>
      <c r="AB926" t="str">
        <v>RES-100924</v>
      </c>
      <c r="AC926">
        <v>45883</v>
      </c>
      <c r="AD926">
        <v>0.45</v>
      </c>
      <c r="AE926" t="str">
        <v>Laureles</v>
      </c>
      <c r="AF926" t="str">
        <v>Mesa</v>
      </c>
      <c r="AG926" t="str">
        <v>Bebidas</v>
      </c>
      <c r="AH926">
        <v>6</v>
      </c>
      <c r="AI926">
        <v>69053.84</v>
      </c>
      <c r="AJ926">
        <v>7806.89</v>
      </c>
      <c r="AK926">
        <v>20</v>
      </c>
      <c r="AL926">
        <v>32</v>
      </c>
      <c r="AM926" t="str">
        <v>Tarjeta</v>
      </c>
      <c r="AN926" t="str">
        <v>Entregada</v>
      </c>
      <c r="AO926">
        <v>5</v>
      </c>
    </row>
    <row r="927" spans="1:41" x14ac:dyDescent="0.3">
      <c r="A927" t="s">
        <v>965</v>
      </c>
      <c r="B927" s="8">
        <v>45884</v>
      </c>
      <c r="C927" s="2">
        <v>0.49652777777777779</v>
      </c>
      <c r="D927" t="s">
        <v>21</v>
      </c>
      <c r="E927" t="s">
        <v>22</v>
      </c>
      <c r="F927" t="s">
        <v>17</v>
      </c>
      <c r="G927">
        <v>3</v>
      </c>
      <c r="H927" s="6">
        <v>48387.3</v>
      </c>
      <c r="I927" s="6">
        <v>1167.04</v>
      </c>
      <c r="J927">
        <v>15</v>
      </c>
      <c r="K927">
        <v>27</v>
      </c>
      <c r="L927" t="s">
        <v>24</v>
      </c>
      <c r="M927" t="s">
        <v>25</v>
      </c>
      <c r="N927">
        <v>4</v>
      </c>
      <c r="O927" s="4"/>
      <c r="P927" s="4" t="str">
        <f>IF(Data_Set_2[[#This Row],[valor_bruto]]&gt;$W$13,"OUTLIER+","")</f>
        <v/>
      </c>
      <c r="Q927" s="4" t="str">
        <f>IF(Data_Set_2[[#This Row],[valor_bruto]]&lt;$W$14,"OUTLIER-","")</f>
        <v/>
      </c>
      <c r="R927" s="4"/>
      <c r="S927" s="4"/>
      <c r="AB927" t="str">
        <v>RES-100925</v>
      </c>
      <c r="AC927">
        <v>45884</v>
      </c>
      <c r="AD927">
        <v>0.49652777777777779</v>
      </c>
      <c r="AE927" t="str">
        <v>Poblado</v>
      </c>
      <c r="AF927" t="str">
        <v>Domicilio</v>
      </c>
      <c r="AG927" t="str">
        <v>Comida rapida</v>
      </c>
      <c r="AH927">
        <v>3</v>
      </c>
      <c r="AI927">
        <v>48387.3</v>
      </c>
      <c r="AJ927">
        <v>1167.04</v>
      </c>
      <c r="AK927">
        <v>15</v>
      </c>
      <c r="AL927">
        <v>27</v>
      </c>
      <c r="AM927" t="str">
        <v>Efectivo</v>
      </c>
      <c r="AN927" t="str">
        <v>Cancelada</v>
      </c>
      <c r="AO927">
        <v>4</v>
      </c>
    </row>
    <row r="928" spans="1:41" x14ac:dyDescent="0.3">
      <c r="A928" t="s">
        <v>966</v>
      </c>
      <c r="B928" s="8">
        <v>45885</v>
      </c>
      <c r="C928" s="2">
        <v>0.50138888888888888</v>
      </c>
      <c r="D928" t="s">
        <v>27</v>
      </c>
      <c r="E928" t="s">
        <v>28</v>
      </c>
      <c r="F928" t="s">
        <v>23</v>
      </c>
      <c r="G928">
        <v>2</v>
      </c>
      <c r="H928" s="6">
        <v>60065</v>
      </c>
      <c r="I928" s="6">
        <v>1199.8800000000001</v>
      </c>
      <c r="J928">
        <v>23</v>
      </c>
      <c r="K928">
        <v>31</v>
      </c>
      <c r="L928" t="s">
        <v>30</v>
      </c>
      <c r="M928" t="s">
        <v>31</v>
      </c>
      <c r="N928">
        <v>5</v>
      </c>
      <c r="O928" s="4"/>
      <c r="P928" s="4" t="str">
        <f>IF(Data_Set_2[[#This Row],[valor_bruto]]&gt;$W$13,"OUTLIER+","")</f>
        <v/>
      </c>
      <c r="Q928" s="4" t="str">
        <f>IF(Data_Set_2[[#This Row],[valor_bruto]]&lt;$W$14,"OUTLIER-","")</f>
        <v/>
      </c>
      <c r="R928" s="4"/>
      <c r="S928" s="4"/>
      <c r="AB928" t="str">
        <v>RES-100926</v>
      </c>
      <c r="AC928">
        <v>45885</v>
      </c>
      <c r="AD928">
        <v>0.50138888888888888</v>
      </c>
      <c r="AE928" t="str">
        <v>Centro</v>
      </c>
      <c r="AF928" t="str">
        <v>Recoge</v>
      </c>
      <c r="AG928" t="str">
        <v>Pasta</v>
      </c>
      <c r="AH928">
        <v>2</v>
      </c>
      <c r="AI928">
        <v>60065</v>
      </c>
      <c r="AJ928">
        <v>1199.8800000000001</v>
      </c>
      <c r="AK928">
        <v>23</v>
      </c>
      <c r="AL928">
        <v>31</v>
      </c>
      <c r="AM928" t="str">
        <v>App</v>
      </c>
      <c r="AN928" t="str">
        <v>Reembolsada</v>
      </c>
      <c r="AO928">
        <v>5</v>
      </c>
    </row>
    <row r="929" spans="1:41" x14ac:dyDescent="0.3">
      <c r="A929" t="s">
        <v>967</v>
      </c>
      <c r="B929" s="8">
        <v>45886</v>
      </c>
      <c r="C929" s="2">
        <v>0.54791666666666672</v>
      </c>
      <c r="D929" t="s">
        <v>33</v>
      </c>
      <c r="E929" t="s">
        <v>16</v>
      </c>
      <c r="F929" t="s">
        <v>29</v>
      </c>
      <c r="G929">
        <v>6</v>
      </c>
      <c r="H929" s="6">
        <v>69483.66</v>
      </c>
      <c r="I929" s="6">
        <v>6955.12</v>
      </c>
      <c r="J929">
        <v>15</v>
      </c>
      <c r="K929">
        <v>43</v>
      </c>
      <c r="L929" t="s">
        <v>18</v>
      </c>
      <c r="M929" t="s">
        <v>19</v>
      </c>
      <c r="N929">
        <v>5</v>
      </c>
      <c r="O929" s="4"/>
      <c r="P929" s="4" t="str">
        <f>IF(Data_Set_2[[#This Row],[valor_bruto]]&gt;$W$13,"OUTLIER+","")</f>
        <v/>
      </c>
      <c r="Q929" s="4" t="str">
        <f>IF(Data_Set_2[[#This Row],[valor_bruto]]&lt;$W$14,"OUTLIER-","")</f>
        <v/>
      </c>
      <c r="R929" s="4"/>
      <c r="S929" s="4"/>
      <c r="AB929" t="str">
        <v>RES-100927</v>
      </c>
      <c r="AC929">
        <v>45886</v>
      </c>
      <c r="AD929">
        <v>0.54791666666666672</v>
      </c>
      <c r="AE929" t="str">
        <v>Envigado</v>
      </c>
      <c r="AF929" t="str">
        <v>Mesa</v>
      </c>
      <c r="AG929" t="str">
        <v>Parrilla</v>
      </c>
      <c r="AH929">
        <v>6</v>
      </c>
      <c r="AI929">
        <v>69483.66</v>
      </c>
      <c r="AJ929">
        <v>6955.12</v>
      </c>
      <c r="AK929">
        <v>15</v>
      </c>
      <c r="AL929">
        <v>43</v>
      </c>
      <c r="AM929" t="str">
        <v>Tarjeta</v>
      </c>
      <c r="AN929" t="str">
        <v>Entregada</v>
      </c>
      <c r="AO929">
        <v>5</v>
      </c>
    </row>
    <row r="930" spans="1:41" x14ac:dyDescent="0.3">
      <c r="A930" t="s">
        <v>968</v>
      </c>
      <c r="B930" s="8">
        <v>45887</v>
      </c>
      <c r="C930" s="2">
        <v>0.59444444444444444</v>
      </c>
      <c r="D930" t="s">
        <v>15</v>
      </c>
      <c r="E930" t="s">
        <v>22</v>
      </c>
      <c r="F930" t="s">
        <v>34</v>
      </c>
      <c r="G930">
        <v>5</v>
      </c>
      <c r="H930" s="6">
        <v>58387.17</v>
      </c>
      <c r="I930" s="6">
        <v>6455.99</v>
      </c>
      <c r="J930">
        <v>18</v>
      </c>
      <c r="K930">
        <v>24</v>
      </c>
      <c r="L930" t="s">
        <v>24</v>
      </c>
      <c r="M930" t="s">
        <v>25</v>
      </c>
      <c r="N930">
        <v>3</v>
      </c>
      <c r="O930" s="4"/>
      <c r="P930" s="4" t="str">
        <f>IF(Data_Set_2[[#This Row],[valor_bruto]]&gt;$W$13,"OUTLIER+","")</f>
        <v/>
      </c>
      <c r="Q930" s="4" t="str">
        <f>IF(Data_Set_2[[#This Row],[valor_bruto]]&lt;$W$14,"OUTLIER-","")</f>
        <v/>
      </c>
      <c r="R930" s="4"/>
      <c r="S930" s="4"/>
      <c r="AB930" t="str">
        <v>RES-100928</v>
      </c>
      <c r="AC930">
        <v>45887</v>
      </c>
      <c r="AD930">
        <v>0.59444444444444444</v>
      </c>
      <c r="AE930" t="str">
        <v>Laureles</v>
      </c>
      <c r="AF930" t="str">
        <v>Domicilio</v>
      </c>
      <c r="AG930" t="str">
        <v>Vegano</v>
      </c>
      <c r="AH930">
        <v>5</v>
      </c>
      <c r="AI930">
        <v>58387.17</v>
      </c>
      <c r="AJ930">
        <v>6455.99</v>
      </c>
      <c r="AK930">
        <v>18</v>
      </c>
      <c r="AL930">
        <v>24</v>
      </c>
      <c r="AM930" t="str">
        <v>Efectivo</v>
      </c>
      <c r="AN930" t="str">
        <v>Cancelada</v>
      </c>
      <c r="AO930">
        <v>3</v>
      </c>
    </row>
    <row r="931" spans="1:41" x14ac:dyDescent="0.3">
      <c r="A931" t="s">
        <v>969</v>
      </c>
      <c r="B931" s="8">
        <v>45888</v>
      </c>
      <c r="C931" s="2">
        <v>0.64097222222222228</v>
      </c>
      <c r="D931" t="s">
        <v>21</v>
      </c>
      <c r="E931" t="s">
        <v>28</v>
      </c>
      <c r="F931" t="s">
        <v>36</v>
      </c>
      <c r="G931">
        <v>5</v>
      </c>
      <c r="H931" s="6">
        <v>48800.49</v>
      </c>
      <c r="I931" s="6">
        <v>3993.67</v>
      </c>
      <c r="J931">
        <v>24</v>
      </c>
      <c r="K931">
        <v>39</v>
      </c>
      <c r="L931" t="s">
        <v>30</v>
      </c>
      <c r="M931" t="s">
        <v>31</v>
      </c>
      <c r="N931">
        <v>5</v>
      </c>
      <c r="O931" s="4"/>
      <c r="P931" s="4" t="str">
        <f>IF(Data_Set_2[[#This Row],[valor_bruto]]&gt;$W$13,"OUTLIER+","")</f>
        <v/>
      </c>
      <c r="Q931" s="4" t="str">
        <f>IF(Data_Set_2[[#This Row],[valor_bruto]]&lt;$W$14,"OUTLIER-","")</f>
        <v/>
      </c>
      <c r="R931" s="4"/>
      <c r="S931" s="4"/>
      <c r="AB931" t="str">
        <v>RES-100929</v>
      </c>
      <c r="AC931">
        <v>45888</v>
      </c>
      <c r="AD931">
        <v>0.64097222222222228</v>
      </c>
      <c r="AE931" t="str">
        <v>Poblado</v>
      </c>
      <c r="AF931" t="str">
        <v>Recoge</v>
      </c>
      <c r="AG931" t="str">
        <v>Bebidas</v>
      </c>
      <c r="AH931">
        <v>5</v>
      </c>
      <c r="AI931">
        <v>48800.49</v>
      </c>
      <c r="AJ931">
        <v>3993.67</v>
      </c>
      <c r="AK931">
        <v>24</v>
      </c>
      <c r="AL931">
        <v>39</v>
      </c>
      <c r="AM931" t="str">
        <v>App</v>
      </c>
      <c r="AN931" t="str">
        <v>Reembolsada</v>
      </c>
      <c r="AO931">
        <v>5</v>
      </c>
    </row>
    <row r="932" spans="1:41" x14ac:dyDescent="0.3">
      <c r="A932" t="s">
        <v>970</v>
      </c>
      <c r="B932" s="8">
        <v>45889</v>
      </c>
      <c r="C932" s="2">
        <v>0.6875</v>
      </c>
      <c r="D932" t="s">
        <v>27</v>
      </c>
      <c r="E932" t="s">
        <v>16</v>
      </c>
      <c r="F932" t="s">
        <v>17</v>
      </c>
      <c r="G932">
        <v>2</v>
      </c>
      <c r="H932" s="6">
        <v>60668.42</v>
      </c>
      <c r="I932" s="6">
        <v>636.19000000000005</v>
      </c>
      <c r="J932">
        <v>18</v>
      </c>
      <c r="K932">
        <v>36</v>
      </c>
      <c r="L932" t="s">
        <v>18</v>
      </c>
      <c r="M932" t="s">
        <v>19</v>
      </c>
      <c r="N932">
        <v>5</v>
      </c>
      <c r="O932" s="4"/>
      <c r="P932" s="4" t="str">
        <f>IF(Data_Set_2[[#This Row],[valor_bruto]]&gt;$W$13,"OUTLIER+","")</f>
        <v/>
      </c>
      <c r="Q932" s="4" t="str">
        <f>IF(Data_Set_2[[#This Row],[valor_bruto]]&lt;$W$14,"OUTLIER-","")</f>
        <v/>
      </c>
      <c r="R932" s="4"/>
      <c r="S932" s="4"/>
      <c r="AB932" t="str">
        <v>RES-100930</v>
      </c>
      <c r="AC932">
        <v>45889</v>
      </c>
      <c r="AD932">
        <v>0.6875</v>
      </c>
      <c r="AE932" t="str">
        <v>Centro</v>
      </c>
      <c r="AF932" t="str">
        <v>Mesa</v>
      </c>
      <c r="AG932" t="str">
        <v>Comida rapida</v>
      </c>
      <c r="AH932">
        <v>2</v>
      </c>
      <c r="AI932">
        <v>60668.42</v>
      </c>
      <c r="AJ932">
        <v>636.19000000000005</v>
      </c>
      <c r="AK932">
        <v>18</v>
      </c>
      <c r="AL932">
        <v>36</v>
      </c>
      <c r="AM932" t="str">
        <v>Tarjeta</v>
      </c>
      <c r="AN932" t="str">
        <v>Entregada</v>
      </c>
      <c r="AO932">
        <v>5</v>
      </c>
    </row>
    <row r="933" spans="1:41" x14ac:dyDescent="0.3">
      <c r="A933" t="s">
        <v>971</v>
      </c>
      <c r="B933" s="8">
        <v>45890</v>
      </c>
      <c r="C933" s="2">
        <v>0.73402777777777772</v>
      </c>
      <c r="D933" t="s">
        <v>33</v>
      </c>
      <c r="E933" t="s">
        <v>22</v>
      </c>
      <c r="F933" t="s">
        <v>23</v>
      </c>
      <c r="G933">
        <v>5</v>
      </c>
      <c r="H933" s="6">
        <v>64616.28</v>
      </c>
      <c r="I933" s="6">
        <v>2259.13</v>
      </c>
      <c r="J933">
        <v>24</v>
      </c>
      <c r="K933">
        <v>32</v>
      </c>
      <c r="L933" t="s">
        <v>24</v>
      </c>
      <c r="M933" t="s">
        <v>25</v>
      </c>
      <c r="N933">
        <v>4</v>
      </c>
      <c r="O933" s="4"/>
      <c r="P933" s="4" t="str">
        <f>IF(Data_Set_2[[#This Row],[valor_bruto]]&gt;$W$13,"OUTLIER+","")</f>
        <v/>
      </c>
      <c r="Q933" s="4" t="str">
        <f>IF(Data_Set_2[[#This Row],[valor_bruto]]&lt;$W$14,"OUTLIER-","")</f>
        <v/>
      </c>
      <c r="R933" s="4"/>
      <c r="S933" s="4"/>
      <c r="AB933" t="str">
        <v>RES-100931</v>
      </c>
      <c r="AC933">
        <v>45890</v>
      </c>
      <c r="AD933">
        <v>0.73402777777777772</v>
      </c>
      <c r="AE933" t="str">
        <v>Envigado</v>
      </c>
      <c r="AF933" t="str">
        <v>Domicilio</v>
      </c>
      <c r="AG933" t="str">
        <v>Pasta</v>
      </c>
      <c r="AH933">
        <v>5</v>
      </c>
      <c r="AI933">
        <v>64616.28</v>
      </c>
      <c r="AJ933">
        <v>2259.13</v>
      </c>
      <c r="AK933">
        <v>24</v>
      </c>
      <c r="AL933">
        <v>32</v>
      </c>
      <c r="AM933" t="str">
        <v>Efectivo</v>
      </c>
      <c r="AN933" t="str">
        <v>Cancelada</v>
      </c>
      <c r="AO933">
        <v>4</v>
      </c>
    </row>
    <row r="934" spans="1:41" x14ac:dyDescent="0.3">
      <c r="A934" t="s">
        <v>972</v>
      </c>
      <c r="B934" s="8">
        <v>45891</v>
      </c>
      <c r="C934" s="2">
        <v>0.78055555555555556</v>
      </c>
      <c r="D934" t="s">
        <v>15</v>
      </c>
      <c r="E934" t="s">
        <v>28</v>
      </c>
      <c r="F934" t="s">
        <v>29</v>
      </c>
      <c r="G934">
        <v>6</v>
      </c>
      <c r="H934" s="6">
        <v>40313.89</v>
      </c>
      <c r="I934" s="6">
        <v>7064.87</v>
      </c>
      <c r="J934">
        <v>16</v>
      </c>
      <c r="K934">
        <v>29</v>
      </c>
      <c r="L934" t="s">
        <v>30</v>
      </c>
      <c r="M934" t="s">
        <v>31</v>
      </c>
      <c r="N934">
        <v>3</v>
      </c>
      <c r="O934" s="4"/>
      <c r="P934" s="4" t="str">
        <f>IF(Data_Set_2[[#This Row],[valor_bruto]]&gt;$W$13,"OUTLIER+","")</f>
        <v/>
      </c>
      <c r="Q934" s="4" t="str">
        <f>IF(Data_Set_2[[#This Row],[valor_bruto]]&lt;$W$14,"OUTLIER-","")</f>
        <v/>
      </c>
      <c r="R934" s="4"/>
      <c r="S934" s="4"/>
      <c r="AB934" t="str">
        <v>RES-100932</v>
      </c>
      <c r="AC934">
        <v>45891</v>
      </c>
      <c r="AD934">
        <v>0.78055555555555556</v>
      </c>
      <c r="AE934" t="str">
        <v>Laureles</v>
      </c>
      <c r="AF934" t="str">
        <v>Recoge</v>
      </c>
      <c r="AG934" t="str">
        <v>Parrilla</v>
      </c>
      <c r="AH934">
        <v>6</v>
      </c>
      <c r="AI934">
        <v>40313.89</v>
      </c>
      <c r="AJ934">
        <v>7064.87</v>
      </c>
      <c r="AK934">
        <v>16</v>
      </c>
      <c r="AL934">
        <v>29</v>
      </c>
      <c r="AM934" t="str">
        <v>App</v>
      </c>
      <c r="AN934" t="str">
        <v>Reembolsada</v>
      </c>
      <c r="AO934">
        <v>3</v>
      </c>
    </row>
    <row r="935" spans="1:41" x14ac:dyDescent="0.3">
      <c r="A935" t="s">
        <v>973</v>
      </c>
      <c r="B935" s="8">
        <v>45892</v>
      </c>
      <c r="C935" s="2">
        <v>0.82708333333333328</v>
      </c>
      <c r="D935" t="s">
        <v>21</v>
      </c>
      <c r="E935" t="s">
        <v>16</v>
      </c>
      <c r="F935" t="s">
        <v>34</v>
      </c>
      <c r="G935">
        <v>4</v>
      </c>
      <c r="H935" s="6">
        <v>38690.07</v>
      </c>
      <c r="I935" s="6">
        <v>8390.01</v>
      </c>
      <c r="J935">
        <v>17</v>
      </c>
      <c r="K935">
        <v>23</v>
      </c>
      <c r="L935" t="s">
        <v>18</v>
      </c>
      <c r="M935" t="s">
        <v>19</v>
      </c>
      <c r="N935">
        <v>4</v>
      </c>
      <c r="O935" s="4"/>
      <c r="P935" s="4" t="str">
        <f>IF(Data_Set_2[[#This Row],[valor_bruto]]&gt;$W$13,"OUTLIER+","")</f>
        <v/>
      </c>
      <c r="Q935" s="4" t="str">
        <f>IF(Data_Set_2[[#This Row],[valor_bruto]]&lt;$W$14,"OUTLIER-","")</f>
        <v/>
      </c>
      <c r="R935" s="4"/>
      <c r="S935" s="4"/>
      <c r="AB935" t="str">
        <v>RES-100933</v>
      </c>
      <c r="AC935">
        <v>45892</v>
      </c>
      <c r="AD935">
        <v>0.82708333333333328</v>
      </c>
      <c r="AE935" t="str">
        <v>Poblado</v>
      </c>
      <c r="AF935" t="str">
        <v>Mesa</v>
      </c>
      <c r="AG935" t="str">
        <v>Vegano</v>
      </c>
      <c r="AH935">
        <v>4</v>
      </c>
      <c r="AI935">
        <v>38690.07</v>
      </c>
      <c r="AJ935">
        <v>8390.01</v>
      </c>
      <c r="AK935">
        <v>17</v>
      </c>
      <c r="AL935">
        <v>23</v>
      </c>
      <c r="AM935" t="str">
        <v>Tarjeta</v>
      </c>
      <c r="AN935" t="str">
        <v>Entregada</v>
      </c>
      <c r="AO935">
        <v>4</v>
      </c>
    </row>
    <row r="936" spans="1:41" x14ac:dyDescent="0.3">
      <c r="A936" t="s">
        <v>974</v>
      </c>
      <c r="B936" s="8">
        <v>45893</v>
      </c>
      <c r="C936" s="2">
        <v>0.87361111111111112</v>
      </c>
      <c r="D936" t="s">
        <v>27</v>
      </c>
      <c r="E936" t="s">
        <v>22</v>
      </c>
      <c r="F936" t="s">
        <v>36</v>
      </c>
      <c r="G936">
        <v>6</v>
      </c>
      <c r="H936" s="6">
        <v>51202.75</v>
      </c>
      <c r="I936" s="6">
        <v>3333.35</v>
      </c>
      <c r="J936">
        <v>25</v>
      </c>
      <c r="K936">
        <v>51</v>
      </c>
      <c r="L936" t="s">
        <v>24</v>
      </c>
      <c r="M936" t="s">
        <v>25</v>
      </c>
      <c r="N936">
        <v>4</v>
      </c>
      <c r="O936" s="4"/>
      <c r="P936" s="4" t="str">
        <f>IF(Data_Set_2[[#This Row],[valor_bruto]]&gt;$W$13,"OUTLIER+","")</f>
        <v/>
      </c>
      <c r="Q936" s="4" t="str">
        <f>IF(Data_Set_2[[#This Row],[valor_bruto]]&lt;$W$14,"OUTLIER-","")</f>
        <v/>
      </c>
      <c r="R936" s="4"/>
      <c r="S936" s="4"/>
      <c r="AB936" t="str">
        <v>RES-100934</v>
      </c>
      <c r="AC936">
        <v>45893</v>
      </c>
      <c r="AD936">
        <v>0.87361111111111112</v>
      </c>
      <c r="AE936" t="str">
        <v>Centro</v>
      </c>
      <c r="AF936" t="str">
        <v>Domicilio</v>
      </c>
      <c r="AG936" t="str">
        <v>Bebidas</v>
      </c>
      <c r="AH936">
        <v>6</v>
      </c>
      <c r="AI936">
        <v>51202.75</v>
      </c>
      <c r="AJ936">
        <v>3333.35</v>
      </c>
      <c r="AK936">
        <v>25</v>
      </c>
      <c r="AL936">
        <v>51</v>
      </c>
      <c r="AM936" t="str">
        <v>Efectivo</v>
      </c>
      <c r="AN936" t="str">
        <v>Cancelada</v>
      </c>
      <c r="AO936">
        <v>4</v>
      </c>
    </row>
    <row r="937" spans="1:41" x14ac:dyDescent="0.3">
      <c r="A937" t="s">
        <v>975</v>
      </c>
      <c r="B937" s="8">
        <v>45894</v>
      </c>
      <c r="C937" s="2">
        <v>0.87847222222222221</v>
      </c>
      <c r="D937" t="s">
        <v>33</v>
      </c>
      <c r="E937" t="s">
        <v>28</v>
      </c>
      <c r="F937" t="s">
        <v>17</v>
      </c>
      <c r="G937">
        <v>5</v>
      </c>
      <c r="H937" s="6">
        <v>35694.9</v>
      </c>
      <c r="I937" s="6">
        <v>2809.21</v>
      </c>
      <c r="J937">
        <v>26</v>
      </c>
      <c r="K937">
        <v>26</v>
      </c>
      <c r="L937" t="s">
        <v>30</v>
      </c>
      <c r="M937" t="s">
        <v>31</v>
      </c>
      <c r="N937">
        <v>3</v>
      </c>
      <c r="O937" s="4"/>
      <c r="P937" s="4" t="str">
        <f>IF(Data_Set_2[[#This Row],[valor_bruto]]&gt;$W$13,"OUTLIER+","")</f>
        <v/>
      </c>
      <c r="Q937" s="4" t="str">
        <f>IF(Data_Set_2[[#This Row],[valor_bruto]]&lt;$W$14,"OUTLIER-","")</f>
        <v/>
      </c>
      <c r="R937" s="4"/>
      <c r="S937" s="4"/>
      <c r="AB937" t="str">
        <v>RES-100935</v>
      </c>
      <c r="AC937">
        <v>45894</v>
      </c>
      <c r="AD937">
        <v>0.87847222222222221</v>
      </c>
      <c r="AE937" t="str">
        <v>Envigado</v>
      </c>
      <c r="AF937" t="str">
        <v>Recoge</v>
      </c>
      <c r="AG937" t="str">
        <v>Comida rapida</v>
      </c>
      <c r="AH937">
        <v>5</v>
      </c>
      <c r="AI937">
        <v>35694.9</v>
      </c>
      <c r="AJ937">
        <v>2809.21</v>
      </c>
      <c r="AK937">
        <v>26</v>
      </c>
      <c r="AL937">
        <v>26</v>
      </c>
      <c r="AM937" t="str">
        <v>App</v>
      </c>
      <c r="AN937" t="str">
        <v>Reembolsada</v>
      </c>
      <c r="AO937">
        <v>3</v>
      </c>
    </row>
    <row r="938" spans="1:41" x14ac:dyDescent="0.3">
      <c r="A938" t="s">
        <v>976</v>
      </c>
      <c r="B938" s="8">
        <v>45895</v>
      </c>
      <c r="C938" s="2">
        <v>0.42499999999999999</v>
      </c>
      <c r="D938" t="s">
        <v>15</v>
      </c>
      <c r="E938" t="s">
        <v>16</v>
      </c>
      <c r="F938" t="s">
        <v>23</v>
      </c>
      <c r="G938">
        <v>4</v>
      </c>
      <c r="H938" s="6">
        <v>26323.05</v>
      </c>
      <c r="I938" s="6">
        <v>7288.6</v>
      </c>
      <c r="J938">
        <v>27</v>
      </c>
      <c r="K938">
        <v>43</v>
      </c>
      <c r="L938" t="s">
        <v>18</v>
      </c>
      <c r="M938" t="s">
        <v>19</v>
      </c>
      <c r="N938">
        <v>3</v>
      </c>
      <c r="O938" s="4"/>
      <c r="P938" s="4" t="str">
        <f>IF(Data_Set_2[[#This Row],[valor_bruto]]&gt;$W$13,"OUTLIER+","")</f>
        <v/>
      </c>
      <c r="Q938" s="4" t="str">
        <f>IF(Data_Set_2[[#This Row],[valor_bruto]]&lt;$W$14,"OUTLIER-","")</f>
        <v/>
      </c>
      <c r="R938" s="4"/>
      <c r="S938" s="4"/>
      <c r="AB938" t="str">
        <v>RES-100936</v>
      </c>
      <c r="AC938">
        <v>45895</v>
      </c>
      <c r="AD938">
        <v>0.42499999999999999</v>
      </c>
      <c r="AE938" t="str">
        <v>Laureles</v>
      </c>
      <c r="AF938" t="str">
        <v>Mesa</v>
      </c>
      <c r="AG938" t="str">
        <v>Pasta</v>
      </c>
      <c r="AH938">
        <v>4</v>
      </c>
      <c r="AI938">
        <v>26323.05</v>
      </c>
      <c r="AJ938">
        <v>7288.6</v>
      </c>
      <c r="AK938">
        <v>27</v>
      </c>
      <c r="AL938">
        <v>43</v>
      </c>
      <c r="AM938" t="str">
        <v>Tarjeta</v>
      </c>
      <c r="AN938" t="str">
        <v>Entregada</v>
      </c>
      <c r="AO938">
        <v>3</v>
      </c>
    </row>
    <row r="939" spans="1:41" x14ac:dyDescent="0.3">
      <c r="A939" t="s">
        <v>977</v>
      </c>
      <c r="B939" s="8">
        <v>45896</v>
      </c>
      <c r="C939" s="2">
        <v>0.47152777777777777</v>
      </c>
      <c r="D939" t="s">
        <v>21</v>
      </c>
      <c r="E939" t="s">
        <v>22</v>
      </c>
      <c r="F939" t="s">
        <v>29</v>
      </c>
      <c r="G939">
        <v>6</v>
      </c>
      <c r="H939" s="6">
        <v>46241.16</v>
      </c>
      <c r="I939" s="6">
        <v>2750.34</v>
      </c>
      <c r="J939">
        <v>20</v>
      </c>
      <c r="K939">
        <v>28</v>
      </c>
      <c r="L939" t="s">
        <v>24</v>
      </c>
      <c r="M939" t="s">
        <v>25</v>
      </c>
      <c r="N939">
        <v>5</v>
      </c>
      <c r="O939" s="4"/>
      <c r="P939" s="4" t="str">
        <f>IF(Data_Set_2[[#This Row],[valor_bruto]]&gt;$W$13,"OUTLIER+","")</f>
        <v/>
      </c>
      <c r="Q939" s="4" t="str">
        <f>IF(Data_Set_2[[#This Row],[valor_bruto]]&lt;$W$14,"OUTLIER-","")</f>
        <v/>
      </c>
      <c r="R939" s="4"/>
      <c r="S939" s="4"/>
      <c r="AB939" t="str">
        <v>RES-100937</v>
      </c>
      <c r="AC939">
        <v>45896</v>
      </c>
      <c r="AD939">
        <v>0.47152777777777777</v>
      </c>
      <c r="AE939" t="str">
        <v>Poblado</v>
      </c>
      <c r="AF939" t="str">
        <v>Domicilio</v>
      </c>
      <c r="AG939" t="str">
        <v>Parrilla</v>
      </c>
      <c r="AH939">
        <v>6</v>
      </c>
      <c r="AI939">
        <v>46241.16</v>
      </c>
      <c r="AJ939">
        <v>2750.34</v>
      </c>
      <c r="AK939">
        <v>20</v>
      </c>
      <c r="AL939">
        <v>28</v>
      </c>
      <c r="AM939" t="str">
        <v>Efectivo</v>
      </c>
      <c r="AN939" t="str">
        <v>Cancelada</v>
      </c>
      <c r="AO939">
        <v>5</v>
      </c>
    </row>
    <row r="940" spans="1:41" x14ac:dyDescent="0.3">
      <c r="A940" t="s">
        <v>978</v>
      </c>
      <c r="B940" s="8">
        <v>45897</v>
      </c>
      <c r="C940" s="2">
        <v>0.5180555555555556</v>
      </c>
      <c r="D940" t="s">
        <v>27</v>
      </c>
      <c r="E940" t="s">
        <v>28</v>
      </c>
      <c r="F940" t="s">
        <v>34</v>
      </c>
      <c r="G940">
        <v>6</v>
      </c>
      <c r="H940" s="6">
        <v>37144.879999999997</v>
      </c>
      <c r="I940" s="6">
        <v>7643.41</v>
      </c>
      <c r="J940">
        <v>14</v>
      </c>
      <c r="K940">
        <v>37</v>
      </c>
      <c r="L940" t="s">
        <v>30</v>
      </c>
      <c r="M940" t="s">
        <v>31</v>
      </c>
      <c r="N940">
        <v>4</v>
      </c>
      <c r="O940" s="4"/>
      <c r="P940" s="4" t="str">
        <f>IF(Data_Set_2[[#This Row],[valor_bruto]]&gt;$W$13,"OUTLIER+","")</f>
        <v/>
      </c>
      <c r="Q940" s="4" t="str">
        <f>IF(Data_Set_2[[#This Row],[valor_bruto]]&lt;$W$14,"OUTLIER-","")</f>
        <v/>
      </c>
      <c r="R940" s="4"/>
      <c r="S940" s="4"/>
      <c r="AB940" t="str">
        <v>RES-100938</v>
      </c>
      <c r="AC940">
        <v>45897</v>
      </c>
      <c r="AD940">
        <v>0.5180555555555556</v>
      </c>
      <c r="AE940" t="str">
        <v>Centro</v>
      </c>
      <c r="AF940" t="str">
        <v>Recoge</v>
      </c>
      <c r="AG940" t="str">
        <v>Vegano</v>
      </c>
      <c r="AH940">
        <v>6</v>
      </c>
      <c r="AI940">
        <v>37144.879999999997</v>
      </c>
      <c r="AJ940">
        <v>7643.41</v>
      </c>
      <c r="AK940">
        <v>14</v>
      </c>
      <c r="AL940">
        <v>37</v>
      </c>
      <c r="AM940" t="str">
        <v>App</v>
      </c>
      <c r="AN940" t="str">
        <v>Reembolsada</v>
      </c>
      <c r="AO940">
        <v>4</v>
      </c>
    </row>
    <row r="941" spans="1:41" x14ac:dyDescent="0.3">
      <c r="A941" t="s">
        <v>979</v>
      </c>
      <c r="B941" s="8">
        <v>45898</v>
      </c>
      <c r="C941" s="2">
        <v>0.56458333333333333</v>
      </c>
      <c r="D941" t="s">
        <v>33</v>
      </c>
      <c r="E941" t="s">
        <v>16</v>
      </c>
      <c r="F941" t="s">
        <v>36</v>
      </c>
      <c r="G941">
        <v>6</v>
      </c>
      <c r="H941" s="6">
        <v>28896.880000000001</v>
      </c>
      <c r="I941" s="6">
        <v>6234.33</v>
      </c>
      <c r="J941">
        <v>19</v>
      </c>
      <c r="K941">
        <v>38</v>
      </c>
      <c r="L941" t="s">
        <v>18</v>
      </c>
      <c r="M941" t="s">
        <v>19</v>
      </c>
      <c r="N941">
        <v>4</v>
      </c>
      <c r="O941" s="4"/>
      <c r="P941" s="4" t="str">
        <f>IF(Data_Set_2[[#This Row],[valor_bruto]]&gt;$W$13,"OUTLIER+","")</f>
        <v/>
      </c>
      <c r="Q941" s="4" t="str">
        <f>IF(Data_Set_2[[#This Row],[valor_bruto]]&lt;$W$14,"OUTLIER-","")</f>
        <v/>
      </c>
      <c r="R941" s="4"/>
      <c r="S941" s="4"/>
      <c r="AB941" t="str">
        <v>RES-100939</v>
      </c>
      <c r="AC941">
        <v>45898</v>
      </c>
      <c r="AD941">
        <v>0.56458333333333333</v>
      </c>
      <c r="AE941" t="str">
        <v>Envigado</v>
      </c>
      <c r="AF941" t="str">
        <v>Mesa</v>
      </c>
      <c r="AG941" t="str">
        <v>Bebidas</v>
      </c>
      <c r="AH941">
        <v>6</v>
      </c>
      <c r="AI941">
        <v>28896.880000000001</v>
      </c>
      <c r="AJ941">
        <v>6234.33</v>
      </c>
      <c r="AK941">
        <v>19</v>
      </c>
      <c r="AL941">
        <v>38</v>
      </c>
      <c r="AM941" t="str">
        <v>Tarjeta</v>
      </c>
      <c r="AN941" t="str">
        <v>Entregada</v>
      </c>
      <c r="AO941">
        <v>4</v>
      </c>
    </row>
    <row r="942" spans="1:41" x14ac:dyDescent="0.3">
      <c r="A942" t="s">
        <v>980</v>
      </c>
      <c r="B942" s="8">
        <v>45899</v>
      </c>
      <c r="C942" s="2">
        <v>0.61111111111111116</v>
      </c>
      <c r="D942" t="s">
        <v>15</v>
      </c>
      <c r="E942" t="s">
        <v>22</v>
      </c>
      <c r="F942" t="s">
        <v>17</v>
      </c>
      <c r="G942">
        <v>6</v>
      </c>
      <c r="H942" s="6">
        <v>34966.83</v>
      </c>
      <c r="I942" s="6">
        <v>1641.1</v>
      </c>
      <c r="J942">
        <v>28</v>
      </c>
      <c r="K942">
        <v>25</v>
      </c>
      <c r="L942" t="s">
        <v>24</v>
      </c>
      <c r="M942" t="s">
        <v>25</v>
      </c>
      <c r="N942">
        <v>3</v>
      </c>
      <c r="O942" s="4"/>
      <c r="P942" s="4" t="str">
        <f>IF(Data_Set_2[[#This Row],[valor_bruto]]&gt;$W$13,"OUTLIER+","")</f>
        <v/>
      </c>
      <c r="Q942" s="4" t="str">
        <f>IF(Data_Set_2[[#This Row],[valor_bruto]]&lt;$W$14,"OUTLIER-","")</f>
        <v/>
      </c>
      <c r="R942" s="4"/>
      <c r="S942" s="4"/>
      <c r="T942">
        <v>1</v>
      </c>
      <c r="U942">
        <v>13</v>
      </c>
      <c r="V942">
        <v>2026</v>
      </c>
      <c r="W942" s="1">
        <f>DATE(V942,T942,U942)</f>
        <v>46035</v>
      </c>
      <c r="X942" s="5"/>
      <c r="AB942" t="str">
        <v>RES-100940</v>
      </c>
      <c r="AC942">
        <v>45899</v>
      </c>
      <c r="AD942">
        <v>0.61111111111111116</v>
      </c>
      <c r="AE942" t="str">
        <v>Laureles</v>
      </c>
      <c r="AF942" t="str">
        <v>Domicilio</v>
      </c>
      <c r="AG942" t="str">
        <v>Comida rapida</v>
      </c>
      <c r="AH942">
        <v>6</v>
      </c>
      <c r="AI942">
        <v>34966.83</v>
      </c>
      <c r="AJ942">
        <v>1641.1</v>
      </c>
      <c r="AK942">
        <v>28</v>
      </c>
      <c r="AL942">
        <v>25</v>
      </c>
      <c r="AM942" t="str">
        <v>Efectivo</v>
      </c>
      <c r="AN942" t="str">
        <v>Cancelada</v>
      </c>
      <c r="AO942">
        <v>3</v>
      </c>
    </row>
    <row r="943" spans="1:41" x14ac:dyDescent="0.3">
      <c r="A943" t="s">
        <v>981</v>
      </c>
      <c r="B943" s="8">
        <v>45900</v>
      </c>
      <c r="C943" s="2">
        <v>0.65763888888888888</v>
      </c>
      <c r="D943" t="s">
        <v>21</v>
      </c>
      <c r="E943" t="s">
        <v>28</v>
      </c>
      <c r="F943" t="s">
        <v>23</v>
      </c>
      <c r="G943">
        <v>2</v>
      </c>
      <c r="H943" s="6">
        <v>57457.06</v>
      </c>
      <c r="I943" s="6">
        <v>4954.5600000000004</v>
      </c>
      <c r="J943">
        <v>20</v>
      </c>
      <c r="K943">
        <v>36</v>
      </c>
      <c r="L943" t="s">
        <v>30</v>
      </c>
      <c r="M943" t="s">
        <v>31</v>
      </c>
      <c r="N943">
        <v>4</v>
      </c>
      <c r="O943" s="4"/>
      <c r="P943" s="4" t="str">
        <f>IF(Data_Set_2[[#This Row],[valor_bruto]]&gt;$W$13,"OUTLIER+","")</f>
        <v/>
      </c>
      <c r="Q943" s="4" t="str">
        <f>IF(Data_Set_2[[#This Row],[valor_bruto]]&lt;$W$14,"OUTLIER-","")</f>
        <v/>
      </c>
      <c r="R943" s="4"/>
      <c r="S943" s="4"/>
      <c r="T943">
        <v>1</v>
      </c>
      <c r="U943">
        <v>14</v>
      </c>
      <c r="V943">
        <v>2026</v>
      </c>
      <c r="W943" s="1">
        <f t="shared" ref="W943:W1006" si="0">DATE(V943,T943,U943)</f>
        <v>46036</v>
      </c>
      <c r="AB943" t="str">
        <v>RES-100941</v>
      </c>
      <c r="AC943">
        <v>45900</v>
      </c>
      <c r="AD943">
        <v>0.65763888888888888</v>
      </c>
      <c r="AE943" t="str">
        <v>Poblado</v>
      </c>
      <c r="AF943" t="str">
        <v>Recoge</v>
      </c>
      <c r="AG943" t="str">
        <v>Pasta</v>
      </c>
      <c r="AH943">
        <v>2</v>
      </c>
      <c r="AI943">
        <v>57457.06</v>
      </c>
      <c r="AJ943">
        <v>4954.5600000000004</v>
      </c>
      <c r="AK943">
        <v>20</v>
      </c>
      <c r="AL943">
        <v>36</v>
      </c>
      <c r="AM943" t="str">
        <v>App</v>
      </c>
      <c r="AN943" t="str">
        <v>Reembolsada</v>
      </c>
      <c r="AO943">
        <v>4</v>
      </c>
    </row>
    <row r="944" spans="1:41" x14ac:dyDescent="0.3">
      <c r="A944" t="s">
        <v>982</v>
      </c>
      <c r="B944" s="8">
        <v>45901</v>
      </c>
      <c r="C944" s="2">
        <v>0.70416666666666672</v>
      </c>
      <c r="D944" t="s">
        <v>27</v>
      </c>
      <c r="E944" t="s">
        <v>16</v>
      </c>
      <c r="F944" t="s">
        <v>29</v>
      </c>
      <c r="G944">
        <v>3</v>
      </c>
      <c r="H944" s="6">
        <v>52961.53</v>
      </c>
      <c r="I944" s="6">
        <v>3264.75</v>
      </c>
      <c r="J944">
        <v>15</v>
      </c>
      <c r="K944">
        <v>30</v>
      </c>
      <c r="L944" t="s">
        <v>18</v>
      </c>
      <c r="M944" t="s">
        <v>19</v>
      </c>
      <c r="N944">
        <v>4</v>
      </c>
      <c r="O944" s="4"/>
      <c r="P944" s="4" t="str">
        <f>IF(Data_Set_2[[#This Row],[valor_bruto]]&gt;$W$13,"OUTLIER+","")</f>
        <v/>
      </c>
      <c r="Q944" s="4" t="str">
        <f>IF(Data_Set_2[[#This Row],[valor_bruto]]&lt;$W$14,"OUTLIER-","")</f>
        <v/>
      </c>
      <c r="R944" s="4"/>
      <c r="S944" s="4"/>
      <c r="T944">
        <v>1</v>
      </c>
      <c r="U944">
        <v>15</v>
      </c>
      <c r="V944">
        <v>2026</v>
      </c>
      <c r="W944" s="1">
        <f t="shared" si="0"/>
        <v>46037</v>
      </c>
      <c r="AB944" t="str">
        <v>RES-100942</v>
      </c>
      <c r="AC944">
        <v>45901</v>
      </c>
      <c r="AD944">
        <v>0.70416666666666672</v>
      </c>
      <c r="AE944" t="str">
        <v>Centro</v>
      </c>
      <c r="AF944" t="str">
        <v>Mesa</v>
      </c>
      <c r="AG944" t="str">
        <v>Parrilla</v>
      </c>
      <c r="AH944">
        <v>3</v>
      </c>
      <c r="AI944">
        <v>52961.53</v>
      </c>
      <c r="AJ944">
        <v>3264.75</v>
      </c>
      <c r="AK944">
        <v>15</v>
      </c>
      <c r="AL944">
        <v>30</v>
      </c>
      <c r="AM944" t="str">
        <v>Tarjeta</v>
      </c>
      <c r="AN944" t="str">
        <v>Entregada</v>
      </c>
      <c r="AO944">
        <v>4</v>
      </c>
    </row>
    <row r="945" spans="1:41" x14ac:dyDescent="0.3">
      <c r="A945" t="s">
        <v>983</v>
      </c>
      <c r="B945" s="8">
        <v>45902</v>
      </c>
      <c r="C945" s="2">
        <v>0.70902777777777781</v>
      </c>
      <c r="D945" t="s">
        <v>33</v>
      </c>
      <c r="E945" t="s">
        <v>22</v>
      </c>
      <c r="F945" t="s">
        <v>34</v>
      </c>
      <c r="G945">
        <v>6</v>
      </c>
      <c r="H945" s="6">
        <v>64935.51</v>
      </c>
      <c r="I945" s="6">
        <v>4731.6000000000004</v>
      </c>
      <c r="J945">
        <v>30</v>
      </c>
      <c r="K945">
        <v>23</v>
      </c>
      <c r="L945" t="s">
        <v>24</v>
      </c>
      <c r="M945" t="s">
        <v>25</v>
      </c>
      <c r="N945">
        <v>3</v>
      </c>
      <c r="O945" s="4"/>
      <c r="P945" s="4" t="str">
        <f>IF(Data_Set_2[[#This Row],[valor_bruto]]&gt;$W$13,"OUTLIER+","")</f>
        <v/>
      </c>
      <c r="Q945" s="4" t="str">
        <f>IF(Data_Set_2[[#This Row],[valor_bruto]]&lt;$W$14,"OUTLIER-","")</f>
        <v/>
      </c>
      <c r="R945" s="4"/>
      <c r="S945" s="4"/>
      <c r="T945">
        <v>1</v>
      </c>
      <c r="U945">
        <v>16</v>
      </c>
      <c r="V945">
        <v>2026</v>
      </c>
      <c r="W945" s="1">
        <f t="shared" si="0"/>
        <v>46038</v>
      </c>
      <c r="AB945" t="str">
        <v>RES-100943</v>
      </c>
      <c r="AC945">
        <v>45902</v>
      </c>
      <c r="AD945">
        <v>0.70902777777777781</v>
      </c>
      <c r="AE945" t="str">
        <v>Envigado</v>
      </c>
      <c r="AF945" t="str">
        <v>Domicilio</v>
      </c>
      <c r="AG945" t="str">
        <v>Vegano</v>
      </c>
      <c r="AH945">
        <v>6</v>
      </c>
      <c r="AI945">
        <v>64935.51</v>
      </c>
      <c r="AJ945">
        <v>4731.6000000000004</v>
      </c>
      <c r="AK945">
        <v>30</v>
      </c>
      <c r="AL945">
        <v>23</v>
      </c>
      <c r="AM945" t="str">
        <v>Efectivo</v>
      </c>
      <c r="AN945" t="str">
        <v>Cancelada</v>
      </c>
      <c r="AO945">
        <v>3</v>
      </c>
    </row>
    <row r="946" spans="1:41" x14ac:dyDescent="0.3">
      <c r="A946" t="s">
        <v>984</v>
      </c>
      <c r="B946" s="8">
        <v>45725</v>
      </c>
      <c r="C946" s="2">
        <v>0.75555555555555554</v>
      </c>
      <c r="D946" t="s">
        <v>15</v>
      </c>
      <c r="E946" t="s">
        <v>28</v>
      </c>
      <c r="F946" t="s">
        <v>36</v>
      </c>
      <c r="G946">
        <v>5</v>
      </c>
      <c r="H946" s="6">
        <v>64667.74</v>
      </c>
      <c r="I946" s="6">
        <v>2075.89</v>
      </c>
      <c r="J946">
        <v>28</v>
      </c>
      <c r="K946">
        <v>44</v>
      </c>
      <c r="L946" t="s">
        <v>30</v>
      </c>
      <c r="M946" t="s">
        <v>31</v>
      </c>
      <c r="N946">
        <v>4</v>
      </c>
      <c r="O946" s="4"/>
      <c r="P946" s="4" t="str">
        <f>IF(Data_Set_2[[#This Row],[valor_bruto]]&gt;$W$13,"OUTLIER+","")</f>
        <v/>
      </c>
      <c r="Q946" s="4" t="str">
        <f>IF(Data_Set_2[[#This Row],[valor_bruto]]&lt;$W$14,"OUTLIER-","")</f>
        <v/>
      </c>
      <c r="R946" s="4"/>
      <c r="S946" s="4"/>
      <c r="T946">
        <v>1</v>
      </c>
      <c r="U946">
        <v>17</v>
      </c>
      <c r="V946">
        <v>2026</v>
      </c>
      <c r="W946" s="1">
        <f t="shared" si="0"/>
        <v>46039</v>
      </c>
      <c r="AB946" t="str">
        <v>RES-100944</v>
      </c>
      <c r="AC946">
        <v>45725</v>
      </c>
      <c r="AD946">
        <v>0.75555555555555554</v>
      </c>
      <c r="AE946" t="str">
        <v>Laureles</v>
      </c>
      <c r="AF946" t="str">
        <v>Recoge</v>
      </c>
      <c r="AG946" t="str">
        <v>Bebidas</v>
      </c>
      <c r="AH946">
        <v>5</v>
      </c>
      <c r="AI946">
        <v>64667.74</v>
      </c>
      <c r="AJ946">
        <v>2075.89</v>
      </c>
      <c r="AK946">
        <v>28</v>
      </c>
      <c r="AL946">
        <v>44</v>
      </c>
      <c r="AM946" t="str">
        <v>App</v>
      </c>
      <c r="AN946" t="str">
        <v>Reembolsada</v>
      </c>
      <c r="AO946">
        <v>4</v>
      </c>
    </row>
    <row r="947" spans="1:41" x14ac:dyDescent="0.3">
      <c r="A947" t="s">
        <v>985</v>
      </c>
      <c r="B947" s="8">
        <v>45904</v>
      </c>
      <c r="C947" s="2">
        <v>0.80208333333333337</v>
      </c>
      <c r="D947" t="s">
        <v>21</v>
      </c>
      <c r="E947" t="s">
        <v>16</v>
      </c>
      <c r="F947" t="s">
        <v>17</v>
      </c>
      <c r="G947">
        <v>6</v>
      </c>
      <c r="H947" s="6">
        <v>27277.1</v>
      </c>
      <c r="I947" s="6">
        <v>4634.4799999999996</v>
      </c>
      <c r="J947">
        <v>18</v>
      </c>
      <c r="K947">
        <v>39</v>
      </c>
      <c r="L947" t="s">
        <v>18</v>
      </c>
      <c r="M947" t="s">
        <v>19</v>
      </c>
      <c r="N947">
        <v>5</v>
      </c>
      <c r="O947" s="4"/>
      <c r="P947" s="4" t="str">
        <f>IF(Data_Set_2[[#This Row],[valor_bruto]]&gt;$W$13,"OUTLIER+","")</f>
        <v/>
      </c>
      <c r="Q947" s="4" t="str">
        <f>IF(Data_Set_2[[#This Row],[valor_bruto]]&lt;$W$14,"OUTLIER-","")</f>
        <v/>
      </c>
      <c r="R947" s="4"/>
      <c r="S947" s="4"/>
      <c r="T947">
        <v>1</v>
      </c>
      <c r="U947">
        <v>18</v>
      </c>
      <c r="V947">
        <v>2026</v>
      </c>
      <c r="W947" s="1">
        <f t="shared" si="0"/>
        <v>46040</v>
      </c>
      <c r="AB947" t="str">
        <v>RES-100945</v>
      </c>
      <c r="AC947">
        <v>45904</v>
      </c>
      <c r="AD947">
        <v>0.80208333333333337</v>
      </c>
      <c r="AE947" t="str">
        <v>Poblado</v>
      </c>
      <c r="AF947" t="str">
        <v>Mesa</v>
      </c>
      <c r="AG947" t="str">
        <v>Comida rapida</v>
      </c>
      <c r="AH947">
        <v>6</v>
      </c>
      <c r="AI947">
        <v>27277.1</v>
      </c>
      <c r="AJ947">
        <v>4634.4799999999996</v>
      </c>
      <c r="AK947">
        <v>18</v>
      </c>
      <c r="AL947">
        <v>39</v>
      </c>
      <c r="AM947" t="str">
        <v>Tarjeta</v>
      </c>
      <c r="AN947" t="str">
        <v>Entregada</v>
      </c>
      <c r="AO947">
        <v>5</v>
      </c>
    </row>
    <row r="948" spans="1:41" x14ac:dyDescent="0.3">
      <c r="A948" t="s">
        <v>986</v>
      </c>
      <c r="B948" s="8">
        <v>45905</v>
      </c>
      <c r="C948" s="2">
        <v>0.84861111111111109</v>
      </c>
      <c r="D948" t="s">
        <v>27</v>
      </c>
      <c r="E948" t="s">
        <v>22</v>
      </c>
      <c r="F948" t="s">
        <v>23</v>
      </c>
      <c r="G948">
        <v>3</v>
      </c>
      <c r="H948" s="6">
        <v>34317.360000000001</v>
      </c>
      <c r="I948" s="6">
        <v>7016.08</v>
      </c>
      <c r="J948">
        <v>20</v>
      </c>
      <c r="K948">
        <v>32</v>
      </c>
      <c r="L948" t="s">
        <v>24</v>
      </c>
      <c r="M948" t="s">
        <v>25</v>
      </c>
      <c r="N948">
        <v>5</v>
      </c>
      <c r="O948" s="4"/>
      <c r="P948" s="4" t="str">
        <f>IF(Data_Set_2[[#This Row],[valor_bruto]]&gt;$W$13,"OUTLIER+","")</f>
        <v/>
      </c>
      <c r="Q948" s="4" t="str">
        <f>IF(Data_Set_2[[#This Row],[valor_bruto]]&lt;$W$14,"OUTLIER-","")</f>
        <v/>
      </c>
      <c r="R948" s="4"/>
      <c r="S948" s="4"/>
      <c r="T948">
        <v>1</v>
      </c>
      <c r="U948">
        <v>19</v>
      </c>
      <c r="V948">
        <v>2026</v>
      </c>
      <c r="W948" s="1">
        <f t="shared" si="0"/>
        <v>46041</v>
      </c>
      <c r="AB948" t="str">
        <v>RES-100946</v>
      </c>
      <c r="AC948">
        <v>45905</v>
      </c>
      <c r="AD948">
        <v>0.84861111111111109</v>
      </c>
      <c r="AE948" t="str">
        <v>Centro</v>
      </c>
      <c r="AF948" t="str">
        <v>Domicilio</v>
      </c>
      <c r="AG948" t="str">
        <v>Pasta</v>
      </c>
      <c r="AH948">
        <v>3</v>
      </c>
      <c r="AI948">
        <v>34317.360000000001</v>
      </c>
      <c r="AJ948">
        <v>7016.08</v>
      </c>
      <c r="AK948">
        <v>20</v>
      </c>
      <c r="AL948">
        <v>32</v>
      </c>
      <c r="AM948" t="str">
        <v>Efectivo</v>
      </c>
      <c r="AN948" t="str">
        <v>Cancelada</v>
      </c>
      <c r="AO948">
        <v>5</v>
      </c>
    </row>
    <row r="949" spans="1:41" x14ac:dyDescent="0.3">
      <c r="A949" t="s">
        <v>987</v>
      </c>
      <c r="B949" s="8">
        <v>45817</v>
      </c>
      <c r="C949" s="2">
        <v>0.89513888888888893</v>
      </c>
      <c r="D949" t="s">
        <v>33</v>
      </c>
      <c r="E949" t="s">
        <v>28</v>
      </c>
      <c r="F949" t="s">
        <v>29</v>
      </c>
      <c r="G949">
        <v>4</v>
      </c>
      <c r="H949" s="6">
        <v>36599.43</v>
      </c>
      <c r="I949" s="6">
        <v>6657.16</v>
      </c>
      <c r="J949">
        <v>13</v>
      </c>
      <c r="K949">
        <v>27</v>
      </c>
      <c r="L949" t="s">
        <v>30</v>
      </c>
      <c r="M949" t="s">
        <v>31</v>
      </c>
      <c r="N949">
        <v>4</v>
      </c>
      <c r="O949" s="4"/>
      <c r="P949" s="4" t="str">
        <f>IF(Data_Set_2[[#This Row],[valor_bruto]]&gt;$W$13,"OUTLIER+","")</f>
        <v/>
      </c>
      <c r="Q949" s="4" t="str">
        <f>IF(Data_Set_2[[#This Row],[valor_bruto]]&lt;$W$14,"OUTLIER-","")</f>
        <v/>
      </c>
      <c r="R949" s="4"/>
      <c r="S949" s="4"/>
      <c r="T949">
        <v>1</v>
      </c>
      <c r="U949">
        <v>20</v>
      </c>
      <c r="V949">
        <v>2026</v>
      </c>
      <c r="W949" s="1">
        <f t="shared" si="0"/>
        <v>46042</v>
      </c>
      <c r="AB949" t="str">
        <v>RES-100947</v>
      </c>
      <c r="AC949">
        <v>45817</v>
      </c>
      <c r="AD949">
        <v>0.89513888888888893</v>
      </c>
      <c r="AE949" t="str">
        <v>Envigado</v>
      </c>
      <c r="AF949" t="str">
        <v>Recoge</v>
      </c>
      <c r="AG949" t="str">
        <v>Parrilla</v>
      </c>
      <c r="AH949">
        <v>4</v>
      </c>
      <c r="AI949">
        <v>36599.43</v>
      </c>
      <c r="AJ949">
        <v>6657.16</v>
      </c>
      <c r="AK949">
        <v>13</v>
      </c>
      <c r="AL949">
        <v>27</v>
      </c>
      <c r="AM949" t="str">
        <v>App</v>
      </c>
      <c r="AN949" t="str">
        <v>Reembolsada</v>
      </c>
      <c r="AO949">
        <v>4</v>
      </c>
    </row>
    <row r="950" spans="1:41" x14ac:dyDescent="0.3">
      <c r="A950" t="s">
        <v>988</v>
      </c>
      <c r="B950" s="8">
        <v>45907</v>
      </c>
      <c r="C950" s="2">
        <v>0.44166666666666665</v>
      </c>
      <c r="D950" t="s">
        <v>15</v>
      </c>
      <c r="E950" t="s">
        <v>16</v>
      </c>
      <c r="F950" t="s">
        <v>34</v>
      </c>
      <c r="G950">
        <v>4</v>
      </c>
      <c r="H950" s="6">
        <v>44515.17</v>
      </c>
      <c r="I950" s="6">
        <v>3914.09</v>
      </c>
      <c r="J950">
        <v>16</v>
      </c>
      <c r="K950">
        <v>30</v>
      </c>
      <c r="L950" t="s">
        <v>18</v>
      </c>
      <c r="M950" t="s">
        <v>19</v>
      </c>
      <c r="N950">
        <v>4</v>
      </c>
      <c r="O950" s="4"/>
      <c r="P950" s="4" t="str">
        <f>IF(Data_Set_2[[#This Row],[valor_bruto]]&gt;$W$13,"OUTLIER+","")</f>
        <v/>
      </c>
      <c r="Q950" s="4" t="str">
        <f>IF(Data_Set_2[[#This Row],[valor_bruto]]&lt;$W$14,"OUTLIER-","")</f>
        <v/>
      </c>
      <c r="R950" s="4"/>
      <c r="S950" s="4"/>
      <c r="T950">
        <v>1</v>
      </c>
      <c r="U950">
        <v>21</v>
      </c>
      <c r="V950">
        <v>2026</v>
      </c>
      <c r="W950" s="1">
        <f t="shared" si="0"/>
        <v>46043</v>
      </c>
      <c r="AB950" t="str">
        <v>RES-100948</v>
      </c>
      <c r="AC950">
        <v>45907</v>
      </c>
      <c r="AD950">
        <v>0.44166666666666665</v>
      </c>
      <c r="AE950" t="str">
        <v>Laureles</v>
      </c>
      <c r="AF950" t="str">
        <v>Mesa</v>
      </c>
      <c r="AG950" t="str">
        <v>Vegano</v>
      </c>
      <c r="AH950">
        <v>4</v>
      </c>
      <c r="AI950">
        <v>44515.17</v>
      </c>
      <c r="AJ950">
        <v>3914.09</v>
      </c>
      <c r="AK950">
        <v>16</v>
      </c>
      <c r="AL950">
        <v>30</v>
      </c>
      <c r="AM950" t="str">
        <v>Tarjeta</v>
      </c>
      <c r="AN950" t="str">
        <v>Entregada</v>
      </c>
      <c r="AO950">
        <v>4</v>
      </c>
    </row>
    <row r="951" spans="1:41" x14ac:dyDescent="0.3">
      <c r="A951" t="s">
        <v>989</v>
      </c>
      <c r="B951" s="8">
        <v>45908</v>
      </c>
      <c r="C951" s="2">
        <v>0.48819444444444443</v>
      </c>
      <c r="D951" t="s">
        <v>21</v>
      </c>
      <c r="E951" t="s">
        <v>22</v>
      </c>
      <c r="F951" t="s">
        <v>36</v>
      </c>
      <c r="G951">
        <v>2</v>
      </c>
      <c r="H951" s="6">
        <v>49372.99</v>
      </c>
      <c r="I951" s="6">
        <v>6208.29</v>
      </c>
      <c r="J951">
        <v>20</v>
      </c>
      <c r="K951">
        <v>53</v>
      </c>
      <c r="L951" t="s">
        <v>24</v>
      </c>
      <c r="M951" t="s">
        <v>25</v>
      </c>
      <c r="N951">
        <v>3</v>
      </c>
      <c r="O951" s="4"/>
      <c r="P951" s="4" t="str">
        <f>IF(Data_Set_2[[#This Row],[valor_bruto]]&gt;$W$13,"OUTLIER+","")</f>
        <v/>
      </c>
      <c r="Q951" s="4" t="str">
        <f>IF(Data_Set_2[[#This Row],[valor_bruto]]&lt;$W$14,"OUTLIER-","")</f>
        <v/>
      </c>
      <c r="R951" s="4"/>
      <c r="S951" s="4"/>
      <c r="T951">
        <v>1</v>
      </c>
      <c r="U951">
        <v>22</v>
      </c>
      <c r="V951">
        <v>2026</v>
      </c>
      <c r="W951" s="1">
        <f t="shared" si="0"/>
        <v>46044</v>
      </c>
      <c r="AB951" t="str">
        <v>RES-100949</v>
      </c>
      <c r="AC951">
        <v>45908</v>
      </c>
      <c r="AD951">
        <v>0.48819444444444443</v>
      </c>
      <c r="AE951" t="str">
        <v>Poblado</v>
      </c>
      <c r="AF951" t="str">
        <v>Domicilio</v>
      </c>
      <c r="AG951" t="str">
        <v>Bebidas</v>
      </c>
      <c r="AH951">
        <v>2</v>
      </c>
      <c r="AI951">
        <v>49372.99</v>
      </c>
      <c r="AJ951">
        <v>6208.29</v>
      </c>
      <c r="AK951">
        <v>20</v>
      </c>
      <c r="AL951">
        <v>53</v>
      </c>
      <c r="AM951" t="str">
        <v>Efectivo</v>
      </c>
      <c r="AN951" t="str">
        <v>Cancelada</v>
      </c>
      <c r="AO951">
        <v>3</v>
      </c>
    </row>
    <row r="952" spans="1:41" x14ac:dyDescent="0.3">
      <c r="A952" t="s">
        <v>990</v>
      </c>
      <c r="B952" s="8">
        <v>45909</v>
      </c>
      <c r="C952" s="2">
        <v>0.53472222222222221</v>
      </c>
      <c r="D952" t="s">
        <v>27</v>
      </c>
      <c r="E952" t="s">
        <v>28</v>
      </c>
      <c r="F952" t="s">
        <v>17</v>
      </c>
      <c r="G952">
        <v>6</v>
      </c>
      <c r="H952" s="6">
        <v>64826.62</v>
      </c>
      <c r="I952" s="6">
        <v>2057.5500000000002</v>
      </c>
      <c r="J952">
        <v>27</v>
      </c>
      <c r="K952">
        <v>34</v>
      </c>
      <c r="L952" t="s">
        <v>30</v>
      </c>
      <c r="M952" t="s">
        <v>31</v>
      </c>
      <c r="N952">
        <v>3</v>
      </c>
      <c r="O952" s="4"/>
      <c r="P952" s="4" t="str">
        <f>IF(Data_Set_2[[#This Row],[valor_bruto]]&gt;$W$13,"OUTLIER+","")</f>
        <v/>
      </c>
      <c r="Q952" s="4" t="str">
        <f>IF(Data_Set_2[[#This Row],[valor_bruto]]&lt;$W$14,"OUTLIER-","")</f>
        <v/>
      </c>
      <c r="R952" s="4"/>
      <c r="S952" s="4"/>
      <c r="T952">
        <v>1</v>
      </c>
      <c r="U952">
        <v>23</v>
      </c>
      <c r="V952">
        <v>2026</v>
      </c>
      <c r="W952" s="1">
        <f t="shared" si="0"/>
        <v>46045</v>
      </c>
      <c r="AB952" t="str">
        <v>RES-100950</v>
      </c>
      <c r="AC952">
        <v>45909</v>
      </c>
      <c r="AD952">
        <v>0.53472222222222221</v>
      </c>
      <c r="AE952" t="str">
        <v>Centro</v>
      </c>
      <c r="AF952" t="str">
        <v>Recoge</v>
      </c>
      <c r="AG952" t="str">
        <v>Comida rapida</v>
      </c>
      <c r="AH952">
        <v>6</v>
      </c>
      <c r="AI952">
        <v>64826.62</v>
      </c>
      <c r="AJ952">
        <v>2057.5500000000002</v>
      </c>
      <c r="AK952">
        <v>27</v>
      </c>
      <c r="AL952">
        <v>34</v>
      </c>
      <c r="AM952" t="str">
        <v>App</v>
      </c>
      <c r="AN952" t="str">
        <v>Reembolsada</v>
      </c>
      <c r="AO952">
        <v>3</v>
      </c>
    </row>
    <row r="953" spans="1:41" x14ac:dyDescent="0.3">
      <c r="A953" t="s">
        <v>991</v>
      </c>
      <c r="B953" s="8">
        <v>45910</v>
      </c>
      <c r="C953" s="2">
        <v>0.58125000000000004</v>
      </c>
      <c r="D953" t="s">
        <v>33</v>
      </c>
      <c r="E953" t="s">
        <v>16</v>
      </c>
      <c r="F953" t="s">
        <v>23</v>
      </c>
      <c r="G953">
        <v>6</v>
      </c>
      <c r="H953" s="6">
        <v>50220.54</v>
      </c>
      <c r="I953" s="6">
        <v>5997.6</v>
      </c>
      <c r="J953">
        <v>29</v>
      </c>
      <c r="K953">
        <v>25</v>
      </c>
      <c r="L953" t="s">
        <v>18</v>
      </c>
      <c r="M953" t="s">
        <v>19</v>
      </c>
      <c r="N953">
        <v>3</v>
      </c>
      <c r="O953" s="4"/>
      <c r="P953" s="4" t="str">
        <f>IF(Data_Set_2[[#This Row],[valor_bruto]]&gt;$W$13,"OUTLIER+","")</f>
        <v/>
      </c>
      <c r="Q953" s="4" t="str">
        <f>IF(Data_Set_2[[#This Row],[valor_bruto]]&lt;$W$14,"OUTLIER-","")</f>
        <v/>
      </c>
      <c r="R953" s="4"/>
      <c r="S953" s="4"/>
      <c r="T953">
        <v>1</v>
      </c>
      <c r="U953">
        <v>24</v>
      </c>
      <c r="V953">
        <v>2026</v>
      </c>
      <c r="W953" s="1">
        <f t="shared" si="0"/>
        <v>46046</v>
      </c>
      <c r="AB953" t="str">
        <v>RES-100951</v>
      </c>
      <c r="AC953">
        <v>45910</v>
      </c>
      <c r="AD953">
        <v>0.58125000000000004</v>
      </c>
      <c r="AE953" t="str">
        <v>Envigado</v>
      </c>
      <c r="AF953" t="str">
        <v>Mesa</v>
      </c>
      <c r="AG953" t="str">
        <v>Pasta</v>
      </c>
      <c r="AH953">
        <v>6</v>
      </c>
      <c r="AI953">
        <v>50220.54</v>
      </c>
      <c r="AJ953">
        <v>5997.6</v>
      </c>
      <c r="AK953">
        <v>29</v>
      </c>
      <c r="AL953">
        <v>25</v>
      </c>
      <c r="AM953" t="str">
        <v>Tarjeta</v>
      </c>
      <c r="AN953" t="str">
        <v>Entregada</v>
      </c>
      <c r="AO953">
        <v>3</v>
      </c>
    </row>
    <row r="954" spans="1:41" x14ac:dyDescent="0.3">
      <c r="A954" t="s">
        <v>992</v>
      </c>
      <c r="B954" s="8">
        <v>45911</v>
      </c>
      <c r="C954" s="2">
        <v>0.58611111111111114</v>
      </c>
      <c r="D954" t="s">
        <v>15</v>
      </c>
      <c r="E954" t="s">
        <v>22</v>
      </c>
      <c r="F954" t="s">
        <v>29</v>
      </c>
      <c r="G954">
        <v>6</v>
      </c>
      <c r="H954" s="6">
        <v>62155.199999999997</v>
      </c>
      <c r="I954" s="6">
        <v>2140.4299999999998</v>
      </c>
      <c r="J954">
        <v>31</v>
      </c>
      <c r="K954">
        <v>52</v>
      </c>
      <c r="L954" t="s">
        <v>24</v>
      </c>
      <c r="M954" t="s">
        <v>25</v>
      </c>
      <c r="N954">
        <v>4</v>
      </c>
      <c r="O954" s="4"/>
      <c r="P954" s="4" t="str">
        <f>IF(Data_Set_2[[#This Row],[valor_bruto]]&gt;$W$13,"OUTLIER+","")</f>
        <v/>
      </c>
      <c r="Q954" s="4" t="str">
        <f>IF(Data_Set_2[[#This Row],[valor_bruto]]&lt;$W$14,"OUTLIER-","")</f>
        <v/>
      </c>
      <c r="R954" s="4"/>
      <c r="S954" s="4"/>
      <c r="T954">
        <v>1</v>
      </c>
      <c r="U954">
        <v>25</v>
      </c>
      <c r="V954">
        <v>2026</v>
      </c>
      <c r="W954" s="1">
        <f t="shared" si="0"/>
        <v>46047</v>
      </c>
      <c r="AB954" t="str">
        <v>RES-100952</v>
      </c>
      <c r="AC954">
        <v>45911</v>
      </c>
      <c r="AD954">
        <v>0.58611111111111114</v>
      </c>
      <c r="AE954" t="str">
        <v>Laureles</v>
      </c>
      <c r="AF954" t="str">
        <v>Domicilio</v>
      </c>
      <c r="AG954" t="str">
        <v>Parrilla</v>
      </c>
      <c r="AH954">
        <v>6</v>
      </c>
      <c r="AI954">
        <v>62155.199999999997</v>
      </c>
      <c r="AJ954">
        <v>2140.4299999999998</v>
      </c>
      <c r="AK954">
        <v>31</v>
      </c>
      <c r="AL954">
        <v>52</v>
      </c>
      <c r="AM954" t="str">
        <v>Efectivo</v>
      </c>
      <c r="AN954" t="str">
        <v>Cancelada</v>
      </c>
      <c r="AO954">
        <v>4</v>
      </c>
    </row>
    <row r="955" spans="1:41" x14ac:dyDescent="0.3">
      <c r="A955" t="s">
        <v>993</v>
      </c>
      <c r="B955" s="8">
        <v>46000</v>
      </c>
      <c r="C955" s="2">
        <v>0.63263888888888886</v>
      </c>
      <c r="D955" t="s">
        <v>21</v>
      </c>
      <c r="E955" t="s">
        <v>28</v>
      </c>
      <c r="F955" t="s">
        <v>34</v>
      </c>
      <c r="G955">
        <v>4</v>
      </c>
      <c r="H955" s="6">
        <v>37404.959999999999</v>
      </c>
      <c r="I955" s="6">
        <v>8110.69</v>
      </c>
      <c r="J955">
        <v>29</v>
      </c>
      <c r="K955">
        <v>44</v>
      </c>
      <c r="L955" t="s">
        <v>30</v>
      </c>
      <c r="M955" t="s">
        <v>31</v>
      </c>
      <c r="N955">
        <v>4</v>
      </c>
      <c r="O955" s="4"/>
      <c r="P955" s="4" t="str">
        <f>IF(Data_Set_2[[#This Row],[valor_bruto]]&gt;$W$13,"OUTLIER+","")</f>
        <v/>
      </c>
      <c r="Q955" s="4" t="str">
        <f>IF(Data_Set_2[[#This Row],[valor_bruto]]&lt;$W$14,"OUTLIER-","")</f>
        <v/>
      </c>
      <c r="R955" s="4"/>
      <c r="S955" s="4"/>
      <c r="T955">
        <v>1</v>
      </c>
      <c r="U955">
        <v>26</v>
      </c>
      <c r="V955">
        <v>2026</v>
      </c>
      <c r="W955" s="1">
        <f t="shared" si="0"/>
        <v>46048</v>
      </c>
      <c r="AB955" t="str">
        <v>RES-100953</v>
      </c>
      <c r="AC955">
        <v>46000</v>
      </c>
      <c r="AD955">
        <v>0.63263888888888886</v>
      </c>
      <c r="AE955" t="str">
        <v>Poblado</v>
      </c>
      <c r="AF955" t="str">
        <v>Recoge</v>
      </c>
      <c r="AG955" t="str">
        <v>Vegano</v>
      </c>
      <c r="AH955">
        <v>4</v>
      </c>
      <c r="AI955">
        <v>37404.959999999999</v>
      </c>
      <c r="AJ955">
        <v>8110.69</v>
      </c>
      <c r="AK955">
        <v>29</v>
      </c>
      <c r="AL955">
        <v>44</v>
      </c>
      <c r="AM955" t="str">
        <v>App</v>
      </c>
      <c r="AN955" t="str">
        <v>Reembolsada</v>
      </c>
      <c r="AO955">
        <v>4</v>
      </c>
    </row>
    <row r="956" spans="1:41" x14ac:dyDescent="0.3">
      <c r="A956" t="s">
        <v>994</v>
      </c>
      <c r="B956" s="8">
        <v>45913</v>
      </c>
      <c r="C956" s="2">
        <v>0.6791666666666667</v>
      </c>
      <c r="D956" t="s">
        <v>27</v>
      </c>
      <c r="E956" t="s">
        <v>16</v>
      </c>
      <c r="F956" t="s">
        <v>36</v>
      </c>
      <c r="G956">
        <v>4</v>
      </c>
      <c r="H956" s="6">
        <v>64368.59</v>
      </c>
      <c r="I956" s="6">
        <v>3071.1</v>
      </c>
      <c r="J956">
        <v>13</v>
      </c>
      <c r="K956">
        <v>26</v>
      </c>
      <c r="L956" t="s">
        <v>18</v>
      </c>
      <c r="M956" t="s">
        <v>19</v>
      </c>
      <c r="N956">
        <v>4</v>
      </c>
      <c r="O956" s="4"/>
      <c r="P956" s="4" t="str">
        <f>IF(Data_Set_2[[#This Row],[valor_bruto]]&gt;$W$13,"OUTLIER+","")</f>
        <v/>
      </c>
      <c r="Q956" s="4" t="str">
        <f>IF(Data_Set_2[[#This Row],[valor_bruto]]&lt;$W$14,"OUTLIER-","")</f>
        <v/>
      </c>
      <c r="R956" s="4"/>
      <c r="S956" s="4"/>
      <c r="T956">
        <v>1</v>
      </c>
      <c r="U956">
        <v>27</v>
      </c>
      <c r="V956">
        <v>2026</v>
      </c>
      <c r="W956" s="1">
        <f t="shared" si="0"/>
        <v>46049</v>
      </c>
      <c r="AB956" t="str">
        <v>RES-100954</v>
      </c>
      <c r="AC956">
        <v>45913</v>
      </c>
      <c r="AD956">
        <v>0.6791666666666667</v>
      </c>
      <c r="AE956" t="str">
        <v>Centro</v>
      </c>
      <c r="AF956" t="str">
        <v>Mesa</v>
      </c>
      <c r="AG956" t="str">
        <v>Bebidas</v>
      </c>
      <c r="AH956">
        <v>4</v>
      </c>
      <c r="AI956">
        <v>64368.59</v>
      </c>
      <c r="AJ956">
        <v>3071.1</v>
      </c>
      <c r="AK956">
        <v>13</v>
      </c>
      <c r="AL956">
        <v>26</v>
      </c>
      <c r="AM956" t="str">
        <v>Tarjeta</v>
      </c>
      <c r="AN956" t="str">
        <v>Entregada</v>
      </c>
      <c r="AO956">
        <v>4</v>
      </c>
    </row>
    <row r="957" spans="1:41" x14ac:dyDescent="0.3">
      <c r="A957" t="s">
        <v>995</v>
      </c>
      <c r="B957" s="8">
        <v>45914</v>
      </c>
      <c r="C957" s="2">
        <v>0.72569444444444442</v>
      </c>
      <c r="D957" t="s">
        <v>33</v>
      </c>
      <c r="E957" t="s">
        <v>22</v>
      </c>
      <c r="F957" t="s">
        <v>17</v>
      </c>
      <c r="G957">
        <v>6</v>
      </c>
      <c r="H957" s="6">
        <v>48482.51</v>
      </c>
      <c r="I957" s="6">
        <v>8092.97</v>
      </c>
      <c r="J957">
        <v>28</v>
      </c>
      <c r="K957">
        <v>26</v>
      </c>
      <c r="L957" t="s">
        <v>24</v>
      </c>
      <c r="M957" t="s">
        <v>25</v>
      </c>
      <c r="N957">
        <v>4</v>
      </c>
      <c r="O957" s="4"/>
      <c r="P957" s="4" t="str">
        <f>IF(Data_Set_2[[#This Row],[valor_bruto]]&gt;$W$13,"OUTLIER+","")</f>
        <v/>
      </c>
      <c r="Q957" s="4" t="str">
        <f>IF(Data_Set_2[[#This Row],[valor_bruto]]&lt;$W$14,"OUTLIER-","")</f>
        <v/>
      </c>
      <c r="R957" s="4"/>
      <c r="S957" s="4"/>
      <c r="T957">
        <v>1</v>
      </c>
      <c r="U957">
        <v>28</v>
      </c>
      <c r="V957">
        <v>2026</v>
      </c>
      <c r="W957" s="1">
        <f t="shared" si="0"/>
        <v>46050</v>
      </c>
      <c r="AB957" t="str">
        <v>RES-100955</v>
      </c>
      <c r="AC957">
        <v>45914</v>
      </c>
      <c r="AD957">
        <v>0.72569444444444442</v>
      </c>
      <c r="AE957" t="str">
        <v>Envigado</v>
      </c>
      <c r="AF957" t="str">
        <v>Domicilio</v>
      </c>
      <c r="AG957" t="str">
        <v>Comida rapida</v>
      </c>
      <c r="AH957">
        <v>6</v>
      </c>
      <c r="AI957">
        <v>48482.51</v>
      </c>
      <c r="AJ957">
        <v>8092.97</v>
      </c>
      <c r="AK957">
        <v>28</v>
      </c>
      <c r="AL957">
        <v>26</v>
      </c>
      <c r="AM957" t="str">
        <v>Efectivo</v>
      </c>
      <c r="AN957" t="str">
        <v>Cancelada</v>
      </c>
      <c r="AO957">
        <v>4</v>
      </c>
    </row>
    <row r="958" spans="1:41" x14ac:dyDescent="0.3">
      <c r="A958" t="s">
        <v>996</v>
      </c>
      <c r="B958" s="8">
        <v>45915</v>
      </c>
      <c r="C958" s="2">
        <v>0.77222222222222225</v>
      </c>
      <c r="D958" t="s">
        <v>15</v>
      </c>
      <c r="E958" t="s">
        <v>28</v>
      </c>
      <c r="F958" t="s">
        <v>23</v>
      </c>
      <c r="G958">
        <v>2</v>
      </c>
      <c r="H958" s="6">
        <v>64269.31</v>
      </c>
      <c r="I958" s="6">
        <v>4981.28</v>
      </c>
      <c r="J958">
        <v>29</v>
      </c>
      <c r="K958">
        <v>51</v>
      </c>
      <c r="L958" t="s">
        <v>30</v>
      </c>
      <c r="M958" t="s">
        <v>31</v>
      </c>
      <c r="N958">
        <v>4</v>
      </c>
      <c r="O958" s="4"/>
      <c r="P958" s="4" t="str">
        <f>IF(Data_Set_2[[#This Row],[valor_bruto]]&gt;$W$13,"OUTLIER+","")</f>
        <v/>
      </c>
      <c r="Q958" s="4" t="str">
        <f>IF(Data_Set_2[[#This Row],[valor_bruto]]&lt;$W$14,"OUTLIER-","")</f>
        <v/>
      </c>
      <c r="R958" s="4"/>
      <c r="S958" s="4"/>
      <c r="T958">
        <v>1</v>
      </c>
      <c r="U958">
        <v>29</v>
      </c>
      <c r="V958">
        <v>2026</v>
      </c>
      <c r="W958" s="1">
        <f t="shared" si="0"/>
        <v>46051</v>
      </c>
      <c r="AB958" t="str">
        <v>RES-100956</v>
      </c>
      <c r="AC958">
        <v>45915</v>
      </c>
      <c r="AD958">
        <v>0.77222222222222225</v>
      </c>
      <c r="AE958" t="str">
        <v>Laureles</v>
      </c>
      <c r="AF958" t="str">
        <v>Recoge</v>
      </c>
      <c r="AG958" t="str">
        <v>Pasta</v>
      </c>
      <c r="AH958">
        <v>2</v>
      </c>
      <c r="AI958">
        <v>64269.31</v>
      </c>
      <c r="AJ958">
        <v>4981.28</v>
      </c>
      <c r="AK958">
        <v>29</v>
      </c>
      <c r="AL958">
        <v>51</v>
      </c>
      <c r="AM958" t="str">
        <v>App</v>
      </c>
      <c r="AN958" t="str">
        <v>Reembolsada</v>
      </c>
      <c r="AO958">
        <v>4</v>
      </c>
    </row>
    <row r="959" spans="1:41" x14ac:dyDescent="0.3">
      <c r="A959" t="s">
        <v>997</v>
      </c>
      <c r="B959" s="8">
        <v>45916</v>
      </c>
      <c r="C959" s="2">
        <v>0.81874999999999998</v>
      </c>
      <c r="D959" t="s">
        <v>21</v>
      </c>
      <c r="E959" t="s">
        <v>16</v>
      </c>
      <c r="F959" t="s">
        <v>29</v>
      </c>
      <c r="G959">
        <v>3</v>
      </c>
      <c r="H959" s="6">
        <v>49634.62</v>
      </c>
      <c r="I959" s="6">
        <v>5388.2</v>
      </c>
      <c r="J959">
        <v>13</v>
      </c>
      <c r="K959">
        <v>46</v>
      </c>
      <c r="L959" t="s">
        <v>18</v>
      </c>
      <c r="M959" t="s">
        <v>19</v>
      </c>
      <c r="N959">
        <v>5</v>
      </c>
      <c r="O959" s="4"/>
      <c r="P959" s="4" t="str">
        <f>IF(Data_Set_2[[#This Row],[valor_bruto]]&gt;$W$13,"OUTLIER+","")</f>
        <v/>
      </c>
      <c r="Q959" s="4" t="str">
        <f>IF(Data_Set_2[[#This Row],[valor_bruto]]&lt;$W$14,"OUTLIER-","")</f>
        <v/>
      </c>
      <c r="R959" s="4"/>
      <c r="S959" s="4"/>
      <c r="T959">
        <v>1</v>
      </c>
      <c r="U959">
        <v>30</v>
      </c>
      <c r="V959">
        <v>2026</v>
      </c>
      <c r="W959" s="1">
        <f t="shared" si="0"/>
        <v>46052</v>
      </c>
      <c r="AB959" t="str">
        <v>RES-100957</v>
      </c>
      <c r="AC959">
        <v>45916</v>
      </c>
      <c r="AD959">
        <v>0.81874999999999998</v>
      </c>
      <c r="AE959" t="str">
        <v>Poblado</v>
      </c>
      <c r="AF959" t="str">
        <v>Mesa</v>
      </c>
      <c r="AG959" t="str">
        <v>Parrilla</v>
      </c>
      <c r="AH959">
        <v>3</v>
      </c>
      <c r="AI959">
        <v>49634.62</v>
      </c>
      <c r="AJ959">
        <v>5388.2</v>
      </c>
      <c r="AK959">
        <v>13</v>
      </c>
      <c r="AL959">
        <v>46</v>
      </c>
      <c r="AM959" t="str">
        <v>Tarjeta</v>
      </c>
      <c r="AN959" t="str">
        <v>Entregada</v>
      </c>
      <c r="AO959">
        <v>5</v>
      </c>
    </row>
    <row r="960" spans="1:41" x14ac:dyDescent="0.3">
      <c r="A960" t="s">
        <v>998</v>
      </c>
      <c r="B960" s="8">
        <v>45917</v>
      </c>
      <c r="C960" s="2">
        <v>0.86527777777777781</v>
      </c>
      <c r="D960" t="s">
        <v>27</v>
      </c>
      <c r="E960" t="s">
        <v>22</v>
      </c>
      <c r="F960" t="s">
        <v>34</v>
      </c>
      <c r="G960">
        <v>5</v>
      </c>
      <c r="H960" s="6">
        <v>66650.63</v>
      </c>
      <c r="I960" s="6">
        <v>5572.99</v>
      </c>
      <c r="J960">
        <v>13</v>
      </c>
      <c r="K960">
        <v>45</v>
      </c>
      <c r="L960" t="s">
        <v>24</v>
      </c>
      <c r="M960" t="s">
        <v>25</v>
      </c>
      <c r="N960">
        <v>3</v>
      </c>
      <c r="O960" s="4"/>
      <c r="P960" s="4" t="str">
        <f>IF(Data_Set_2[[#This Row],[valor_bruto]]&gt;$W$13,"OUTLIER+","")</f>
        <v/>
      </c>
      <c r="Q960" s="4" t="str">
        <f>IF(Data_Set_2[[#This Row],[valor_bruto]]&lt;$W$14,"OUTLIER-","")</f>
        <v/>
      </c>
      <c r="R960" s="4"/>
      <c r="S960" s="4"/>
      <c r="T960">
        <v>1</v>
      </c>
      <c r="U960">
        <v>31</v>
      </c>
      <c r="V960">
        <v>2026</v>
      </c>
      <c r="W960" s="1">
        <f t="shared" si="0"/>
        <v>46053</v>
      </c>
      <c r="AB960" t="str">
        <v>RES-100958</v>
      </c>
      <c r="AC960">
        <v>45917</v>
      </c>
      <c r="AD960">
        <v>0.86527777777777781</v>
      </c>
      <c r="AE960" t="str">
        <v>Centro</v>
      </c>
      <c r="AF960" t="str">
        <v>Domicilio</v>
      </c>
      <c r="AG960" t="str">
        <v>Vegano</v>
      </c>
      <c r="AH960">
        <v>5</v>
      </c>
      <c r="AI960">
        <v>66650.63</v>
      </c>
      <c r="AJ960">
        <v>5572.99</v>
      </c>
      <c r="AK960">
        <v>13</v>
      </c>
      <c r="AL960">
        <v>45</v>
      </c>
      <c r="AM960" t="str">
        <v>Efectivo</v>
      </c>
      <c r="AN960" t="str">
        <v>Cancelada</v>
      </c>
      <c r="AO960">
        <v>3</v>
      </c>
    </row>
    <row r="961" spans="1:41" x14ac:dyDescent="0.3">
      <c r="A961" t="s">
        <v>999</v>
      </c>
      <c r="B961" s="8">
        <v>45918</v>
      </c>
      <c r="C961" s="2">
        <v>0.91180555555555554</v>
      </c>
      <c r="D961" t="s">
        <v>33</v>
      </c>
      <c r="E961" t="s">
        <v>28</v>
      </c>
      <c r="F961" t="s">
        <v>36</v>
      </c>
      <c r="G961">
        <v>3</v>
      </c>
      <c r="H961" s="6">
        <v>67868.02</v>
      </c>
      <c r="I961" s="6">
        <v>6983.78</v>
      </c>
      <c r="J961">
        <v>14</v>
      </c>
      <c r="K961">
        <v>43</v>
      </c>
      <c r="L961" t="s">
        <v>30</v>
      </c>
      <c r="M961" t="s">
        <v>31</v>
      </c>
      <c r="N961">
        <v>5</v>
      </c>
      <c r="O961" s="4"/>
      <c r="P961" s="4" t="str">
        <f>IF(Data_Set_2[[#This Row],[valor_bruto]]&gt;$W$13,"OUTLIER+","")</f>
        <v/>
      </c>
      <c r="Q961" s="4" t="str">
        <f>IF(Data_Set_2[[#This Row],[valor_bruto]]&lt;$W$14,"OUTLIER-","")</f>
        <v/>
      </c>
      <c r="R961" s="4"/>
      <c r="S961" s="4"/>
      <c r="T961">
        <v>2</v>
      </c>
      <c r="U961">
        <v>13</v>
      </c>
      <c r="V961">
        <v>2025</v>
      </c>
      <c r="W961" s="1">
        <f t="shared" si="0"/>
        <v>45701</v>
      </c>
      <c r="AB961" t="str">
        <v>RES-100959</v>
      </c>
      <c r="AC961">
        <v>45918</v>
      </c>
      <c r="AD961">
        <v>0.91180555555555554</v>
      </c>
      <c r="AE961" t="str">
        <v>Envigado</v>
      </c>
      <c r="AF961" t="str">
        <v>Recoge</v>
      </c>
      <c r="AG961" t="str">
        <v>Bebidas</v>
      </c>
      <c r="AH961">
        <v>3</v>
      </c>
      <c r="AI961">
        <v>67868.02</v>
      </c>
      <c r="AJ961">
        <v>6983.78</v>
      </c>
      <c r="AK961">
        <v>14</v>
      </c>
      <c r="AL961">
        <v>43</v>
      </c>
      <c r="AM961" t="str">
        <v>App</v>
      </c>
      <c r="AN961" t="str">
        <v>Reembolsada</v>
      </c>
      <c r="AO961">
        <v>5</v>
      </c>
    </row>
    <row r="962" spans="1:41" x14ac:dyDescent="0.3">
      <c r="A962" t="s">
        <v>1000</v>
      </c>
      <c r="B962" s="8">
        <v>45919</v>
      </c>
      <c r="C962" s="2">
        <v>0.41666666666666669</v>
      </c>
      <c r="D962" t="s">
        <v>15</v>
      </c>
      <c r="E962" t="s">
        <v>16</v>
      </c>
      <c r="F962" t="s">
        <v>17</v>
      </c>
      <c r="G962">
        <v>4</v>
      </c>
      <c r="H962" s="6">
        <v>49740.87</v>
      </c>
      <c r="I962" s="6">
        <v>7577.33</v>
      </c>
      <c r="J962">
        <v>22</v>
      </c>
      <c r="K962">
        <v>38</v>
      </c>
      <c r="L962" t="s">
        <v>18</v>
      </c>
      <c r="M962" t="s">
        <v>19</v>
      </c>
      <c r="N962">
        <v>4</v>
      </c>
      <c r="O962" s="4"/>
      <c r="P962" s="4" t="str">
        <f>IF(Data_Set_2[[#This Row],[valor_bruto]]&gt;$W$13,"OUTLIER+","")</f>
        <v/>
      </c>
      <c r="Q962" s="4" t="str">
        <f>IF(Data_Set_2[[#This Row],[valor_bruto]]&lt;$W$14,"OUTLIER-","")</f>
        <v/>
      </c>
      <c r="R962" s="4"/>
      <c r="S962" s="4"/>
      <c r="T962">
        <v>2</v>
      </c>
      <c r="U962">
        <v>14</v>
      </c>
      <c r="V962">
        <v>2025</v>
      </c>
      <c r="W962" s="1">
        <f t="shared" si="0"/>
        <v>45702</v>
      </c>
      <c r="AB962" t="str">
        <v>RES-100960</v>
      </c>
      <c r="AC962">
        <v>45919</v>
      </c>
      <c r="AD962">
        <v>0.41666666666666669</v>
      </c>
      <c r="AE962" t="str">
        <v>Laureles</v>
      </c>
      <c r="AF962" t="str">
        <v>Mesa</v>
      </c>
      <c r="AG962" t="str">
        <v>Comida rapida</v>
      </c>
      <c r="AH962">
        <v>4</v>
      </c>
      <c r="AI962">
        <v>49740.87</v>
      </c>
      <c r="AJ962">
        <v>7577.33</v>
      </c>
      <c r="AK962">
        <v>22</v>
      </c>
      <c r="AL962">
        <v>38</v>
      </c>
      <c r="AM962" t="str">
        <v>Tarjeta</v>
      </c>
      <c r="AN962" t="str">
        <v>Entregada</v>
      </c>
      <c r="AO962">
        <v>4</v>
      </c>
    </row>
    <row r="963" spans="1:41" x14ac:dyDescent="0.3">
      <c r="A963" t="s">
        <v>1001</v>
      </c>
      <c r="B963" s="8">
        <v>45920</v>
      </c>
      <c r="C963" s="2">
        <v>0.46319444444444446</v>
      </c>
      <c r="D963" t="s">
        <v>21</v>
      </c>
      <c r="E963" t="s">
        <v>22</v>
      </c>
      <c r="F963" t="s">
        <v>23</v>
      </c>
      <c r="G963">
        <v>3</v>
      </c>
      <c r="H963" s="6">
        <v>58662.45</v>
      </c>
      <c r="I963" s="6">
        <v>5935.41</v>
      </c>
      <c r="J963">
        <v>31</v>
      </c>
      <c r="K963">
        <v>28</v>
      </c>
      <c r="L963" t="s">
        <v>24</v>
      </c>
      <c r="M963" t="s">
        <v>25</v>
      </c>
      <c r="N963">
        <v>3</v>
      </c>
      <c r="O963" s="4"/>
      <c r="P963" s="4" t="str">
        <f>IF(Data_Set_2[[#This Row],[valor_bruto]]&gt;$W$13,"OUTLIER+","")</f>
        <v/>
      </c>
      <c r="Q963" s="4" t="str">
        <f>IF(Data_Set_2[[#This Row],[valor_bruto]]&lt;$W$14,"OUTLIER-","")</f>
        <v/>
      </c>
      <c r="R963" s="4"/>
      <c r="S963" s="4"/>
      <c r="T963">
        <v>2</v>
      </c>
      <c r="U963">
        <v>15</v>
      </c>
      <c r="V963">
        <v>2025</v>
      </c>
      <c r="W963" s="1">
        <f t="shared" si="0"/>
        <v>45703</v>
      </c>
      <c r="AB963" t="str">
        <v>RES-100961</v>
      </c>
      <c r="AC963">
        <v>45920</v>
      </c>
      <c r="AD963">
        <v>0.46319444444444446</v>
      </c>
      <c r="AE963" t="str">
        <v>Poblado</v>
      </c>
      <c r="AF963" t="str">
        <v>Domicilio</v>
      </c>
      <c r="AG963" t="str">
        <v>Pasta</v>
      </c>
      <c r="AH963">
        <v>3</v>
      </c>
      <c r="AI963">
        <v>58662.45</v>
      </c>
      <c r="AJ963">
        <v>5935.41</v>
      </c>
      <c r="AK963">
        <v>31</v>
      </c>
      <c r="AL963">
        <v>28</v>
      </c>
      <c r="AM963" t="str">
        <v>Efectivo</v>
      </c>
      <c r="AN963" t="str">
        <v>Cancelada</v>
      </c>
      <c r="AO963">
        <v>3</v>
      </c>
    </row>
    <row r="964" spans="1:41" x14ac:dyDescent="0.3">
      <c r="A964" t="s">
        <v>1002</v>
      </c>
      <c r="B964" s="8">
        <v>45921</v>
      </c>
      <c r="C964" s="2">
        <v>0.50972222222222219</v>
      </c>
      <c r="D964" t="s">
        <v>27</v>
      </c>
      <c r="E964" t="s">
        <v>28</v>
      </c>
      <c r="F964" t="s">
        <v>29</v>
      </c>
      <c r="G964">
        <v>5</v>
      </c>
      <c r="H964" s="6">
        <v>34480.199999999997</v>
      </c>
      <c r="I964" s="6">
        <v>4027.1</v>
      </c>
      <c r="J964">
        <v>22</v>
      </c>
      <c r="K964">
        <v>40</v>
      </c>
      <c r="L964" t="s">
        <v>30</v>
      </c>
      <c r="M964" t="s">
        <v>31</v>
      </c>
      <c r="N964">
        <v>5</v>
      </c>
      <c r="O964" s="4"/>
      <c r="P964" s="4" t="str">
        <f>IF(Data_Set_2[[#This Row],[valor_bruto]]&gt;$W$13,"OUTLIER+","")</f>
        <v/>
      </c>
      <c r="Q964" s="4" t="str">
        <f>IF(Data_Set_2[[#This Row],[valor_bruto]]&lt;$W$14,"OUTLIER-","")</f>
        <v/>
      </c>
      <c r="R964" s="4"/>
      <c r="S964" s="4"/>
      <c r="T964">
        <v>2</v>
      </c>
      <c r="U964">
        <v>15</v>
      </c>
      <c r="V964">
        <v>2025</v>
      </c>
      <c r="W964" s="1">
        <f t="shared" si="0"/>
        <v>45703</v>
      </c>
      <c r="AB964" t="str">
        <v>RES-100962</v>
      </c>
      <c r="AC964">
        <v>45921</v>
      </c>
      <c r="AD964">
        <v>0.50972222222222219</v>
      </c>
      <c r="AE964" t="str">
        <v>Centro</v>
      </c>
      <c r="AF964" t="str">
        <v>Recoge</v>
      </c>
      <c r="AG964" t="str">
        <v>Parrilla</v>
      </c>
      <c r="AH964">
        <v>5</v>
      </c>
      <c r="AI964">
        <v>34480.199999999997</v>
      </c>
      <c r="AJ964">
        <v>4027.1</v>
      </c>
      <c r="AK964">
        <v>22</v>
      </c>
      <c r="AL964">
        <v>40</v>
      </c>
      <c r="AM964" t="str">
        <v>App</v>
      </c>
      <c r="AN964" t="str">
        <v>Reembolsada</v>
      </c>
      <c r="AO964">
        <v>5</v>
      </c>
    </row>
    <row r="965" spans="1:41" x14ac:dyDescent="0.3">
      <c r="A965" t="s">
        <v>1003</v>
      </c>
      <c r="B965" s="8">
        <v>45922</v>
      </c>
      <c r="C965" s="2">
        <v>0.55625000000000002</v>
      </c>
      <c r="D965" t="s">
        <v>33</v>
      </c>
      <c r="E965" t="s">
        <v>16</v>
      </c>
      <c r="F965" t="s">
        <v>34</v>
      </c>
      <c r="G965">
        <v>5</v>
      </c>
      <c r="H965" s="6">
        <v>43196.77</v>
      </c>
      <c r="I965" s="6">
        <v>8061.68</v>
      </c>
      <c r="J965">
        <v>14</v>
      </c>
      <c r="K965">
        <v>48</v>
      </c>
      <c r="L965" t="s">
        <v>18</v>
      </c>
      <c r="M965" t="s">
        <v>19</v>
      </c>
      <c r="N965">
        <v>5</v>
      </c>
      <c r="O965" s="4"/>
      <c r="P965" s="4" t="str">
        <f>IF(Data_Set_2[[#This Row],[valor_bruto]]&gt;$W$13,"OUTLIER+","")</f>
        <v/>
      </c>
      <c r="Q965" s="4" t="str">
        <f>IF(Data_Set_2[[#This Row],[valor_bruto]]&lt;$W$14,"OUTLIER-","")</f>
        <v/>
      </c>
      <c r="R965" s="4"/>
      <c r="S965" s="4"/>
      <c r="T965">
        <v>2</v>
      </c>
      <c r="U965">
        <v>16</v>
      </c>
      <c r="V965">
        <v>2025</v>
      </c>
      <c r="W965" s="1">
        <f t="shared" si="0"/>
        <v>45704</v>
      </c>
      <c r="AB965" t="str">
        <v>RES-100963</v>
      </c>
      <c r="AC965">
        <v>45922</v>
      </c>
      <c r="AD965">
        <v>0.55625000000000002</v>
      </c>
      <c r="AE965" t="str">
        <v>Envigado</v>
      </c>
      <c r="AF965" t="str">
        <v>Mesa</v>
      </c>
      <c r="AG965" t="str">
        <v>Vegano</v>
      </c>
      <c r="AH965">
        <v>5</v>
      </c>
      <c r="AI965">
        <v>43196.77</v>
      </c>
      <c r="AJ965">
        <v>8061.68</v>
      </c>
      <c r="AK965">
        <v>14</v>
      </c>
      <c r="AL965">
        <v>48</v>
      </c>
      <c r="AM965" t="str">
        <v>Tarjeta</v>
      </c>
      <c r="AN965" t="str">
        <v>Entregada</v>
      </c>
      <c r="AO965">
        <v>5</v>
      </c>
    </row>
    <row r="966" spans="1:41" x14ac:dyDescent="0.3">
      <c r="A966" t="s">
        <v>1004</v>
      </c>
      <c r="B966" s="8">
        <v>45923</v>
      </c>
      <c r="C966" s="2">
        <v>0.60277777777777775</v>
      </c>
      <c r="D966" t="s">
        <v>15</v>
      </c>
      <c r="E966" t="s">
        <v>22</v>
      </c>
      <c r="F966" t="s">
        <v>36</v>
      </c>
      <c r="G966">
        <v>5</v>
      </c>
      <c r="H966" s="6">
        <v>37170.25</v>
      </c>
      <c r="I966" s="6">
        <v>2530.2600000000002</v>
      </c>
      <c r="J966">
        <v>17</v>
      </c>
      <c r="K966">
        <v>50</v>
      </c>
      <c r="L966" t="s">
        <v>24</v>
      </c>
      <c r="M966" t="s">
        <v>25</v>
      </c>
      <c r="N966">
        <v>3</v>
      </c>
      <c r="O966" s="4"/>
      <c r="P966" s="4" t="str">
        <f>IF(Data_Set_2[[#This Row],[valor_bruto]]&gt;$W$13,"OUTLIER+","")</f>
        <v/>
      </c>
      <c r="Q966" s="4" t="str">
        <f>IF(Data_Set_2[[#This Row],[valor_bruto]]&lt;$W$14,"OUTLIER-","")</f>
        <v/>
      </c>
      <c r="R966" s="4"/>
      <c r="S966" s="4"/>
      <c r="T966">
        <v>2</v>
      </c>
      <c r="U966">
        <v>17</v>
      </c>
      <c r="V966">
        <v>2025</v>
      </c>
      <c r="W966" s="1">
        <f t="shared" si="0"/>
        <v>45705</v>
      </c>
      <c r="AB966" t="str">
        <v>RES-100964</v>
      </c>
      <c r="AC966">
        <v>45923</v>
      </c>
      <c r="AD966">
        <v>0.60277777777777775</v>
      </c>
      <c r="AE966" t="str">
        <v>Laureles</v>
      </c>
      <c r="AF966" t="str">
        <v>Domicilio</v>
      </c>
      <c r="AG966" t="str">
        <v>Bebidas</v>
      </c>
      <c r="AH966">
        <v>5</v>
      </c>
      <c r="AI966">
        <v>37170.25</v>
      </c>
      <c r="AJ966">
        <v>2530.2600000000002</v>
      </c>
      <c r="AK966">
        <v>17</v>
      </c>
      <c r="AL966">
        <v>50</v>
      </c>
      <c r="AM966" t="str">
        <v>Efectivo</v>
      </c>
      <c r="AN966" t="str">
        <v>Cancelada</v>
      </c>
      <c r="AO966">
        <v>3</v>
      </c>
    </row>
    <row r="967" spans="1:41" x14ac:dyDescent="0.3">
      <c r="A967" t="s">
        <v>1005</v>
      </c>
      <c r="B967" s="8">
        <v>45924</v>
      </c>
      <c r="C967" s="2">
        <v>0.64930555555555558</v>
      </c>
      <c r="D967" t="s">
        <v>21</v>
      </c>
      <c r="E967" t="s">
        <v>28</v>
      </c>
      <c r="F967" t="s">
        <v>17</v>
      </c>
      <c r="G967">
        <v>4</v>
      </c>
      <c r="H967" s="6">
        <v>45957.81</v>
      </c>
      <c r="I967" s="6">
        <v>6095.72</v>
      </c>
      <c r="J967">
        <v>27</v>
      </c>
      <c r="K967">
        <v>53</v>
      </c>
      <c r="L967" t="s">
        <v>30</v>
      </c>
      <c r="M967" t="s">
        <v>31</v>
      </c>
      <c r="N967">
        <v>5</v>
      </c>
      <c r="O967" s="4"/>
      <c r="P967" s="4" t="str">
        <f>IF(Data_Set_2[[#This Row],[valor_bruto]]&gt;$W$13,"OUTLIER+","")</f>
        <v/>
      </c>
      <c r="Q967" s="4" t="str">
        <f>IF(Data_Set_2[[#This Row],[valor_bruto]]&lt;$W$14,"OUTLIER-","")</f>
        <v/>
      </c>
      <c r="R967" s="4"/>
      <c r="S967" s="4"/>
      <c r="T967">
        <v>2</v>
      </c>
      <c r="U967">
        <v>18</v>
      </c>
      <c r="V967">
        <v>2025</v>
      </c>
      <c r="W967" s="1">
        <f t="shared" si="0"/>
        <v>45706</v>
      </c>
      <c r="AB967" t="str">
        <v>RES-100965</v>
      </c>
      <c r="AC967">
        <v>45924</v>
      </c>
      <c r="AD967">
        <v>0.64930555555555558</v>
      </c>
      <c r="AE967" t="str">
        <v>Poblado</v>
      </c>
      <c r="AF967" t="str">
        <v>Recoge</v>
      </c>
      <c r="AG967" t="str">
        <v>Comida rapida</v>
      </c>
      <c r="AH967">
        <v>4</v>
      </c>
      <c r="AI967">
        <v>45957.81</v>
      </c>
      <c r="AJ967">
        <v>6095.72</v>
      </c>
      <c r="AK967">
        <v>27</v>
      </c>
      <c r="AL967">
        <v>53</v>
      </c>
      <c r="AM967" t="str">
        <v>App</v>
      </c>
      <c r="AN967" t="str">
        <v>Reembolsada</v>
      </c>
      <c r="AO967">
        <v>5</v>
      </c>
    </row>
    <row r="968" spans="1:41" x14ac:dyDescent="0.3">
      <c r="A968" t="s">
        <v>1006</v>
      </c>
      <c r="B968" s="8">
        <v>45925</v>
      </c>
      <c r="C968" s="2">
        <v>0.6958333333333333</v>
      </c>
      <c r="D968" t="s">
        <v>27</v>
      </c>
      <c r="E968" t="s">
        <v>16</v>
      </c>
      <c r="F968" t="s">
        <v>23</v>
      </c>
      <c r="G968">
        <v>2</v>
      </c>
      <c r="H968" s="6">
        <v>45510.35</v>
      </c>
      <c r="I968" s="6">
        <v>2351.6</v>
      </c>
      <c r="J968">
        <v>27</v>
      </c>
      <c r="K968">
        <v>46</v>
      </c>
      <c r="L968" t="s">
        <v>18</v>
      </c>
      <c r="M968" t="s">
        <v>19</v>
      </c>
      <c r="N968">
        <v>4</v>
      </c>
      <c r="O968" s="4"/>
      <c r="P968" s="4" t="str">
        <f>IF(Data_Set_2[[#This Row],[valor_bruto]]&gt;$W$13,"OUTLIER+","")</f>
        <v/>
      </c>
      <c r="Q968" s="4" t="str">
        <f>IF(Data_Set_2[[#This Row],[valor_bruto]]&lt;$W$14,"OUTLIER-","")</f>
        <v/>
      </c>
      <c r="R968" s="4"/>
      <c r="S968" s="4"/>
      <c r="T968">
        <v>2</v>
      </c>
      <c r="U968">
        <v>18</v>
      </c>
      <c r="V968">
        <v>2025</v>
      </c>
      <c r="W968" s="1">
        <f t="shared" si="0"/>
        <v>45706</v>
      </c>
      <c r="AB968" t="str">
        <v>RES-100966</v>
      </c>
      <c r="AC968">
        <v>45925</v>
      </c>
      <c r="AD968">
        <v>0.6958333333333333</v>
      </c>
      <c r="AE968" t="str">
        <v>Centro</v>
      </c>
      <c r="AF968" t="str">
        <v>Mesa</v>
      </c>
      <c r="AG968" t="str">
        <v>Pasta</v>
      </c>
      <c r="AH968">
        <v>2</v>
      </c>
      <c r="AI968">
        <v>45510.35</v>
      </c>
      <c r="AJ968">
        <v>2351.6</v>
      </c>
      <c r="AK968">
        <v>27</v>
      </c>
      <c r="AL968">
        <v>46</v>
      </c>
      <c r="AM968" t="str">
        <v>Tarjeta</v>
      </c>
      <c r="AN968" t="str">
        <v>Entregada</v>
      </c>
      <c r="AO968">
        <v>4</v>
      </c>
    </row>
    <row r="969" spans="1:41" x14ac:dyDescent="0.3">
      <c r="A969" t="s">
        <v>1007</v>
      </c>
      <c r="B969" s="8">
        <v>45926</v>
      </c>
      <c r="C969" s="2">
        <v>0.74236111111111114</v>
      </c>
      <c r="D969" t="s">
        <v>33</v>
      </c>
      <c r="E969" t="s">
        <v>22</v>
      </c>
      <c r="F969" t="s">
        <v>29</v>
      </c>
      <c r="G969">
        <v>6</v>
      </c>
      <c r="H969" s="6">
        <v>68572.75</v>
      </c>
      <c r="I969" s="6">
        <v>7050.09</v>
      </c>
      <c r="J969">
        <v>28</v>
      </c>
      <c r="K969">
        <v>33</v>
      </c>
      <c r="L969" t="s">
        <v>24</v>
      </c>
      <c r="M969" t="s">
        <v>25</v>
      </c>
      <c r="N969">
        <v>3</v>
      </c>
      <c r="O969" s="4"/>
      <c r="P969" s="4" t="str">
        <f>IF(Data_Set_2[[#This Row],[valor_bruto]]&gt;$W$13,"OUTLIER+","")</f>
        <v/>
      </c>
      <c r="Q969" s="4" t="str">
        <f>IF(Data_Set_2[[#This Row],[valor_bruto]]&lt;$W$14,"OUTLIER-","")</f>
        <v/>
      </c>
      <c r="R969" s="4"/>
      <c r="S969" s="4"/>
      <c r="T969">
        <v>2</v>
      </c>
      <c r="U969">
        <v>19</v>
      </c>
      <c r="V969">
        <v>2025</v>
      </c>
      <c r="W969" s="1">
        <f t="shared" si="0"/>
        <v>45707</v>
      </c>
      <c r="AB969" t="str">
        <v>RES-100967</v>
      </c>
      <c r="AC969">
        <v>45926</v>
      </c>
      <c r="AD969">
        <v>0.74236111111111114</v>
      </c>
      <c r="AE969" t="str">
        <v>Envigado</v>
      </c>
      <c r="AF969" t="str">
        <v>Domicilio</v>
      </c>
      <c r="AG969" t="str">
        <v>Parrilla</v>
      </c>
      <c r="AH969">
        <v>6</v>
      </c>
      <c r="AI969">
        <v>68572.75</v>
      </c>
      <c r="AJ969">
        <v>7050.09</v>
      </c>
      <c r="AK969">
        <v>28</v>
      </c>
      <c r="AL969">
        <v>33</v>
      </c>
      <c r="AM969" t="str">
        <v>Efectivo</v>
      </c>
      <c r="AN969" t="str">
        <v>Cancelada</v>
      </c>
      <c r="AO969">
        <v>3</v>
      </c>
    </row>
    <row r="970" spans="1:41" x14ac:dyDescent="0.3">
      <c r="A970" t="s">
        <v>1008</v>
      </c>
      <c r="B970" s="8">
        <v>45927</v>
      </c>
      <c r="C970" s="2">
        <v>0.78888888888888886</v>
      </c>
      <c r="D970" t="s">
        <v>15</v>
      </c>
      <c r="E970" t="s">
        <v>28</v>
      </c>
      <c r="F970" t="s">
        <v>34</v>
      </c>
      <c r="G970">
        <v>2</v>
      </c>
      <c r="H970" s="6">
        <v>56569.46</v>
      </c>
      <c r="I970" s="6">
        <v>2727.58</v>
      </c>
      <c r="J970">
        <v>28</v>
      </c>
      <c r="K970">
        <v>31</v>
      </c>
      <c r="L970" t="s">
        <v>30</v>
      </c>
      <c r="M970" t="s">
        <v>31</v>
      </c>
      <c r="N970">
        <v>4</v>
      </c>
      <c r="O970" s="4"/>
      <c r="P970" s="4" t="str">
        <f>IF(Data_Set_2[[#This Row],[valor_bruto]]&gt;$W$13,"OUTLIER+","")</f>
        <v/>
      </c>
      <c r="Q970" s="4" t="str">
        <f>IF(Data_Set_2[[#This Row],[valor_bruto]]&lt;$W$14,"OUTLIER-","")</f>
        <v/>
      </c>
      <c r="R970" s="4"/>
      <c r="S970" s="4"/>
      <c r="T970">
        <v>2</v>
      </c>
      <c r="U970">
        <v>20</v>
      </c>
      <c r="V970">
        <v>2025</v>
      </c>
      <c r="W970" s="1">
        <f t="shared" si="0"/>
        <v>45708</v>
      </c>
      <c r="AB970" t="str">
        <v>RES-100968</v>
      </c>
      <c r="AC970">
        <v>45927</v>
      </c>
      <c r="AD970">
        <v>0.78888888888888886</v>
      </c>
      <c r="AE970" t="str">
        <v>Laureles</v>
      </c>
      <c r="AF970" t="str">
        <v>Recoge</v>
      </c>
      <c r="AG970" t="str">
        <v>Vegano</v>
      </c>
      <c r="AH970">
        <v>2</v>
      </c>
      <c r="AI970">
        <v>56569.46</v>
      </c>
      <c r="AJ970">
        <v>2727.58</v>
      </c>
      <c r="AK970">
        <v>28</v>
      </c>
      <c r="AL970">
        <v>31</v>
      </c>
      <c r="AM970" t="str">
        <v>App</v>
      </c>
      <c r="AN970" t="str">
        <v>Reembolsada</v>
      </c>
      <c r="AO970">
        <v>4</v>
      </c>
    </row>
    <row r="971" spans="1:41" x14ac:dyDescent="0.3">
      <c r="A971" t="s">
        <v>1009</v>
      </c>
      <c r="B971" s="8">
        <v>45928</v>
      </c>
      <c r="C971" s="2">
        <v>0.79374999999999996</v>
      </c>
      <c r="D971" t="s">
        <v>21</v>
      </c>
      <c r="E971" t="s">
        <v>16</v>
      </c>
      <c r="F971" t="s">
        <v>36</v>
      </c>
      <c r="G971">
        <v>2</v>
      </c>
      <c r="H971" s="6">
        <v>54448.87</v>
      </c>
      <c r="I971" s="6">
        <v>3076.7</v>
      </c>
      <c r="J971">
        <v>24</v>
      </c>
      <c r="K971">
        <v>32</v>
      </c>
      <c r="L971" t="s">
        <v>18</v>
      </c>
      <c r="M971" t="s">
        <v>19</v>
      </c>
      <c r="N971">
        <v>5</v>
      </c>
      <c r="O971" s="4"/>
      <c r="P971" s="4" t="str">
        <f>IF(Data_Set_2[[#This Row],[valor_bruto]]&gt;$W$13,"OUTLIER+","")</f>
        <v/>
      </c>
      <c r="Q971" s="4" t="str">
        <f>IF(Data_Set_2[[#This Row],[valor_bruto]]&lt;$W$14,"OUTLIER-","")</f>
        <v/>
      </c>
      <c r="R971" s="4"/>
      <c r="S971" s="4"/>
      <c r="T971">
        <v>2</v>
      </c>
      <c r="U971">
        <v>21</v>
      </c>
      <c r="V971">
        <v>2025</v>
      </c>
      <c r="W971" s="1">
        <f t="shared" si="0"/>
        <v>45709</v>
      </c>
      <c r="AB971" t="str">
        <v>RES-100969</v>
      </c>
      <c r="AC971">
        <v>45928</v>
      </c>
      <c r="AD971">
        <v>0.79374999999999996</v>
      </c>
      <c r="AE971" t="str">
        <v>Poblado</v>
      </c>
      <c r="AF971" t="str">
        <v>Mesa</v>
      </c>
      <c r="AG971" t="str">
        <v>Bebidas</v>
      </c>
      <c r="AH971">
        <v>2</v>
      </c>
      <c r="AI971">
        <v>54448.87</v>
      </c>
      <c r="AJ971">
        <v>3076.7</v>
      </c>
      <c r="AK971">
        <v>24</v>
      </c>
      <c r="AL971">
        <v>32</v>
      </c>
      <c r="AM971" t="str">
        <v>Tarjeta</v>
      </c>
      <c r="AN971" t="str">
        <v>Entregada</v>
      </c>
      <c r="AO971">
        <v>5</v>
      </c>
    </row>
    <row r="972" spans="1:41" x14ac:dyDescent="0.3">
      <c r="A972" t="s">
        <v>1010</v>
      </c>
      <c r="B972" s="8">
        <v>45929</v>
      </c>
      <c r="C972" s="2">
        <v>0.84027777777777779</v>
      </c>
      <c r="D972" t="s">
        <v>27</v>
      </c>
      <c r="E972" t="s">
        <v>22</v>
      </c>
      <c r="F972" t="s">
        <v>17</v>
      </c>
      <c r="G972">
        <v>5</v>
      </c>
      <c r="H972" s="6">
        <v>35282.160000000003</v>
      </c>
      <c r="I972" s="6">
        <v>7973.69</v>
      </c>
      <c r="J972">
        <v>26</v>
      </c>
      <c r="K972">
        <v>24</v>
      </c>
      <c r="L972" t="s">
        <v>24</v>
      </c>
      <c r="M972" t="s">
        <v>25</v>
      </c>
      <c r="N972">
        <v>4</v>
      </c>
      <c r="O972" s="4"/>
      <c r="P972" s="4" t="str">
        <f>IF(Data_Set_2[[#This Row],[valor_bruto]]&gt;$W$13,"OUTLIER+","")</f>
        <v/>
      </c>
      <c r="Q972" s="4" t="str">
        <f>IF(Data_Set_2[[#This Row],[valor_bruto]]&lt;$W$14,"OUTLIER-","")</f>
        <v/>
      </c>
      <c r="R972" s="4"/>
      <c r="S972" s="4"/>
      <c r="T972">
        <v>2</v>
      </c>
      <c r="U972">
        <v>21</v>
      </c>
      <c r="V972">
        <v>2025</v>
      </c>
      <c r="W972" s="1">
        <f t="shared" si="0"/>
        <v>45709</v>
      </c>
      <c r="AB972" t="str">
        <v>RES-100970</v>
      </c>
      <c r="AC972">
        <v>45929</v>
      </c>
      <c r="AD972">
        <v>0.84027777777777779</v>
      </c>
      <c r="AE972" t="str">
        <v>Centro</v>
      </c>
      <c r="AF972" t="str">
        <v>Domicilio</v>
      </c>
      <c r="AG972" t="str">
        <v>Comida rapida</v>
      </c>
      <c r="AH972">
        <v>5</v>
      </c>
      <c r="AI972">
        <v>35282.160000000003</v>
      </c>
      <c r="AJ972">
        <v>7973.69</v>
      </c>
      <c r="AK972">
        <v>26</v>
      </c>
      <c r="AL972">
        <v>24</v>
      </c>
      <c r="AM972" t="str">
        <v>Efectivo</v>
      </c>
      <c r="AN972" t="str">
        <v>Cancelada</v>
      </c>
      <c r="AO972">
        <v>4</v>
      </c>
    </row>
    <row r="973" spans="1:41" x14ac:dyDescent="0.3">
      <c r="A973" t="s">
        <v>1011</v>
      </c>
      <c r="B973" s="8">
        <v>45930</v>
      </c>
      <c r="C973" s="2">
        <v>0.88680555555555551</v>
      </c>
      <c r="D973" t="s">
        <v>33</v>
      </c>
      <c r="E973" t="s">
        <v>28</v>
      </c>
      <c r="F973" t="s">
        <v>23</v>
      </c>
      <c r="G973">
        <v>6</v>
      </c>
      <c r="H973" s="6">
        <v>42801.599999999999</v>
      </c>
      <c r="I973" s="6">
        <v>535.52</v>
      </c>
      <c r="J973">
        <v>18</v>
      </c>
      <c r="K973">
        <v>28</v>
      </c>
      <c r="L973" t="s">
        <v>30</v>
      </c>
      <c r="M973" t="s">
        <v>31</v>
      </c>
      <c r="N973">
        <v>4</v>
      </c>
      <c r="O973" s="4"/>
      <c r="P973" s="4" t="str">
        <f>IF(Data_Set_2[[#This Row],[valor_bruto]]&gt;$W$13,"OUTLIER+","")</f>
        <v/>
      </c>
      <c r="Q973" s="4" t="str">
        <f>IF(Data_Set_2[[#This Row],[valor_bruto]]&lt;$W$14,"OUTLIER-","")</f>
        <v/>
      </c>
      <c r="R973" s="4"/>
      <c r="S973" s="4"/>
      <c r="T973">
        <v>2</v>
      </c>
      <c r="U973">
        <v>22</v>
      </c>
      <c r="V973">
        <v>2025</v>
      </c>
      <c r="W973" s="1">
        <f t="shared" si="0"/>
        <v>45710</v>
      </c>
      <c r="AB973" t="str">
        <v>RES-100971</v>
      </c>
      <c r="AC973">
        <v>45930</v>
      </c>
      <c r="AD973">
        <v>0.88680555555555551</v>
      </c>
      <c r="AE973" t="str">
        <v>Envigado</v>
      </c>
      <c r="AF973" t="str">
        <v>Recoge</v>
      </c>
      <c r="AG973" t="str">
        <v>Pasta</v>
      </c>
      <c r="AH973">
        <v>6</v>
      </c>
      <c r="AI973">
        <v>42801.599999999999</v>
      </c>
      <c r="AJ973">
        <v>535.52</v>
      </c>
      <c r="AK973">
        <v>18</v>
      </c>
      <c r="AL973">
        <v>28</v>
      </c>
      <c r="AM973" t="str">
        <v>App</v>
      </c>
      <c r="AN973" t="str">
        <v>Reembolsada</v>
      </c>
      <c r="AO973">
        <v>4</v>
      </c>
    </row>
    <row r="974" spans="1:41" x14ac:dyDescent="0.3">
      <c r="A974" t="s">
        <v>1012</v>
      </c>
      <c r="B974" s="8">
        <v>45931</v>
      </c>
      <c r="C974" s="2">
        <v>0.43333333333333335</v>
      </c>
      <c r="D974" t="s">
        <v>15</v>
      </c>
      <c r="E974" t="s">
        <v>16</v>
      </c>
      <c r="F974" t="s">
        <v>29</v>
      </c>
      <c r="G974">
        <v>6</v>
      </c>
      <c r="H974" s="6">
        <v>26328.080000000002</v>
      </c>
      <c r="I974" s="6">
        <v>7891.34</v>
      </c>
      <c r="J974">
        <v>15</v>
      </c>
      <c r="K974">
        <v>44</v>
      </c>
      <c r="L974" t="s">
        <v>18</v>
      </c>
      <c r="M974" t="s">
        <v>19</v>
      </c>
      <c r="N974">
        <v>3</v>
      </c>
      <c r="O974" s="4"/>
      <c r="P974" s="4" t="str">
        <f>IF(Data_Set_2[[#This Row],[valor_bruto]]&gt;$W$13,"OUTLIER+","")</f>
        <v/>
      </c>
      <c r="Q974" s="4" t="str">
        <f>IF(Data_Set_2[[#This Row],[valor_bruto]]&lt;$W$14,"OUTLIER-","")</f>
        <v/>
      </c>
      <c r="R974" s="4"/>
      <c r="S974" s="4"/>
      <c r="T974">
        <v>2</v>
      </c>
      <c r="U974">
        <v>23</v>
      </c>
      <c r="V974">
        <v>2025</v>
      </c>
      <c r="W974" s="1">
        <f t="shared" si="0"/>
        <v>45711</v>
      </c>
      <c r="AB974" t="str">
        <v>RES-100972</v>
      </c>
      <c r="AC974">
        <v>45931</v>
      </c>
      <c r="AD974">
        <v>0.43333333333333335</v>
      </c>
      <c r="AE974" t="str">
        <v>Laureles</v>
      </c>
      <c r="AF974" t="str">
        <v>Mesa</v>
      </c>
      <c r="AG974" t="str">
        <v>Parrilla</v>
      </c>
      <c r="AH974">
        <v>6</v>
      </c>
      <c r="AI974">
        <v>26328.080000000002</v>
      </c>
      <c r="AJ974">
        <v>7891.34</v>
      </c>
      <c r="AK974">
        <v>15</v>
      </c>
      <c r="AL974">
        <v>44</v>
      </c>
      <c r="AM974" t="str">
        <v>Tarjeta</v>
      </c>
      <c r="AN974" t="str">
        <v>Entregada</v>
      </c>
      <c r="AO974">
        <v>3</v>
      </c>
    </row>
    <row r="975" spans="1:41" x14ac:dyDescent="0.3">
      <c r="A975" t="s">
        <v>1013</v>
      </c>
      <c r="B975" s="8">
        <v>45932</v>
      </c>
      <c r="C975" s="2">
        <v>0.47986111111111113</v>
      </c>
      <c r="D975" t="s">
        <v>21</v>
      </c>
      <c r="E975" t="s">
        <v>22</v>
      </c>
      <c r="F975" t="s">
        <v>34</v>
      </c>
      <c r="G975">
        <v>4</v>
      </c>
      <c r="H975" s="6">
        <v>51034.15</v>
      </c>
      <c r="I975" s="6">
        <v>4273.7299999999996</v>
      </c>
      <c r="J975">
        <v>28</v>
      </c>
      <c r="K975">
        <v>47</v>
      </c>
      <c r="L975" t="s">
        <v>24</v>
      </c>
      <c r="M975" t="s">
        <v>25</v>
      </c>
      <c r="N975">
        <v>3</v>
      </c>
      <c r="O975" s="4"/>
      <c r="P975" s="4" t="str">
        <f>IF(Data_Set_2[[#This Row],[valor_bruto]]&gt;$W$13,"OUTLIER+","")</f>
        <v/>
      </c>
      <c r="Q975" s="4" t="str">
        <f>IF(Data_Set_2[[#This Row],[valor_bruto]]&lt;$W$14,"OUTLIER-","")</f>
        <v/>
      </c>
      <c r="R975" s="4"/>
      <c r="S975" s="4"/>
      <c r="T975">
        <v>2</v>
      </c>
      <c r="U975">
        <v>24</v>
      </c>
      <c r="V975">
        <v>2025</v>
      </c>
      <c r="W975" s="1">
        <f t="shared" si="0"/>
        <v>45712</v>
      </c>
      <c r="AB975" t="str">
        <v>RES-100973</v>
      </c>
      <c r="AC975">
        <v>45932</v>
      </c>
      <c r="AD975">
        <v>0.47986111111111113</v>
      </c>
      <c r="AE975" t="str">
        <v>Poblado</v>
      </c>
      <c r="AF975" t="str">
        <v>Domicilio</v>
      </c>
      <c r="AG975" t="str">
        <v>Vegano</v>
      </c>
      <c r="AH975">
        <v>4</v>
      </c>
      <c r="AI975">
        <v>51034.15</v>
      </c>
      <c r="AJ975">
        <v>4273.7299999999996</v>
      </c>
      <c r="AK975">
        <v>28</v>
      </c>
      <c r="AL975">
        <v>47</v>
      </c>
      <c r="AM975" t="str">
        <v>Efectivo</v>
      </c>
      <c r="AN975" t="str">
        <v>Cancelada</v>
      </c>
      <c r="AO975">
        <v>3</v>
      </c>
    </row>
    <row r="976" spans="1:41" x14ac:dyDescent="0.3">
      <c r="A976" t="s">
        <v>1014</v>
      </c>
      <c r="B976" s="8">
        <v>45726</v>
      </c>
      <c r="C976" s="2">
        <v>0.52638888888888891</v>
      </c>
      <c r="D976" t="s">
        <v>27</v>
      </c>
      <c r="E976" t="s">
        <v>28</v>
      </c>
      <c r="F976" t="s">
        <v>36</v>
      </c>
      <c r="G976">
        <v>6</v>
      </c>
      <c r="H976" s="6">
        <v>68081.64</v>
      </c>
      <c r="I976" s="6">
        <v>7075.95</v>
      </c>
      <c r="J976">
        <v>31</v>
      </c>
      <c r="K976">
        <v>36</v>
      </c>
      <c r="L976" t="s">
        <v>30</v>
      </c>
      <c r="M976" t="s">
        <v>31</v>
      </c>
      <c r="N976">
        <f>VLOOKUP(Data_Set_2[[#This Row],[estado]],M2:N975,2,0)</f>
        <v>5</v>
      </c>
      <c r="O976" s="4"/>
      <c r="P976" s="4" t="str">
        <f>IF(Data_Set_2[[#This Row],[valor_bruto]]&gt;$W$13,"OUTLIER+","")</f>
        <v/>
      </c>
      <c r="Q976" s="4" t="str">
        <f>IF(Data_Set_2[[#This Row],[valor_bruto]]&lt;$W$14,"OUTLIER-","")</f>
        <v/>
      </c>
      <c r="R976" s="4"/>
      <c r="S976" s="4"/>
      <c r="T976">
        <v>2</v>
      </c>
      <c r="U976">
        <v>24</v>
      </c>
      <c r="V976">
        <v>2025</v>
      </c>
      <c r="W976" s="1">
        <f t="shared" si="0"/>
        <v>45712</v>
      </c>
      <c r="AB976" t="str">
        <v>RES-100974</v>
      </c>
      <c r="AC976">
        <v>45726</v>
      </c>
      <c r="AD976">
        <v>0.52638888888888891</v>
      </c>
      <c r="AE976" t="str">
        <v>Centro</v>
      </c>
      <c r="AF976" t="str">
        <v>Recoge</v>
      </c>
      <c r="AG976" t="str">
        <v>Bebidas</v>
      </c>
      <c r="AH976">
        <v>6</v>
      </c>
      <c r="AI976">
        <v>68081.64</v>
      </c>
      <c r="AJ976">
        <v>7075.95</v>
      </c>
      <c r="AK976">
        <v>31</v>
      </c>
      <c r="AL976">
        <v>36</v>
      </c>
      <c r="AM976" t="str">
        <v>App</v>
      </c>
      <c r="AN976" t="str">
        <v>Reembolsada</v>
      </c>
      <c r="AO976">
        <v>5</v>
      </c>
    </row>
    <row r="977" spans="1:41" x14ac:dyDescent="0.3">
      <c r="A977" t="s">
        <v>1015</v>
      </c>
      <c r="B977" s="8">
        <v>45934</v>
      </c>
      <c r="C977" s="2">
        <v>0.57291666666666663</v>
      </c>
      <c r="D977" t="s">
        <v>33</v>
      </c>
      <c r="E977" t="s">
        <v>16</v>
      </c>
      <c r="F977" t="s">
        <v>17</v>
      </c>
      <c r="G977">
        <v>6</v>
      </c>
      <c r="H977" s="6">
        <v>47114.01</v>
      </c>
      <c r="I977" s="6">
        <v>8215.6200000000008</v>
      </c>
      <c r="J977">
        <v>25</v>
      </c>
      <c r="K977">
        <v>49</v>
      </c>
      <c r="L977" t="s">
        <v>18</v>
      </c>
      <c r="M977" t="s">
        <v>19</v>
      </c>
      <c r="N977">
        <v>5</v>
      </c>
      <c r="O977" s="4"/>
      <c r="P977" s="4" t="str">
        <f>IF(Data_Set_2[[#This Row],[valor_bruto]]&gt;$W$13,"OUTLIER+","")</f>
        <v/>
      </c>
      <c r="Q977" s="4" t="str">
        <f>IF(Data_Set_2[[#This Row],[valor_bruto]]&lt;$W$14,"OUTLIER-","")</f>
        <v/>
      </c>
      <c r="R977" s="4"/>
      <c r="S977" s="4"/>
      <c r="T977">
        <v>2</v>
      </c>
      <c r="U977">
        <v>25</v>
      </c>
      <c r="V977">
        <v>2025</v>
      </c>
      <c r="W977" s="1">
        <f t="shared" si="0"/>
        <v>45713</v>
      </c>
      <c r="AB977" t="str">
        <v>RES-100975</v>
      </c>
      <c r="AC977">
        <v>45934</v>
      </c>
      <c r="AD977">
        <v>0.57291666666666663</v>
      </c>
      <c r="AE977" t="str">
        <v>Envigado</v>
      </c>
      <c r="AF977" t="str">
        <v>Mesa</v>
      </c>
      <c r="AG977" t="str">
        <v>Comida rapida</v>
      </c>
      <c r="AH977">
        <v>6</v>
      </c>
      <c r="AI977">
        <v>47114.01</v>
      </c>
      <c r="AJ977">
        <v>8215.6200000000008</v>
      </c>
      <c r="AK977">
        <v>25</v>
      </c>
      <c r="AL977">
        <v>49</v>
      </c>
      <c r="AM977" t="str">
        <v>Tarjeta</v>
      </c>
      <c r="AN977" t="str">
        <v>Entregada</v>
      </c>
      <c r="AO977">
        <v>5</v>
      </c>
    </row>
    <row r="978" spans="1:41" x14ac:dyDescent="0.3">
      <c r="A978" t="s">
        <v>1016</v>
      </c>
      <c r="B978" s="8">
        <v>45935</v>
      </c>
      <c r="C978" s="2">
        <v>0.61944444444444446</v>
      </c>
      <c r="D978" t="s">
        <v>15</v>
      </c>
      <c r="E978" t="s">
        <v>22</v>
      </c>
      <c r="F978" t="s">
        <v>23</v>
      </c>
      <c r="G978">
        <v>4</v>
      </c>
      <c r="H978" s="6">
        <v>57530.77</v>
      </c>
      <c r="I978" s="6">
        <v>5109.8599999999997</v>
      </c>
      <c r="J978">
        <v>23</v>
      </c>
      <c r="K978">
        <v>24</v>
      </c>
      <c r="L978" t="s">
        <v>24</v>
      </c>
      <c r="M978" t="s">
        <v>25</v>
      </c>
      <c r="N978">
        <v>4</v>
      </c>
      <c r="O978" s="4"/>
      <c r="P978" s="4" t="str">
        <f>IF(Data_Set_2[[#This Row],[valor_bruto]]&gt;$W$13,"OUTLIER+","")</f>
        <v/>
      </c>
      <c r="Q978" s="4" t="str">
        <f>IF(Data_Set_2[[#This Row],[valor_bruto]]&lt;$W$14,"OUTLIER-","")</f>
        <v/>
      </c>
      <c r="R978" s="4"/>
      <c r="S978" s="4"/>
      <c r="T978">
        <v>2</v>
      </c>
      <c r="U978">
        <v>26</v>
      </c>
      <c r="V978">
        <v>2025</v>
      </c>
      <c r="W978" s="1">
        <f t="shared" si="0"/>
        <v>45714</v>
      </c>
      <c r="AB978" t="str">
        <v>RES-100976</v>
      </c>
      <c r="AC978">
        <v>45935</v>
      </c>
      <c r="AD978">
        <v>0.61944444444444446</v>
      </c>
      <c r="AE978" t="str">
        <v>Laureles</v>
      </c>
      <c r="AF978" t="str">
        <v>Domicilio</v>
      </c>
      <c r="AG978" t="str">
        <v>Pasta</v>
      </c>
      <c r="AH978">
        <v>4</v>
      </c>
      <c r="AI978">
        <v>57530.77</v>
      </c>
      <c r="AJ978">
        <v>5109.8599999999997</v>
      </c>
      <c r="AK978">
        <v>23</v>
      </c>
      <c r="AL978">
        <v>24</v>
      </c>
      <c r="AM978" t="str">
        <v>Efectivo</v>
      </c>
      <c r="AN978" t="str">
        <v>Cancelada</v>
      </c>
      <c r="AO978">
        <v>4</v>
      </c>
    </row>
    <row r="979" spans="1:41" x14ac:dyDescent="0.3">
      <c r="A979" t="s">
        <v>1017</v>
      </c>
      <c r="B979" s="8">
        <v>45818</v>
      </c>
      <c r="C979" s="2">
        <v>0.66597222222222219</v>
      </c>
      <c r="D979" t="s">
        <v>21</v>
      </c>
      <c r="E979" t="s">
        <v>28</v>
      </c>
      <c r="F979" t="s">
        <v>29</v>
      </c>
      <c r="G979">
        <v>3</v>
      </c>
      <c r="H979" s="6">
        <v>65256.69</v>
      </c>
      <c r="I979" s="6">
        <v>3314.09</v>
      </c>
      <c r="J979">
        <v>23</v>
      </c>
      <c r="K979">
        <v>31</v>
      </c>
      <c r="L979" t="s">
        <v>30</v>
      </c>
      <c r="M979" t="s">
        <v>31</v>
      </c>
      <c r="N979">
        <v>3</v>
      </c>
      <c r="O979" s="4"/>
      <c r="P979" s="4" t="str">
        <f>IF(Data_Set_2[[#This Row],[valor_bruto]]&gt;$W$13,"OUTLIER+","")</f>
        <v/>
      </c>
      <c r="Q979" s="4" t="str">
        <f>IF(Data_Set_2[[#This Row],[valor_bruto]]&lt;$W$14,"OUTLIER-","")</f>
        <v/>
      </c>
      <c r="R979" s="4"/>
      <c r="S979" s="4"/>
      <c r="T979">
        <v>2</v>
      </c>
      <c r="U979">
        <v>27</v>
      </c>
      <c r="V979">
        <v>2025</v>
      </c>
      <c r="W979" s="1">
        <f t="shared" si="0"/>
        <v>45715</v>
      </c>
      <c r="AB979" t="str">
        <v>RES-100977</v>
      </c>
      <c r="AC979">
        <v>45818</v>
      </c>
      <c r="AD979">
        <v>0.66597222222222219</v>
      </c>
      <c r="AE979" t="str">
        <v>Poblado</v>
      </c>
      <c r="AF979" t="str">
        <v>Recoge</v>
      </c>
      <c r="AG979" t="str">
        <v>Parrilla</v>
      </c>
      <c r="AH979">
        <v>3</v>
      </c>
      <c r="AI979">
        <v>65256.69</v>
      </c>
      <c r="AJ979">
        <v>3314.09</v>
      </c>
      <c r="AK979">
        <v>23</v>
      </c>
      <c r="AL979">
        <v>31</v>
      </c>
      <c r="AM979" t="str">
        <v>App</v>
      </c>
      <c r="AN979" t="str">
        <v>Reembolsada</v>
      </c>
      <c r="AO979">
        <v>3</v>
      </c>
    </row>
    <row r="980" spans="1:41" x14ac:dyDescent="0.3">
      <c r="A980" t="s">
        <v>1018</v>
      </c>
      <c r="B980" s="8">
        <v>45937</v>
      </c>
      <c r="C980" s="2">
        <v>0.67083333333333328</v>
      </c>
      <c r="D980" t="s">
        <v>27</v>
      </c>
      <c r="E980" t="s">
        <v>16</v>
      </c>
      <c r="F980" t="s">
        <v>34</v>
      </c>
      <c r="G980">
        <v>2</v>
      </c>
      <c r="H980" s="6">
        <v>67629.58</v>
      </c>
      <c r="I980" s="6">
        <v>1483.4</v>
      </c>
      <c r="J980">
        <v>28</v>
      </c>
      <c r="K980">
        <v>40</v>
      </c>
      <c r="L980" t="s">
        <v>18</v>
      </c>
      <c r="M980" t="s">
        <v>19</v>
      </c>
      <c r="N980">
        <v>5</v>
      </c>
      <c r="O980" s="4"/>
      <c r="P980" s="4" t="str">
        <f>IF(Data_Set_2[[#This Row],[valor_bruto]]&gt;$W$13,"OUTLIER+","")</f>
        <v/>
      </c>
      <c r="Q980" s="4" t="str">
        <f>IF(Data_Set_2[[#This Row],[valor_bruto]]&lt;$W$14,"OUTLIER-","")</f>
        <v/>
      </c>
      <c r="R980" s="4"/>
      <c r="S980" s="4"/>
      <c r="T980">
        <v>2</v>
      </c>
      <c r="U980">
        <v>27</v>
      </c>
      <c r="V980">
        <v>2025</v>
      </c>
      <c r="W980" s="1">
        <f t="shared" si="0"/>
        <v>45715</v>
      </c>
      <c r="AB980" t="str">
        <v>RES-100978</v>
      </c>
      <c r="AC980">
        <v>45937</v>
      </c>
      <c r="AD980">
        <v>0.67083333333333328</v>
      </c>
      <c r="AE980" t="str">
        <v>Centro</v>
      </c>
      <c r="AF980" t="str">
        <v>Mesa</v>
      </c>
      <c r="AG980" t="str">
        <v>Vegano</v>
      </c>
      <c r="AH980">
        <v>2</v>
      </c>
      <c r="AI980">
        <v>67629.58</v>
      </c>
      <c r="AJ980">
        <v>1483.4</v>
      </c>
      <c r="AK980">
        <v>28</v>
      </c>
      <c r="AL980">
        <v>40</v>
      </c>
      <c r="AM980" t="str">
        <v>Tarjeta</v>
      </c>
      <c r="AN980" t="str">
        <v>Entregada</v>
      </c>
      <c r="AO980">
        <v>5</v>
      </c>
    </row>
    <row r="981" spans="1:41" x14ac:dyDescent="0.3">
      <c r="A981" t="s">
        <v>1019</v>
      </c>
      <c r="B981" s="8">
        <v>45938</v>
      </c>
      <c r="C981" s="2">
        <v>0.71736111111111112</v>
      </c>
      <c r="D981" t="s">
        <v>33</v>
      </c>
      <c r="E981" t="s">
        <v>22</v>
      </c>
      <c r="F981" t="s">
        <v>36</v>
      </c>
      <c r="G981">
        <v>2</v>
      </c>
      <c r="H981" s="6">
        <v>41450.629999999997</v>
      </c>
      <c r="I981" s="6">
        <v>5041.1899999999996</v>
      </c>
      <c r="J981">
        <v>20</v>
      </c>
      <c r="K981">
        <v>53</v>
      </c>
      <c r="L981" t="s">
        <v>24</v>
      </c>
      <c r="M981" t="s">
        <v>25</v>
      </c>
      <c r="N981">
        <v>5</v>
      </c>
      <c r="O981" s="4"/>
      <c r="P981" s="4" t="str">
        <f>IF(Data_Set_2[[#This Row],[valor_bruto]]&gt;$W$13,"OUTLIER+","")</f>
        <v/>
      </c>
      <c r="Q981" s="4" t="str">
        <f>IF(Data_Set_2[[#This Row],[valor_bruto]]&lt;$W$14,"OUTLIER-","")</f>
        <v/>
      </c>
      <c r="R981" s="4"/>
      <c r="S981" s="4"/>
      <c r="T981">
        <v>2</v>
      </c>
      <c r="U981">
        <v>28</v>
      </c>
      <c r="V981">
        <v>2025</v>
      </c>
      <c r="W981" s="1">
        <f t="shared" si="0"/>
        <v>45716</v>
      </c>
      <c r="AB981" t="str">
        <v>RES-100979</v>
      </c>
      <c r="AC981">
        <v>45938</v>
      </c>
      <c r="AD981">
        <v>0.71736111111111112</v>
      </c>
      <c r="AE981" t="str">
        <v>Envigado</v>
      </c>
      <c r="AF981" t="str">
        <v>Domicilio</v>
      </c>
      <c r="AG981" t="str">
        <v>Bebidas</v>
      </c>
      <c r="AH981">
        <v>2</v>
      </c>
      <c r="AI981">
        <v>41450.629999999997</v>
      </c>
      <c r="AJ981">
        <v>5041.1899999999996</v>
      </c>
      <c r="AK981">
        <v>20</v>
      </c>
      <c r="AL981">
        <v>53</v>
      </c>
      <c r="AM981" t="str">
        <v>Efectivo</v>
      </c>
      <c r="AN981" t="str">
        <v>Cancelada</v>
      </c>
      <c r="AO981">
        <v>5</v>
      </c>
    </row>
    <row r="982" spans="1:41" x14ac:dyDescent="0.3">
      <c r="A982" t="s">
        <v>1020</v>
      </c>
      <c r="B982" s="8">
        <v>45910</v>
      </c>
      <c r="C982" s="2">
        <v>0.76388888888888884</v>
      </c>
      <c r="D982" t="s">
        <v>15</v>
      </c>
      <c r="E982" t="s">
        <v>28</v>
      </c>
      <c r="F982" t="s">
        <v>17</v>
      </c>
      <c r="G982">
        <v>6</v>
      </c>
      <c r="H982" s="6">
        <v>48352.59</v>
      </c>
      <c r="I982" s="6">
        <v>1800.14</v>
      </c>
      <c r="J982">
        <v>27</v>
      </c>
      <c r="K982">
        <v>25</v>
      </c>
      <c r="L982" t="s">
        <v>30</v>
      </c>
      <c r="M982" t="s">
        <v>31</v>
      </c>
      <c r="N982">
        <v>4</v>
      </c>
      <c r="O982" s="4"/>
      <c r="P982" s="4" t="str">
        <f>IF(Data_Set_2[[#This Row],[valor_bruto]]&gt;$W$13,"OUTLIER+","")</f>
        <v/>
      </c>
      <c r="Q982" s="4" t="str">
        <f>IF(Data_Set_2[[#This Row],[valor_bruto]]&lt;$W$14,"OUTLIER-","")</f>
        <v/>
      </c>
      <c r="R982" s="4"/>
      <c r="S982" s="4"/>
      <c r="T982">
        <v>3</v>
      </c>
      <c r="U982">
        <v>13</v>
      </c>
      <c r="V982">
        <v>2025</v>
      </c>
      <c r="W982" s="1">
        <f t="shared" si="0"/>
        <v>45729</v>
      </c>
      <c r="AB982" t="str">
        <v>RES-100980</v>
      </c>
      <c r="AC982">
        <v>45910</v>
      </c>
      <c r="AD982">
        <v>0.76388888888888884</v>
      </c>
      <c r="AE982" t="str">
        <v>Laureles</v>
      </c>
      <c r="AF982" t="str">
        <v>Recoge</v>
      </c>
      <c r="AG982" t="str">
        <v>Comida rapida</v>
      </c>
      <c r="AH982">
        <v>6</v>
      </c>
      <c r="AI982">
        <v>48352.59</v>
      </c>
      <c r="AJ982">
        <v>1800.14</v>
      </c>
      <c r="AK982">
        <v>27</v>
      </c>
      <c r="AL982">
        <v>25</v>
      </c>
      <c r="AM982" t="str">
        <v>App</v>
      </c>
      <c r="AN982" t="str">
        <v>Reembolsada</v>
      </c>
      <c r="AO982">
        <v>4</v>
      </c>
    </row>
    <row r="983" spans="1:41" x14ac:dyDescent="0.3">
      <c r="A983" t="s">
        <v>1021</v>
      </c>
      <c r="B983" s="8">
        <v>45940</v>
      </c>
      <c r="C983" s="2">
        <v>0.81041666666666667</v>
      </c>
      <c r="D983" t="s">
        <v>21</v>
      </c>
      <c r="E983" t="s">
        <v>16</v>
      </c>
      <c r="F983" t="s">
        <v>23</v>
      </c>
      <c r="G983">
        <v>4</v>
      </c>
      <c r="H983" s="6">
        <v>31007.32</v>
      </c>
      <c r="I983" s="6">
        <v>7300.11</v>
      </c>
      <c r="J983">
        <v>19</v>
      </c>
      <c r="K983">
        <v>37</v>
      </c>
      <c r="L983" t="s">
        <v>18</v>
      </c>
      <c r="M983" t="s">
        <v>19</v>
      </c>
      <c r="N983">
        <v>4</v>
      </c>
      <c r="O983" s="4"/>
      <c r="P983" s="4" t="str">
        <f>IF(Data_Set_2[[#This Row],[valor_bruto]]&gt;$W$13,"OUTLIER+","")</f>
        <v/>
      </c>
      <c r="Q983" s="4" t="str">
        <f>IF(Data_Set_2[[#This Row],[valor_bruto]]&lt;$W$14,"OUTLIER-","")</f>
        <v/>
      </c>
      <c r="R983" s="4"/>
      <c r="S983" s="4"/>
      <c r="T983">
        <v>3</v>
      </c>
      <c r="U983">
        <v>14</v>
      </c>
      <c r="V983">
        <v>2025</v>
      </c>
      <c r="W983" s="1">
        <f t="shared" si="0"/>
        <v>45730</v>
      </c>
      <c r="AB983" t="str">
        <v>RES-100981</v>
      </c>
      <c r="AC983">
        <v>45940</v>
      </c>
      <c r="AD983">
        <v>0.81041666666666667</v>
      </c>
      <c r="AE983" t="str">
        <v>Poblado</v>
      </c>
      <c r="AF983" t="str">
        <v>Mesa</v>
      </c>
      <c r="AG983" t="str">
        <v>Pasta</v>
      </c>
      <c r="AH983">
        <v>4</v>
      </c>
      <c r="AI983">
        <v>31007.32</v>
      </c>
      <c r="AJ983">
        <v>7300.11</v>
      </c>
      <c r="AK983">
        <v>19</v>
      </c>
      <c r="AL983">
        <v>37</v>
      </c>
      <c r="AM983" t="str">
        <v>Tarjeta</v>
      </c>
      <c r="AN983" t="str">
        <v>Entregada</v>
      </c>
      <c r="AO983">
        <v>4</v>
      </c>
    </row>
    <row r="984" spans="1:41" x14ac:dyDescent="0.3">
      <c r="A984" t="s">
        <v>1022</v>
      </c>
      <c r="B984" s="8">
        <v>45941</v>
      </c>
      <c r="C984" s="2">
        <v>0.8569444444444444</v>
      </c>
      <c r="D984" t="s">
        <v>27</v>
      </c>
      <c r="E984" t="s">
        <v>22</v>
      </c>
      <c r="F984" t="s">
        <v>29</v>
      </c>
      <c r="G984">
        <v>2</v>
      </c>
      <c r="H984" s="6">
        <v>68757.09</v>
      </c>
      <c r="I984" s="6">
        <v>1999.62</v>
      </c>
      <c r="J984">
        <v>17</v>
      </c>
      <c r="K984">
        <v>31</v>
      </c>
      <c r="L984" t="s">
        <v>24</v>
      </c>
      <c r="M984" t="s">
        <v>25</v>
      </c>
      <c r="N984">
        <v>5</v>
      </c>
      <c r="O984" s="4"/>
      <c r="P984" s="4" t="str">
        <f>IF(Data_Set_2[[#This Row],[valor_bruto]]&gt;$W$13,"OUTLIER+","")</f>
        <v/>
      </c>
      <c r="Q984" s="4" t="str">
        <f>IF(Data_Set_2[[#This Row],[valor_bruto]]&lt;$W$14,"OUTLIER-","")</f>
        <v/>
      </c>
      <c r="R984" s="4"/>
      <c r="S984" s="4"/>
      <c r="T984">
        <v>3</v>
      </c>
      <c r="U984">
        <v>14</v>
      </c>
      <c r="V984">
        <v>2025</v>
      </c>
      <c r="W984" s="1">
        <f t="shared" si="0"/>
        <v>45730</v>
      </c>
      <c r="AB984" t="str">
        <v>RES-100982</v>
      </c>
      <c r="AC984">
        <v>45941</v>
      </c>
      <c r="AD984">
        <v>0.8569444444444444</v>
      </c>
      <c r="AE984" t="str">
        <v>Centro</v>
      </c>
      <c r="AF984" t="str">
        <v>Domicilio</v>
      </c>
      <c r="AG984" t="str">
        <v>Parrilla</v>
      </c>
      <c r="AH984">
        <v>2</v>
      </c>
      <c r="AI984">
        <v>68757.09</v>
      </c>
      <c r="AJ984">
        <v>1999.62</v>
      </c>
      <c r="AK984">
        <v>17</v>
      </c>
      <c r="AL984">
        <v>31</v>
      </c>
      <c r="AM984" t="str">
        <v>Efectivo</v>
      </c>
      <c r="AN984" t="str">
        <v>Cancelada</v>
      </c>
      <c r="AO984">
        <v>5</v>
      </c>
    </row>
    <row r="985" spans="1:41" x14ac:dyDescent="0.3">
      <c r="A985" t="s">
        <v>1023</v>
      </c>
      <c r="B985" s="8">
        <v>46001</v>
      </c>
      <c r="C985" s="2">
        <v>0.90347222222222223</v>
      </c>
      <c r="D985" t="s">
        <v>33</v>
      </c>
      <c r="E985" t="s">
        <v>28</v>
      </c>
      <c r="F985" t="s">
        <v>34</v>
      </c>
      <c r="G985">
        <v>2</v>
      </c>
      <c r="H985" s="6">
        <v>45803.87</v>
      </c>
      <c r="I985" s="6">
        <v>7294.47</v>
      </c>
      <c r="J985">
        <v>15</v>
      </c>
      <c r="K985">
        <v>35</v>
      </c>
      <c r="L985" t="s">
        <v>30</v>
      </c>
      <c r="M985" t="s">
        <v>31</v>
      </c>
      <c r="N985">
        <v>5</v>
      </c>
      <c r="O985" s="4"/>
      <c r="P985" s="4" t="str">
        <f>IF(Data_Set_2[[#This Row],[valor_bruto]]&gt;$W$13,"OUTLIER+","")</f>
        <v/>
      </c>
      <c r="Q985" s="4" t="str">
        <f>IF(Data_Set_2[[#This Row],[valor_bruto]]&lt;$W$14,"OUTLIER-","")</f>
        <v/>
      </c>
      <c r="R985" s="4"/>
      <c r="S985" s="4"/>
      <c r="T985">
        <v>3</v>
      </c>
      <c r="U985">
        <v>15</v>
      </c>
      <c r="V985">
        <v>2025</v>
      </c>
      <c r="W985" s="1">
        <f t="shared" si="0"/>
        <v>45731</v>
      </c>
      <c r="AB985" t="str">
        <v>RES-100983</v>
      </c>
      <c r="AC985">
        <v>46001</v>
      </c>
      <c r="AD985">
        <v>0.90347222222222223</v>
      </c>
      <c r="AE985" t="str">
        <v>Envigado</v>
      </c>
      <c r="AF985" t="str">
        <v>Recoge</v>
      </c>
      <c r="AG985" t="str">
        <v>Vegano</v>
      </c>
      <c r="AH985">
        <v>2</v>
      </c>
      <c r="AI985">
        <v>45803.87</v>
      </c>
      <c r="AJ985">
        <v>7294.47</v>
      </c>
      <c r="AK985">
        <v>15</v>
      </c>
      <c r="AL985">
        <v>35</v>
      </c>
      <c r="AM985" t="str">
        <v>App</v>
      </c>
      <c r="AN985" t="str">
        <v>Reembolsada</v>
      </c>
      <c r="AO985">
        <v>5</v>
      </c>
    </row>
    <row r="986" spans="1:41" x14ac:dyDescent="0.3">
      <c r="A986" t="s">
        <v>1024</v>
      </c>
      <c r="B986" s="8">
        <v>45943</v>
      </c>
      <c r="C986" s="2">
        <v>0.45</v>
      </c>
      <c r="D986" t="s">
        <v>15</v>
      </c>
      <c r="E986" t="s">
        <v>16</v>
      </c>
      <c r="F986" t="s">
        <v>36</v>
      </c>
      <c r="G986">
        <v>4</v>
      </c>
      <c r="H986" s="6">
        <v>42490.9</v>
      </c>
      <c r="I986" s="6">
        <v>4192.3</v>
      </c>
      <c r="J986">
        <v>17</v>
      </c>
      <c r="K986">
        <v>42</v>
      </c>
      <c r="L986" t="s">
        <v>18</v>
      </c>
      <c r="M986" t="s">
        <v>19</v>
      </c>
      <c r="N986">
        <v>3</v>
      </c>
      <c r="O986" s="4"/>
      <c r="P986" s="4" t="str">
        <f>IF(Data_Set_2[[#This Row],[valor_bruto]]&gt;$W$13,"OUTLIER+","")</f>
        <v/>
      </c>
      <c r="Q986" s="4" t="str">
        <f>IF(Data_Set_2[[#This Row],[valor_bruto]]&lt;$W$14,"OUTLIER-","")</f>
        <v/>
      </c>
      <c r="R986" s="4"/>
      <c r="S986" s="4"/>
      <c r="T986">
        <v>3</v>
      </c>
      <c r="U986">
        <v>16</v>
      </c>
      <c r="V986">
        <v>2025</v>
      </c>
      <c r="W986" s="1">
        <f t="shared" si="0"/>
        <v>45732</v>
      </c>
      <c r="AB986" t="str">
        <v>RES-100984</v>
      </c>
      <c r="AC986">
        <v>45943</v>
      </c>
      <c r="AD986">
        <v>0.45</v>
      </c>
      <c r="AE986" t="str">
        <v>Laureles</v>
      </c>
      <c r="AF986" t="str">
        <v>Mesa</v>
      </c>
      <c r="AG986" t="str">
        <v>Bebidas</v>
      </c>
      <c r="AH986">
        <v>4</v>
      </c>
      <c r="AI986">
        <v>42490.9</v>
      </c>
      <c r="AJ986">
        <v>4192.3</v>
      </c>
      <c r="AK986">
        <v>17</v>
      </c>
      <c r="AL986">
        <v>42</v>
      </c>
      <c r="AM986" t="str">
        <v>Tarjeta</v>
      </c>
      <c r="AN986" t="str">
        <v>Entregada</v>
      </c>
      <c r="AO986">
        <v>3</v>
      </c>
    </row>
    <row r="987" spans="1:41" x14ac:dyDescent="0.3">
      <c r="A987" t="s">
        <v>1025</v>
      </c>
      <c r="B987" s="8">
        <v>45944</v>
      </c>
      <c r="C987" s="2">
        <v>0.49652777777777779</v>
      </c>
      <c r="D987" t="s">
        <v>21</v>
      </c>
      <c r="E987" t="s">
        <v>22</v>
      </c>
      <c r="F987" t="s">
        <v>17</v>
      </c>
      <c r="G987">
        <v>5</v>
      </c>
      <c r="H987" s="6">
        <v>32966.870000000003</v>
      </c>
      <c r="I987" s="6">
        <v>781.09</v>
      </c>
      <c r="J987">
        <v>25</v>
      </c>
      <c r="K987">
        <v>49</v>
      </c>
      <c r="L987" t="s">
        <v>24</v>
      </c>
      <c r="M987" t="s">
        <v>25</v>
      </c>
      <c r="N987">
        <v>4</v>
      </c>
      <c r="O987" s="4"/>
      <c r="P987" s="4" t="str">
        <f>IF(Data_Set_2[[#This Row],[valor_bruto]]&gt;$W$13,"OUTLIER+","")</f>
        <v/>
      </c>
      <c r="Q987" s="4" t="str">
        <f>IF(Data_Set_2[[#This Row],[valor_bruto]]&lt;$W$14,"OUTLIER-","")</f>
        <v/>
      </c>
      <c r="R987" s="4"/>
      <c r="S987" s="4"/>
      <c r="T987">
        <v>3</v>
      </c>
      <c r="U987">
        <v>17</v>
      </c>
      <c r="V987">
        <v>2025</v>
      </c>
      <c r="W987" s="1">
        <f t="shared" si="0"/>
        <v>45733</v>
      </c>
      <c r="AB987" t="str">
        <v>RES-100985</v>
      </c>
      <c r="AC987">
        <v>45944</v>
      </c>
      <c r="AD987">
        <v>0.49652777777777779</v>
      </c>
      <c r="AE987" t="str">
        <v>Poblado</v>
      </c>
      <c r="AF987" t="str">
        <v>Domicilio</v>
      </c>
      <c r="AG987" t="str">
        <v>Comida rapida</v>
      </c>
      <c r="AH987">
        <v>5</v>
      </c>
      <c r="AI987">
        <v>32966.870000000003</v>
      </c>
      <c r="AJ987">
        <v>781.09</v>
      </c>
      <c r="AK987">
        <v>25</v>
      </c>
      <c r="AL987">
        <v>49</v>
      </c>
      <c r="AM987" t="str">
        <v>Efectivo</v>
      </c>
      <c r="AN987" t="str">
        <v>Cancelada</v>
      </c>
      <c r="AO987">
        <v>4</v>
      </c>
    </row>
    <row r="988" spans="1:41" x14ac:dyDescent="0.3">
      <c r="A988" t="s">
        <v>1026</v>
      </c>
      <c r="B988" s="8">
        <v>45945</v>
      </c>
      <c r="C988" s="2">
        <v>0.50138888888888888</v>
      </c>
      <c r="D988" t="s">
        <v>27</v>
      </c>
      <c r="E988" t="s">
        <v>28</v>
      </c>
      <c r="F988" t="s">
        <v>23</v>
      </c>
      <c r="G988">
        <v>3</v>
      </c>
      <c r="H988" s="6">
        <v>26213.89</v>
      </c>
      <c r="I988" s="6">
        <v>2889.82</v>
      </c>
      <c r="J988">
        <v>29</v>
      </c>
      <c r="K988">
        <v>42</v>
      </c>
      <c r="L988" t="s">
        <v>30</v>
      </c>
      <c r="M988" t="s">
        <v>31</v>
      </c>
      <c r="N988">
        <v>3</v>
      </c>
      <c r="O988" s="4"/>
      <c r="P988" s="4" t="str">
        <f>IF(Data_Set_2[[#This Row],[valor_bruto]]&gt;$W$13,"OUTLIER+","")</f>
        <v/>
      </c>
      <c r="Q988" s="4" t="str">
        <f>IF(Data_Set_2[[#This Row],[valor_bruto]]&lt;$W$14,"OUTLIER-","")</f>
        <v/>
      </c>
      <c r="R988" s="4"/>
      <c r="S988" s="4"/>
      <c r="T988">
        <v>3</v>
      </c>
      <c r="U988">
        <v>17</v>
      </c>
      <c r="V988">
        <v>2025</v>
      </c>
      <c r="W988" s="1">
        <f t="shared" si="0"/>
        <v>45733</v>
      </c>
      <c r="AB988" t="str">
        <v>RES-100986</v>
      </c>
      <c r="AC988">
        <v>45945</v>
      </c>
      <c r="AD988">
        <v>0.50138888888888888</v>
      </c>
      <c r="AE988" t="str">
        <v>Centro</v>
      </c>
      <c r="AF988" t="str">
        <v>Recoge</v>
      </c>
      <c r="AG988" t="str">
        <v>Pasta</v>
      </c>
      <c r="AH988">
        <v>3</v>
      </c>
      <c r="AI988">
        <v>26213.89</v>
      </c>
      <c r="AJ988">
        <v>2889.82</v>
      </c>
      <c r="AK988">
        <v>29</v>
      </c>
      <c r="AL988">
        <v>42</v>
      </c>
      <c r="AM988" t="str">
        <v>App</v>
      </c>
      <c r="AN988" t="str">
        <v>Reembolsada</v>
      </c>
      <c r="AO988">
        <v>3</v>
      </c>
    </row>
    <row r="989" spans="1:41" x14ac:dyDescent="0.3">
      <c r="A989" t="s">
        <v>1027</v>
      </c>
      <c r="B989" s="8">
        <v>45946</v>
      </c>
      <c r="C989" s="2">
        <v>0.54791666666666672</v>
      </c>
      <c r="D989" t="s">
        <v>33</v>
      </c>
      <c r="E989" t="s">
        <v>16</v>
      </c>
      <c r="F989" t="s">
        <v>29</v>
      </c>
      <c r="G989">
        <v>3</v>
      </c>
      <c r="H989" s="6">
        <v>34230.239999999998</v>
      </c>
      <c r="I989" s="6">
        <v>6612.3</v>
      </c>
      <c r="J989">
        <v>21</v>
      </c>
      <c r="K989">
        <v>24</v>
      </c>
      <c r="L989" t="s">
        <v>18</v>
      </c>
      <c r="M989" t="s">
        <v>19</v>
      </c>
      <c r="N989">
        <v>3</v>
      </c>
      <c r="O989" s="4"/>
      <c r="P989" s="4" t="str">
        <f>IF(Data_Set_2[[#This Row],[valor_bruto]]&gt;$W$13,"OUTLIER+","")</f>
        <v/>
      </c>
      <c r="Q989" s="4" t="str">
        <f>IF(Data_Set_2[[#This Row],[valor_bruto]]&lt;$W$14,"OUTLIER-","")</f>
        <v/>
      </c>
      <c r="R989" s="4"/>
      <c r="S989" s="4"/>
      <c r="T989">
        <v>3</v>
      </c>
      <c r="U989">
        <v>18</v>
      </c>
      <c r="V989">
        <v>2025</v>
      </c>
      <c r="W989" s="1">
        <f t="shared" si="0"/>
        <v>45734</v>
      </c>
      <c r="AB989" t="str">
        <v>RES-100987</v>
      </c>
      <c r="AC989">
        <v>45946</v>
      </c>
      <c r="AD989">
        <v>0.54791666666666672</v>
      </c>
      <c r="AE989" t="str">
        <v>Envigado</v>
      </c>
      <c r="AF989" t="str">
        <v>Mesa</v>
      </c>
      <c r="AG989" t="str">
        <v>Parrilla</v>
      </c>
      <c r="AH989">
        <v>3</v>
      </c>
      <c r="AI989">
        <v>34230.239999999998</v>
      </c>
      <c r="AJ989">
        <v>6612.3</v>
      </c>
      <c r="AK989">
        <v>21</v>
      </c>
      <c r="AL989">
        <v>24</v>
      </c>
      <c r="AM989" t="str">
        <v>Tarjeta</v>
      </c>
      <c r="AN989" t="str">
        <v>Entregada</v>
      </c>
      <c r="AO989">
        <v>3</v>
      </c>
    </row>
    <row r="990" spans="1:41" x14ac:dyDescent="0.3">
      <c r="A990" t="s">
        <v>1028</v>
      </c>
      <c r="B990" s="8">
        <v>45947</v>
      </c>
      <c r="C990" s="2">
        <v>0.59444444444444444</v>
      </c>
      <c r="D990" t="s">
        <v>15</v>
      </c>
      <c r="E990" t="s">
        <v>22</v>
      </c>
      <c r="F990" t="s">
        <v>34</v>
      </c>
      <c r="G990">
        <v>2</v>
      </c>
      <c r="H990" s="6">
        <v>42849.919999999998</v>
      </c>
      <c r="I990" s="6">
        <v>4183.01</v>
      </c>
      <c r="J990">
        <v>17</v>
      </c>
      <c r="K990">
        <v>26</v>
      </c>
      <c r="L990" t="s">
        <v>24</v>
      </c>
      <c r="M990" t="s">
        <v>25</v>
      </c>
      <c r="N990">
        <v>5</v>
      </c>
      <c r="O990" s="4"/>
      <c r="P990" s="4" t="str">
        <f>IF(Data_Set_2[[#This Row],[valor_bruto]]&gt;$W$13,"OUTLIER+","")</f>
        <v/>
      </c>
      <c r="Q990" s="4" t="str">
        <f>IF(Data_Set_2[[#This Row],[valor_bruto]]&lt;$W$14,"OUTLIER-","")</f>
        <v/>
      </c>
      <c r="R990" s="4"/>
      <c r="S990" s="4"/>
      <c r="T990">
        <v>3</v>
      </c>
      <c r="U990">
        <v>19</v>
      </c>
      <c r="V990">
        <v>2025</v>
      </c>
      <c r="W990" s="1">
        <f t="shared" si="0"/>
        <v>45735</v>
      </c>
      <c r="AB990" t="str">
        <v>RES-100988</v>
      </c>
      <c r="AC990">
        <v>45947</v>
      </c>
      <c r="AD990">
        <v>0.59444444444444444</v>
      </c>
      <c r="AE990" t="str">
        <v>Laureles</v>
      </c>
      <c r="AF990" t="str">
        <v>Domicilio</v>
      </c>
      <c r="AG990" t="str">
        <v>Vegano</v>
      </c>
      <c r="AH990">
        <v>2</v>
      </c>
      <c r="AI990">
        <v>42849.919999999998</v>
      </c>
      <c r="AJ990">
        <v>4183.01</v>
      </c>
      <c r="AK990">
        <v>17</v>
      </c>
      <c r="AL990">
        <v>26</v>
      </c>
      <c r="AM990" t="str">
        <v>Efectivo</v>
      </c>
      <c r="AN990" t="str">
        <v>Cancelada</v>
      </c>
      <c r="AO990">
        <v>5</v>
      </c>
    </row>
    <row r="991" spans="1:41" x14ac:dyDescent="0.3">
      <c r="A991" t="s">
        <v>1029</v>
      </c>
      <c r="B991" s="8">
        <v>45948</v>
      </c>
      <c r="C991" s="2">
        <v>0.64097222222222228</v>
      </c>
      <c r="D991" t="s">
        <v>21</v>
      </c>
      <c r="E991" t="s">
        <v>28</v>
      </c>
      <c r="F991" t="s">
        <v>36</v>
      </c>
      <c r="G991">
        <v>5</v>
      </c>
      <c r="H991" s="6">
        <v>59530.92</v>
      </c>
      <c r="I991" s="6">
        <v>1303.78</v>
      </c>
      <c r="J991">
        <v>16</v>
      </c>
      <c r="K991">
        <v>30</v>
      </c>
      <c r="L991" t="s">
        <v>30</v>
      </c>
      <c r="M991" t="s">
        <v>31</v>
      </c>
      <c r="N991">
        <v>4</v>
      </c>
      <c r="O991" s="4"/>
      <c r="P991" s="4" t="str">
        <f>IF(Data_Set_2[[#This Row],[valor_bruto]]&gt;$W$13,"OUTLIER+","")</f>
        <v/>
      </c>
      <c r="Q991" s="4" t="str">
        <f>IF(Data_Set_2[[#This Row],[valor_bruto]]&lt;$W$14,"OUTLIER-","")</f>
        <v/>
      </c>
      <c r="R991" s="4"/>
      <c r="S991" s="4"/>
      <c r="T991">
        <v>3</v>
      </c>
      <c r="U991">
        <v>20</v>
      </c>
      <c r="V991">
        <v>2025</v>
      </c>
      <c r="W991" s="1">
        <f t="shared" si="0"/>
        <v>45736</v>
      </c>
      <c r="AB991" t="str">
        <v>RES-100989</v>
      </c>
      <c r="AC991">
        <v>45948</v>
      </c>
      <c r="AD991">
        <v>0.64097222222222228</v>
      </c>
      <c r="AE991" t="str">
        <v>Poblado</v>
      </c>
      <c r="AF991" t="str">
        <v>Recoge</v>
      </c>
      <c r="AG991" t="str">
        <v>Bebidas</v>
      </c>
      <c r="AH991">
        <v>5</v>
      </c>
      <c r="AI991">
        <v>59530.92</v>
      </c>
      <c r="AJ991">
        <v>1303.78</v>
      </c>
      <c r="AK991">
        <v>16</v>
      </c>
      <c r="AL991">
        <v>30</v>
      </c>
      <c r="AM991" t="str">
        <v>App</v>
      </c>
      <c r="AN991" t="str">
        <v>Reembolsada</v>
      </c>
      <c r="AO991">
        <v>4</v>
      </c>
    </row>
    <row r="992" spans="1:41" x14ac:dyDescent="0.3">
      <c r="A992" t="s">
        <v>1030</v>
      </c>
      <c r="B992" s="8">
        <v>45949</v>
      </c>
      <c r="C992" s="2">
        <v>0.6875</v>
      </c>
      <c r="D992" t="s">
        <v>27</v>
      </c>
      <c r="E992" t="s">
        <v>16</v>
      </c>
      <c r="F992" t="s">
        <v>17</v>
      </c>
      <c r="G992">
        <v>6</v>
      </c>
      <c r="H992" s="6">
        <v>59987.56</v>
      </c>
      <c r="I992" s="6">
        <v>2708.95</v>
      </c>
      <c r="J992">
        <v>31</v>
      </c>
      <c r="K992">
        <v>34</v>
      </c>
      <c r="L992" t="s">
        <v>18</v>
      </c>
      <c r="M992" t="s">
        <v>19</v>
      </c>
      <c r="N992">
        <v>5</v>
      </c>
      <c r="O992" s="4"/>
      <c r="P992" s="4" t="str">
        <f>IF(Data_Set_2[[#This Row],[valor_bruto]]&gt;$W$13,"OUTLIER+","")</f>
        <v/>
      </c>
      <c r="Q992" s="4" t="str">
        <f>IF(Data_Set_2[[#This Row],[valor_bruto]]&lt;$W$14,"OUTLIER-","")</f>
        <v/>
      </c>
      <c r="R992" s="4"/>
      <c r="S992" s="4"/>
      <c r="T992">
        <v>3</v>
      </c>
      <c r="U992">
        <v>20</v>
      </c>
      <c r="V992">
        <v>2025</v>
      </c>
      <c r="W992" s="1">
        <f t="shared" si="0"/>
        <v>45736</v>
      </c>
      <c r="AB992" t="str">
        <v>RES-100990</v>
      </c>
      <c r="AC992">
        <v>45949</v>
      </c>
      <c r="AD992">
        <v>0.6875</v>
      </c>
      <c r="AE992" t="str">
        <v>Centro</v>
      </c>
      <c r="AF992" t="str">
        <v>Mesa</v>
      </c>
      <c r="AG992" t="str">
        <v>Comida rapida</v>
      </c>
      <c r="AH992">
        <v>6</v>
      </c>
      <c r="AI992">
        <v>59987.56</v>
      </c>
      <c r="AJ992">
        <v>2708.95</v>
      </c>
      <c r="AK992">
        <v>31</v>
      </c>
      <c r="AL992">
        <v>34</v>
      </c>
      <c r="AM992" t="str">
        <v>Tarjeta</v>
      </c>
      <c r="AN992" t="str">
        <v>Entregada</v>
      </c>
      <c r="AO992">
        <v>5</v>
      </c>
    </row>
    <row r="993" spans="1:41" x14ac:dyDescent="0.3">
      <c r="A993" t="s">
        <v>1031</v>
      </c>
      <c r="B993" s="8">
        <v>45950</v>
      </c>
      <c r="C993" s="2">
        <v>0.73402777777777772</v>
      </c>
      <c r="D993" t="s">
        <v>33</v>
      </c>
      <c r="E993" t="s">
        <v>22</v>
      </c>
      <c r="F993" t="s">
        <v>23</v>
      </c>
      <c r="G993">
        <v>5</v>
      </c>
      <c r="H993" s="6">
        <v>34776.080000000002</v>
      </c>
      <c r="I993" s="6">
        <v>3359.74</v>
      </c>
      <c r="J993">
        <v>31</v>
      </c>
      <c r="K993">
        <v>29</v>
      </c>
      <c r="L993" t="s">
        <v>24</v>
      </c>
      <c r="M993" t="s">
        <v>25</v>
      </c>
      <c r="N993">
        <v>4</v>
      </c>
      <c r="O993" s="4"/>
      <c r="P993" s="4" t="str">
        <f>IF(Data_Set_2[[#This Row],[valor_bruto]]&gt;$W$13,"OUTLIER+","")</f>
        <v/>
      </c>
      <c r="Q993" s="4" t="str">
        <f>IF(Data_Set_2[[#This Row],[valor_bruto]]&lt;$W$14,"OUTLIER-","")</f>
        <v/>
      </c>
      <c r="R993" s="4"/>
      <c r="S993" s="4"/>
      <c r="T993">
        <v>3</v>
      </c>
      <c r="U993">
        <v>21</v>
      </c>
      <c r="V993">
        <v>2025</v>
      </c>
      <c r="W993" s="1">
        <f t="shared" si="0"/>
        <v>45737</v>
      </c>
      <c r="AB993" t="str">
        <v>RES-100991</v>
      </c>
      <c r="AC993">
        <v>45950</v>
      </c>
      <c r="AD993">
        <v>0.73402777777777772</v>
      </c>
      <c r="AE993" t="str">
        <v>Envigado</v>
      </c>
      <c r="AF993" t="str">
        <v>Domicilio</v>
      </c>
      <c r="AG993" t="str">
        <v>Pasta</v>
      </c>
      <c r="AH993">
        <v>5</v>
      </c>
      <c r="AI993">
        <v>34776.080000000002</v>
      </c>
      <c r="AJ993">
        <v>3359.74</v>
      </c>
      <c r="AK993">
        <v>31</v>
      </c>
      <c r="AL993">
        <v>29</v>
      </c>
      <c r="AM993" t="str">
        <v>Efectivo</v>
      </c>
      <c r="AN993" t="str">
        <v>Cancelada</v>
      </c>
      <c r="AO993">
        <v>4</v>
      </c>
    </row>
    <row r="994" spans="1:41" x14ac:dyDescent="0.3">
      <c r="A994" t="s">
        <v>1032</v>
      </c>
      <c r="B994" s="8">
        <v>45951</v>
      </c>
      <c r="C994" s="2">
        <v>0.78055555555555556</v>
      </c>
      <c r="D994" t="s">
        <v>15</v>
      </c>
      <c r="E994" t="s">
        <v>28</v>
      </c>
      <c r="F994" t="s">
        <v>29</v>
      </c>
      <c r="G994">
        <v>5</v>
      </c>
      <c r="H994" s="6">
        <v>54366.95</v>
      </c>
      <c r="I994" s="6">
        <v>2572.65</v>
      </c>
      <c r="J994">
        <v>29</v>
      </c>
      <c r="K994">
        <v>47</v>
      </c>
      <c r="L994" t="s">
        <v>30</v>
      </c>
      <c r="M994" t="s">
        <v>31</v>
      </c>
      <c r="N994">
        <v>5</v>
      </c>
      <c r="O994" s="4"/>
      <c r="P994" s="4" t="str">
        <f>IF(Data_Set_2[[#This Row],[valor_bruto]]&gt;$W$13,"OUTLIER+","")</f>
        <v/>
      </c>
      <c r="Q994" s="4" t="str">
        <f>IF(Data_Set_2[[#This Row],[valor_bruto]]&lt;$W$14,"OUTLIER-","")</f>
        <v/>
      </c>
      <c r="R994" s="4"/>
      <c r="S994" s="4"/>
      <c r="T994">
        <v>3</v>
      </c>
      <c r="U994">
        <v>22</v>
      </c>
      <c r="V994">
        <v>2025</v>
      </c>
      <c r="W994" s="1">
        <f t="shared" si="0"/>
        <v>45738</v>
      </c>
      <c r="AB994" t="str">
        <v>RES-100992</v>
      </c>
      <c r="AC994">
        <v>45951</v>
      </c>
      <c r="AD994">
        <v>0.78055555555555556</v>
      </c>
      <c r="AE994" t="str">
        <v>Laureles</v>
      </c>
      <c r="AF994" t="str">
        <v>Recoge</v>
      </c>
      <c r="AG994" t="str">
        <v>Parrilla</v>
      </c>
      <c r="AH994">
        <v>5</v>
      </c>
      <c r="AI994">
        <v>54366.95</v>
      </c>
      <c r="AJ994">
        <v>2572.65</v>
      </c>
      <c r="AK994">
        <v>29</v>
      </c>
      <c r="AL994">
        <v>47</v>
      </c>
      <c r="AM994" t="str">
        <v>App</v>
      </c>
      <c r="AN994" t="str">
        <v>Reembolsada</v>
      </c>
      <c r="AO994">
        <v>5</v>
      </c>
    </row>
    <row r="995" spans="1:41" x14ac:dyDescent="0.3">
      <c r="A995" t="s">
        <v>1033</v>
      </c>
      <c r="B995" s="8">
        <v>45952</v>
      </c>
      <c r="C995" s="2">
        <v>0.82708333333333328</v>
      </c>
      <c r="D995" t="s">
        <v>21</v>
      </c>
      <c r="E995" t="s">
        <v>16</v>
      </c>
      <c r="F995" t="s">
        <v>34</v>
      </c>
      <c r="G995">
        <v>6</v>
      </c>
      <c r="H995" s="6">
        <v>34261.74</v>
      </c>
      <c r="I995" s="6">
        <v>1147.6500000000001</v>
      </c>
      <c r="J995">
        <v>29</v>
      </c>
      <c r="K995">
        <v>31</v>
      </c>
      <c r="L995" t="s">
        <v>18</v>
      </c>
      <c r="M995" t="s">
        <v>19</v>
      </c>
      <c r="N995">
        <v>4</v>
      </c>
      <c r="O995" s="4"/>
      <c r="P995" s="4" t="str">
        <f>IF(Data_Set_2[[#This Row],[valor_bruto]]&gt;$W$13,"OUTLIER+","")</f>
        <v/>
      </c>
      <c r="Q995" s="4" t="str">
        <f>IF(Data_Set_2[[#This Row],[valor_bruto]]&lt;$W$14,"OUTLIER-","")</f>
        <v/>
      </c>
      <c r="R995" s="4"/>
      <c r="S995" s="4"/>
      <c r="T995">
        <v>3</v>
      </c>
      <c r="U995">
        <v>23</v>
      </c>
      <c r="V995">
        <v>2025</v>
      </c>
      <c r="W995" s="1">
        <f t="shared" si="0"/>
        <v>45739</v>
      </c>
      <c r="AB995" t="str">
        <v>RES-100993</v>
      </c>
      <c r="AC995">
        <v>45952</v>
      </c>
      <c r="AD995">
        <v>0.82708333333333328</v>
      </c>
      <c r="AE995" t="str">
        <v>Poblado</v>
      </c>
      <c r="AF995" t="str">
        <v>Mesa</v>
      </c>
      <c r="AG995" t="str">
        <v>Vegano</v>
      </c>
      <c r="AH995">
        <v>6</v>
      </c>
      <c r="AI995">
        <v>34261.74</v>
      </c>
      <c r="AJ995">
        <v>1147.6500000000001</v>
      </c>
      <c r="AK995">
        <v>29</v>
      </c>
      <c r="AL995">
        <v>31</v>
      </c>
      <c r="AM995" t="str">
        <v>Tarjeta</v>
      </c>
      <c r="AN995" t="str">
        <v>Entregada</v>
      </c>
      <c r="AO995">
        <v>4</v>
      </c>
    </row>
    <row r="996" spans="1:41" x14ac:dyDescent="0.3">
      <c r="A996" t="s">
        <v>1034</v>
      </c>
      <c r="B996" s="8">
        <v>45953</v>
      </c>
      <c r="C996" s="2">
        <v>0.87361111111111112</v>
      </c>
      <c r="D996" t="s">
        <v>27</v>
      </c>
      <c r="E996" t="s">
        <v>22</v>
      </c>
      <c r="F996" t="s">
        <v>36</v>
      </c>
      <c r="G996">
        <v>5</v>
      </c>
      <c r="H996" s="6">
        <v>57959.29</v>
      </c>
      <c r="I996" s="6">
        <v>817.92</v>
      </c>
      <c r="J996">
        <v>18</v>
      </c>
      <c r="K996">
        <v>37</v>
      </c>
      <c r="L996" t="s">
        <v>24</v>
      </c>
      <c r="M996" t="s">
        <v>25</v>
      </c>
      <c r="N996">
        <v>3</v>
      </c>
      <c r="O996" s="4"/>
      <c r="P996" s="4" t="str">
        <f>IF(Data_Set_2[[#This Row],[valor_bruto]]&gt;$W$13,"OUTLIER+","")</f>
        <v/>
      </c>
      <c r="Q996" s="4" t="str">
        <f>IF(Data_Set_2[[#This Row],[valor_bruto]]&lt;$W$14,"OUTLIER-","")</f>
        <v/>
      </c>
      <c r="R996" s="4"/>
      <c r="S996" s="4"/>
      <c r="T996">
        <v>3</v>
      </c>
      <c r="U996">
        <v>23</v>
      </c>
      <c r="V996">
        <v>2025</v>
      </c>
      <c r="W996" s="1">
        <f t="shared" si="0"/>
        <v>45739</v>
      </c>
      <c r="AB996" t="str">
        <v>RES-100994</v>
      </c>
      <c r="AC996">
        <v>45953</v>
      </c>
      <c r="AD996">
        <v>0.87361111111111112</v>
      </c>
      <c r="AE996" t="str">
        <v>Centro</v>
      </c>
      <c r="AF996" t="str">
        <v>Domicilio</v>
      </c>
      <c r="AG996" t="str">
        <v>Bebidas</v>
      </c>
      <c r="AH996">
        <v>5</v>
      </c>
      <c r="AI996">
        <v>57959.29</v>
      </c>
      <c r="AJ996">
        <v>817.92</v>
      </c>
      <c r="AK996">
        <v>18</v>
      </c>
      <c r="AL996">
        <v>37</v>
      </c>
      <c r="AM996" t="str">
        <v>Efectivo</v>
      </c>
      <c r="AN996" t="str">
        <v>Cancelada</v>
      </c>
      <c r="AO996">
        <v>3</v>
      </c>
    </row>
    <row r="997" spans="1:41" x14ac:dyDescent="0.3">
      <c r="A997" t="s">
        <v>1035</v>
      </c>
      <c r="B997" s="8">
        <v>45954</v>
      </c>
      <c r="C997" s="2">
        <v>0.87847222222222221</v>
      </c>
      <c r="D997" t="s">
        <v>33</v>
      </c>
      <c r="E997" t="s">
        <v>28</v>
      </c>
      <c r="F997" t="s">
        <v>17</v>
      </c>
      <c r="G997">
        <v>3</v>
      </c>
      <c r="H997" s="6">
        <v>38321.56</v>
      </c>
      <c r="I997" s="6">
        <v>4339.3100000000004</v>
      </c>
      <c r="J997">
        <v>20</v>
      </c>
      <c r="K997">
        <v>43</v>
      </c>
      <c r="L997" t="s">
        <v>30</v>
      </c>
      <c r="M997" t="s">
        <v>31</v>
      </c>
      <c r="N997">
        <v>3</v>
      </c>
      <c r="O997" s="4"/>
      <c r="P997" s="4" t="str">
        <f>IF(Data_Set_2[[#This Row],[valor_bruto]]&gt;$W$13,"OUTLIER+","")</f>
        <v/>
      </c>
      <c r="Q997" s="4" t="str">
        <f>IF(Data_Set_2[[#This Row],[valor_bruto]]&lt;$W$14,"OUTLIER-","")</f>
        <v/>
      </c>
      <c r="R997" s="4"/>
      <c r="S997" s="4"/>
      <c r="T997">
        <v>3</v>
      </c>
      <c r="U997">
        <v>24</v>
      </c>
      <c r="V997">
        <v>2025</v>
      </c>
      <c r="W997" s="1">
        <f t="shared" si="0"/>
        <v>45740</v>
      </c>
      <c r="AB997" t="str">
        <v>RES-100995</v>
      </c>
      <c r="AC997">
        <v>45954</v>
      </c>
      <c r="AD997">
        <v>0.87847222222222221</v>
      </c>
      <c r="AE997" t="str">
        <v>Envigado</v>
      </c>
      <c r="AF997" t="str">
        <v>Recoge</v>
      </c>
      <c r="AG997" t="str">
        <v>Comida rapida</v>
      </c>
      <c r="AH997">
        <v>3</v>
      </c>
      <c r="AI997">
        <v>38321.56</v>
      </c>
      <c r="AJ997">
        <v>4339.3100000000004</v>
      </c>
      <c r="AK997">
        <v>20</v>
      </c>
      <c r="AL997">
        <v>43</v>
      </c>
      <c r="AM997" t="str">
        <v>App</v>
      </c>
      <c r="AN997" t="str">
        <v>Reembolsada</v>
      </c>
      <c r="AO997">
        <v>3</v>
      </c>
    </row>
    <row r="998" spans="1:41" x14ac:dyDescent="0.3">
      <c r="A998" t="s">
        <v>1036</v>
      </c>
      <c r="B998" s="8">
        <v>45955</v>
      </c>
      <c r="C998" s="2">
        <v>0.42499999999999999</v>
      </c>
      <c r="D998" t="s">
        <v>15</v>
      </c>
      <c r="E998" t="s">
        <v>16</v>
      </c>
      <c r="F998" t="s">
        <v>23</v>
      </c>
      <c r="G998">
        <v>3</v>
      </c>
      <c r="H998" s="6">
        <v>28094.41</v>
      </c>
      <c r="I998" s="6">
        <v>5065.03</v>
      </c>
      <c r="J998">
        <v>28</v>
      </c>
      <c r="K998">
        <v>24</v>
      </c>
      <c r="L998" t="s">
        <v>18</v>
      </c>
      <c r="M998" t="s">
        <v>19</v>
      </c>
      <c r="N998">
        <v>5</v>
      </c>
      <c r="O998" s="4"/>
      <c r="P998" s="4" t="str">
        <f>IF(Data_Set_2[[#This Row],[valor_bruto]]&gt;$W$13,"OUTLIER+","")</f>
        <v/>
      </c>
      <c r="Q998" s="4" t="str">
        <f>IF(Data_Set_2[[#This Row],[valor_bruto]]&lt;$W$14,"OUTLIER-","")</f>
        <v/>
      </c>
      <c r="R998" s="4"/>
      <c r="S998" s="4"/>
      <c r="T998">
        <v>3</v>
      </c>
      <c r="U998">
        <v>25</v>
      </c>
      <c r="V998">
        <v>2025</v>
      </c>
      <c r="W998" s="1">
        <f t="shared" si="0"/>
        <v>45741</v>
      </c>
      <c r="AB998" t="str">
        <v>RES-100996</v>
      </c>
      <c r="AC998">
        <v>45955</v>
      </c>
      <c r="AD998">
        <v>0.42499999999999999</v>
      </c>
      <c r="AE998" t="str">
        <v>Laureles</v>
      </c>
      <c r="AF998" t="str">
        <v>Mesa</v>
      </c>
      <c r="AG998" t="str">
        <v>Pasta</v>
      </c>
      <c r="AH998">
        <v>3</v>
      </c>
      <c r="AI998">
        <v>28094.41</v>
      </c>
      <c r="AJ998">
        <v>5065.03</v>
      </c>
      <c r="AK998">
        <v>28</v>
      </c>
      <c r="AL998">
        <v>24</v>
      </c>
      <c r="AM998" t="str">
        <v>Tarjeta</v>
      </c>
      <c r="AN998" t="str">
        <v>Entregada</v>
      </c>
      <c r="AO998">
        <v>5</v>
      </c>
    </row>
    <row r="999" spans="1:41" x14ac:dyDescent="0.3">
      <c r="A999" t="s">
        <v>1037</v>
      </c>
      <c r="B999" s="8">
        <v>45956</v>
      </c>
      <c r="C999" s="2">
        <v>0.47152777777777777</v>
      </c>
      <c r="D999" t="s">
        <v>21</v>
      </c>
      <c r="E999" t="s">
        <v>22</v>
      </c>
      <c r="F999" t="s">
        <v>29</v>
      </c>
      <c r="G999">
        <v>6</v>
      </c>
      <c r="H999" s="6">
        <v>31629.01</v>
      </c>
      <c r="I999" s="6">
        <v>8218.2800000000007</v>
      </c>
      <c r="J999">
        <v>19</v>
      </c>
      <c r="K999">
        <v>39</v>
      </c>
      <c r="L999" t="s">
        <v>24</v>
      </c>
      <c r="M999" t="s">
        <v>25</v>
      </c>
      <c r="N999">
        <v>5</v>
      </c>
      <c r="O999" s="4"/>
      <c r="P999" s="4" t="str">
        <f>IF(Data_Set_2[[#This Row],[valor_bruto]]&gt;$W$13,"OUTLIER+","")</f>
        <v/>
      </c>
      <c r="Q999" s="4" t="str">
        <f>IF(Data_Set_2[[#This Row],[valor_bruto]]&lt;$W$14,"OUTLIER-","")</f>
        <v/>
      </c>
      <c r="R999" s="4"/>
      <c r="S999" s="4"/>
      <c r="T999">
        <v>3</v>
      </c>
      <c r="U999">
        <v>26</v>
      </c>
      <c r="V999">
        <v>2025</v>
      </c>
      <c r="W999" s="1">
        <f t="shared" si="0"/>
        <v>45742</v>
      </c>
      <c r="AB999" t="str">
        <v>RES-100997</v>
      </c>
      <c r="AC999">
        <v>45956</v>
      </c>
      <c r="AD999">
        <v>0.47152777777777777</v>
      </c>
      <c r="AE999" t="str">
        <v>Poblado</v>
      </c>
      <c r="AF999" t="str">
        <v>Domicilio</v>
      </c>
      <c r="AG999" t="str">
        <v>Parrilla</v>
      </c>
      <c r="AH999">
        <v>6</v>
      </c>
      <c r="AI999">
        <v>31629.01</v>
      </c>
      <c r="AJ999">
        <v>8218.2800000000007</v>
      </c>
      <c r="AK999">
        <v>19</v>
      </c>
      <c r="AL999">
        <v>39</v>
      </c>
      <c r="AM999" t="str">
        <v>Efectivo</v>
      </c>
      <c r="AN999" t="str">
        <v>Cancelada</v>
      </c>
      <c r="AO999">
        <v>5</v>
      </c>
    </row>
    <row r="1000" spans="1:41" x14ac:dyDescent="0.3">
      <c r="A1000" t="s">
        <v>1038</v>
      </c>
      <c r="B1000" s="8">
        <v>45957</v>
      </c>
      <c r="C1000" s="2">
        <v>0.5180555555555556</v>
      </c>
      <c r="D1000" t="s">
        <v>27</v>
      </c>
      <c r="E1000" t="s">
        <v>28</v>
      </c>
      <c r="F1000" t="s">
        <v>34</v>
      </c>
      <c r="G1000">
        <v>2</v>
      </c>
      <c r="H1000" s="6">
        <v>35795.050000000003</v>
      </c>
      <c r="I1000" s="6">
        <v>604.28</v>
      </c>
      <c r="J1000">
        <v>25</v>
      </c>
      <c r="K1000">
        <v>42</v>
      </c>
      <c r="L1000" t="s">
        <v>30</v>
      </c>
      <c r="M1000" t="s">
        <v>31</v>
      </c>
      <c r="N1000">
        <v>4</v>
      </c>
      <c r="O1000" s="4"/>
      <c r="P1000" s="4" t="str">
        <f>IF(Data_Set_2[[#This Row],[valor_bruto]]&gt;$W$13,"OUTLIER+","")</f>
        <v/>
      </c>
      <c r="Q1000" s="4" t="str">
        <f>IF(Data_Set_2[[#This Row],[valor_bruto]]&lt;$W$14,"OUTLIER-","")</f>
        <v/>
      </c>
      <c r="R1000" s="4"/>
      <c r="S1000" s="4"/>
      <c r="T1000">
        <v>3</v>
      </c>
      <c r="U1000">
        <v>26</v>
      </c>
      <c r="V1000">
        <v>2025</v>
      </c>
      <c r="W1000" s="1">
        <f t="shared" si="0"/>
        <v>45742</v>
      </c>
      <c r="AB1000" t="str">
        <v>RES-100998</v>
      </c>
      <c r="AC1000">
        <v>45957</v>
      </c>
      <c r="AD1000">
        <v>0.5180555555555556</v>
      </c>
      <c r="AE1000" t="str">
        <v>Centro</v>
      </c>
      <c r="AF1000" t="str">
        <v>Recoge</v>
      </c>
      <c r="AG1000" t="str">
        <v>Vegano</v>
      </c>
      <c r="AH1000">
        <v>2</v>
      </c>
      <c r="AI1000">
        <v>35795.050000000003</v>
      </c>
      <c r="AJ1000">
        <v>604.28</v>
      </c>
      <c r="AK1000">
        <v>25</v>
      </c>
      <c r="AL1000">
        <v>42</v>
      </c>
      <c r="AM1000" t="str">
        <v>App</v>
      </c>
      <c r="AN1000" t="str">
        <v>Reembolsada</v>
      </c>
      <c r="AO1000">
        <v>4</v>
      </c>
    </row>
    <row r="1001" spans="1:41" x14ac:dyDescent="0.3">
      <c r="A1001" t="s">
        <v>1039</v>
      </c>
      <c r="B1001" s="8">
        <v>45958</v>
      </c>
      <c r="C1001" s="2">
        <v>0.56458333333333333</v>
      </c>
      <c r="D1001" t="s">
        <v>33</v>
      </c>
      <c r="E1001" t="s">
        <v>16</v>
      </c>
      <c r="F1001" t="s">
        <v>36</v>
      </c>
      <c r="G1001">
        <v>6</v>
      </c>
      <c r="H1001" s="6">
        <v>53953.440000000002</v>
      </c>
      <c r="I1001" s="6">
        <v>3402.5</v>
      </c>
      <c r="J1001">
        <v>31</v>
      </c>
      <c r="K1001">
        <v>25</v>
      </c>
      <c r="L1001" t="s">
        <v>18</v>
      </c>
      <c r="M1001" t="s">
        <v>19</v>
      </c>
      <c r="N1001">
        <v>5</v>
      </c>
      <c r="O1001" s="4"/>
      <c r="P1001" s="4" t="str">
        <f>IF(Data_Set_2[[#This Row],[valor_bruto]]&gt;$W$13,"OUTLIER+","")</f>
        <v/>
      </c>
      <c r="Q1001" s="4" t="str">
        <f>IF(Data_Set_2[[#This Row],[valor_bruto]]&lt;$W$14,"OUTLIER-","")</f>
        <v/>
      </c>
      <c r="R1001" s="4"/>
      <c r="S1001" s="4"/>
      <c r="T1001">
        <v>3</v>
      </c>
      <c r="U1001">
        <v>27</v>
      </c>
      <c r="V1001">
        <v>2025</v>
      </c>
      <c r="W1001" s="1">
        <f t="shared" si="0"/>
        <v>45743</v>
      </c>
      <c r="AB1001" t="str">
        <v>RES-100999</v>
      </c>
      <c r="AC1001">
        <v>45958</v>
      </c>
      <c r="AD1001">
        <v>0.56458333333333333</v>
      </c>
      <c r="AE1001" t="str">
        <v>Envigado</v>
      </c>
      <c r="AF1001" t="str">
        <v>Mesa</v>
      </c>
      <c r="AG1001" t="str">
        <v>Bebidas</v>
      </c>
      <c r="AH1001">
        <v>6</v>
      </c>
      <c r="AI1001">
        <v>53953.440000000002</v>
      </c>
      <c r="AJ1001">
        <v>3402.5</v>
      </c>
      <c r="AK1001">
        <v>31</v>
      </c>
      <c r="AL1001">
        <v>25</v>
      </c>
      <c r="AM1001" t="str">
        <v>Tarjeta</v>
      </c>
      <c r="AN1001" t="str">
        <v>Entregada</v>
      </c>
      <c r="AO1001">
        <v>5</v>
      </c>
    </row>
    <row r="1002" spans="1:41" x14ac:dyDescent="0.3">
      <c r="A1002" t="s">
        <v>1040</v>
      </c>
      <c r="B1002" s="8">
        <v>45959</v>
      </c>
      <c r="C1002" s="2">
        <v>0.61111111111111116</v>
      </c>
      <c r="D1002" t="s">
        <v>15</v>
      </c>
      <c r="E1002" t="s">
        <v>22</v>
      </c>
      <c r="F1002" t="s">
        <v>17</v>
      </c>
      <c r="G1002">
        <v>2</v>
      </c>
      <c r="H1002" s="6">
        <v>53632.92</v>
      </c>
      <c r="I1002" s="6">
        <v>4396.5</v>
      </c>
      <c r="J1002">
        <v>16</v>
      </c>
      <c r="K1002">
        <v>34</v>
      </c>
      <c r="L1002" t="s">
        <v>24</v>
      </c>
      <c r="M1002" t="s">
        <v>25</v>
      </c>
      <c r="N1002">
        <v>5</v>
      </c>
      <c r="O1002" s="4"/>
      <c r="P1002" s="4" t="str">
        <f>IF(Data_Set_2[[#This Row],[valor_bruto]]&gt;$W$13,"OUTLIER+","")</f>
        <v/>
      </c>
      <c r="Q1002" s="4" t="str">
        <f>IF(Data_Set_2[[#This Row],[valor_bruto]]&lt;$W$14,"OUTLIER-","")</f>
        <v/>
      </c>
      <c r="R1002" s="4"/>
      <c r="S1002" s="4"/>
      <c r="T1002">
        <v>3</v>
      </c>
      <c r="U1002">
        <v>28</v>
      </c>
      <c r="V1002">
        <v>2025</v>
      </c>
      <c r="W1002" s="1">
        <f t="shared" si="0"/>
        <v>45744</v>
      </c>
      <c r="AB1002" t="str">
        <v>RES-101000</v>
      </c>
      <c r="AC1002">
        <v>45959</v>
      </c>
      <c r="AD1002">
        <v>0.61111111111111116</v>
      </c>
      <c r="AE1002" t="str">
        <v>Laureles</v>
      </c>
      <c r="AF1002" t="str">
        <v>Domicilio</v>
      </c>
      <c r="AG1002" t="str">
        <v>Comida rapida</v>
      </c>
      <c r="AH1002">
        <v>2</v>
      </c>
      <c r="AI1002">
        <v>53632.92</v>
      </c>
      <c r="AJ1002">
        <v>4396.5</v>
      </c>
      <c r="AK1002">
        <v>16</v>
      </c>
      <c r="AL1002">
        <v>34</v>
      </c>
      <c r="AM1002" t="str">
        <v>Efectivo</v>
      </c>
      <c r="AN1002" t="str">
        <v>Cancelada</v>
      </c>
      <c r="AO1002">
        <v>5</v>
      </c>
    </row>
    <row r="1003" spans="1:41" x14ac:dyDescent="0.3">
      <c r="A1003" t="s">
        <v>1041</v>
      </c>
      <c r="B1003" s="8">
        <v>45960</v>
      </c>
      <c r="C1003" s="2">
        <v>0.65763888888888888</v>
      </c>
      <c r="D1003" t="s">
        <v>21</v>
      </c>
      <c r="E1003" t="s">
        <v>28</v>
      </c>
      <c r="F1003" t="s">
        <v>23</v>
      </c>
      <c r="G1003">
        <v>6</v>
      </c>
      <c r="H1003" s="6">
        <v>36255.53</v>
      </c>
      <c r="I1003" s="6">
        <v>6944.01</v>
      </c>
      <c r="J1003">
        <v>15</v>
      </c>
      <c r="K1003">
        <v>28</v>
      </c>
      <c r="L1003" t="s">
        <v>30</v>
      </c>
      <c r="M1003" t="s">
        <v>31</v>
      </c>
      <c r="N1003">
        <v>5</v>
      </c>
      <c r="O1003" s="4"/>
      <c r="P1003" s="4" t="str">
        <f>IF(Data_Set_2[[#This Row],[valor_bruto]]&gt;$W$13,"OUTLIER+","")</f>
        <v/>
      </c>
      <c r="Q1003" s="4" t="str">
        <f>IF(Data_Set_2[[#This Row],[valor_bruto]]&lt;$W$14,"OUTLIER-","")</f>
        <v/>
      </c>
      <c r="R1003" s="4"/>
      <c r="S1003" s="4"/>
      <c r="T1003">
        <v>3</v>
      </c>
      <c r="U1003">
        <v>29</v>
      </c>
      <c r="V1003">
        <v>2025</v>
      </c>
      <c r="W1003" s="1">
        <f t="shared" si="0"/>
        <v>45745</v>
      </c>
      <c r="AB1003" t="str">
        <v>RES-101001</v>
      </c>
      <c r="AC1003">
        <v>45960</v>
      </c>
      <c r="AD1003">
        <v>0.65763888888888888</v>
      </c>
      <c r="AE1003" t="str">
        <v>Poblado</v>
      </c>
      <c r="AF1003" t="str">
        <v>Recoge</v>
      </c>
      <c r="AG1003" t="str">
        <v>Pasta</v>
      </c>
      <c r="AH1003">
        <v>6</v>
      </c>
      <c r="AI1003">
        <v>36255.53</v>
      </c>
      <c r="AJ1003">
        <v>6944.01</v>
      </c>
      <c r="AK1003">
        <v>15</v>
      </c>
      <c r="AL1003">
        <v>28</v>
      </c>
      <c r="AM1003" t="str">
        <v>App</v>
      </c>
      <c r="AN1003" t="str">
        <v>Reembolsada</v>
      </c>
      <c r="AO1003">
        <v>5</v>
      </c>
    </row>
    <row r="1004" spans="1:41" x14ac:dyDescent="0.3">
      <c r="A1004" t="s">
        <v>1042</v>
      </c>
      <c r="B1004" s="8">
        <v>45961</v>
      </c>
      <c r="C1004" s="2">
        <v>0.70416666666666672</v>
      </c>
      <c r="D1004" t="s">
        <v>27</v>
      </c>
      <c r="E1004" t="s">
        <v>16</v>
      </c>
      <c r="F1004" t="s">
        <v>29</v>
      </c>
      <c r="G1004">
        <v>3</v>
      </c>
      <c r="H1004" s="6">
        <v>60384.33</v>
      </c>
      <c r="I1004" s="6">
        <v>8399.2099999999991</v>
      </c>
      <c r="J1004">
        <v>26</v>
      </c>
      <c r="K1004">
        <v>44</v>
      </c>
      <c r="L1004" t="s">
        <v>18</v>
      </c>
      <c r="M1004" t="s">
        <v>19</v>
      </c>
      <c r="N1004">
        <v>3</v>
      </c>
      <c r="O1004" s="4"/>
      <c r="P1004" s="4" t="str">
        <f>IF(Data_Set_2[[#This Row],[valor_bruto]]&gt;$W$13,"OUTLIER+","")</f>
        <v/>
      </c>
      <c r="Q1004" s="4" t="str">
        <f>IF(Data_Set_2[[#This Row],[valor_bruto]]&lt;$W$14,"OUTLIER-","")</f>
        <v/>
      </c>
      <c r="R1004" s="4"/>
      <c r="S1004" s="4"/>
      <c r="T1004">
        <v>3</v>
      </c>
      <c r="U1004">
        <v>29</v>
      </c>
      <c r="V1004">
        <v>2025</v>
      </c>
      <c r="W1004" s="1">
        <f t="shared" si="0"/>
        <v>45745</v>
      </c>
      <c r="AB1004" t="str">
        <v>RES-101002</v>
      </c>
      <c r="AC1004">
        <v>45961</v>
      </c>
      <c r="AD1004">
        <v>0.70416666666666672</v>
      </c>
      <c r="AE1004" t="str">
        <v>Centro</v>
      </c>
      <c r="AF1004" t="str">
        <v>Mesa</v>
      </c>
      <c r="AG1004" t="str">
        <v>Parrilla</v>
      </c>
      <c r="AH1004">
        <v>3</v>
      </c>
      <c r="AI1004">
        <v>60384.33</v>
      </c>
      <c r="AJ1004">
        <v>8399.2099999999991</v>
      </c>
      <c r="AK1004">
        <v>26</v>
      </c>
      <c r="AL1004">
        <v>44</v>
      </c>
      <c r="AM1004" t="str">
        <v>Tarjeta</v>
      </c>
      <c r="AN1004" t="str">
        <v>Entregada</v>
      </c>
      <c r="AO1004">
        <v>3</v>
      </c>
    </row>
    <row r="1005" spans="1:41" x14ac:dyDescent="0.3">
      <c r="A1005" t="s">
        <v>1043</v>
      </c>
      <c r="B1005" s="8">
        <v>45962</v>
      </c>
      <c r="C1005" s="2">
        <v>0.70902777777777781</v>
      </c>
      <c r="D1005" t="s">
        <v>33</v>
      </c>
      <c r="E1005" t="s">
        <v>22</v>
      </c>
      <c r="F1005" t="s">
        <v>34</v>
      </c>
      <c r="G1005">
        <v>6</v>
      </c>
      <c r="H1005" s="6">
        <v>29600.080000000002</v>
      </c>
      <c r="I1005" s="6">
        <v>1439.54</v>
      </c>
      <c r="J1005">
        <v>15</v>
      </c>
      <c r="K1005">
        <v>25</v>
      </c>
      <c r="L1005" t="s">
        <v>24</v>
      </c>
      <c r="M1005" t="s">
        <v>25</v>
      </c>
      <c r="N1005">
        <v>5</v>
      </c>
      <c r="O1005" s="4"/>
      <c r="P1005" s="4" t="str">
        <f>IF(Data_Set_2[[#This Row],[valor_bruto]]&gt;$W$13,"OUTLIER+","")</f>
        <v/>
      </c>
      <c r="Q1005" s="4" t="str">
        <f>IF(Data_Set_2[[#This Row],[valor_bruto]]&lt;$W$14,"OUTLIER-","")</f>
        <v/>
      </c>
      <c r="R1005" s="4"/>
      <c r="S1005" s="4"/>
      <c r="T1005">
        <v>3</v>
      </c>
      <c r="U1005">
        <v>30</v>
      </c>
      <c r="V1005">
        <v>2025</v>
      </c>
      <c r="W1005" s="1">
        <f t="shared" si="0"/>
        <v>45746</v>
      </c>
      <c r="AB1005" t="str">
        <v>RES-101003</v>
      </c>
      <c r="AC1005">
        <v>45962</v>
      </c>
      <c r="AD1005">
        <v>0.70902777777777781</v>
      </c>
      <c r="AE1005" t="str">
        <v>Envigado</v>
      </c>
      <c r="AF1005" t="str">
        <v>Domicilio</v>
      </c>
      <c r="AG1005" t="str">
        <v>Vegano</v>
      </c>
      <c r="AH1005">
        <v>6</v>
      </c>
      <c r="AI1005">
        <v>29600.080000000002</v>
      </c>
      <c r="AJ1005">
        <v>1439.54</v>
      </c>
      <c r="AK1005">
        <v>15</v>
      </c>
      <c r="AL1005">
        <v>25</v>
      </c>
      <c r="AM1005" t="str">
        <v>Efectivo</v>
      </c>
      <c r="AN1005" t="str">
        <v>Cancelada</v>
      </c>
      <c r="AO1005">
        <v>5</v>
      </c>
    </row>
    <row r="1006" spans="1:41" x14ac:dyDescent="0.3">
      <c r="A1006" t="s">
        <v>1044</v>
      </c>
      <c r="B1006" s="8">
        <v>45699</v>
      </c>
      <c r="C1006" s="2">
        <v>0.75555555555555554</v>
      </c>
      <c r="D1006" t="s">
        <v>15</v>
      </c>
      <c r="E1006" t="s">
        <v>28</v>
      </c>
      <c r="F1006" t="s">
        <v>36</v>
      </c>
      <c r="G1006">
        <v>3</v>
      </c>
      <c r="H1006" s="6">
        <v>61375.23</v>
      </c>
      <c r="I1006" s="6">
        <v>3260.68</v>
      </c>
      <c r="J1006">
        <v>30</v>
      </c>
      <c r="K1006">
        <v>37</v>
      </c>
      <c r="L1006" t="s">
        <v>30</v>
      </c>
      <c r="M1006" t="s">
        <v>31</v>
      </c>
      <c r="N1006">
        <v>4</v>
      </c>
      <c r="O1006" s="4"/>
      <c r="P1006" s="4" t="str">
        <f>IF(Data_Set_2[[#This Row],[valor_bruto]]&gt;$W$13,"OUTLIER+","")</f>
        <v/>
      </c>
      <c r="Q1006" s="4" t="str">
        <f>IF(Data_Set_2[[#This Row],[valor_bruto]]&lt;$W$14,"OUTLIER-","")</f>
        <v/>
      </c>
      <c r="R1006" s="4"/>
      <c r="S1006" s="4"/>
      <c r="T1006">
        <v>3</v>
      </c>
      <c r="U1006">
        <v>31</v>
      </c>
      <c r="V1006">
        <v>2025</v>
      </c>
      <c r="W1006" s="1">
        <f t="shared" si="0"/>
        <v>45747</v>
      </c>
      <c r="AB1006" t="str">
        <v>RES-101004</v>
      </c>
      <c r="AC1006">
        <v>45699</v>
      </c>
      <c r="AD1006">
        <v>0.75555555555555554</v>
      </c>
      <c r="AE1006" t="str">
        <v>Laureles</v>
      </c>
      <c r="AF1006" t="str">
        <v>Recoge</v>
      </c>
      <c r="AG1006" t="str">
        <v>Bebidas</v>
      </c>
      <c r="AH1006">
        <v>3</v>
      </c>
      <c r="AI1006">
        <v>61375.23</v>
      </c>
      <c r="AJ1006">
        <v>3260.68</v>
      </c>
      <c r="AK1006">
        <v>30</v>
      </c>
      <c r="AL1006">
        <v>37</v>
      </c>
      <c r="AM1006" t="str">
        <v>App</v>
      </c>
      <c r="AN1006" t="str">
        <v>Reembolsada</v>
      </c>
      <c r="AO1006">
        <v>4</v>
      </c>
    </row>
    <row r="1007" spans="1:41" x14ac:dyDescent="0.3">
      <c r="A1007" t="s">
        <v>1045</v>
      </c>
      <c r="B1007" s="8">
        <v>45964</v>
      </c>
      <c r="C1007" s="2">
        <v>0.80208333333333337</v>
      </c>
      <c r="D1007" t="s">
        <v>21</v>
      </c>
      <c r="E1007" t="s">
        <v>16</v>
      </c>
      <c r="F1007" t="s">
        <v>17</v>
      </c>
      <c r="G1007">
        <v>4</v>
      </c>
      <c r="H1007" s="6">
        <v>26374.11</v>
      </c>
      <c r="I1007" s="6">
        <v>4629.16</v>
      </c>
      <c r="J1007">
        <v>15</v>
      </c>
      <c r="K1007">
        <v>47</v>
      </c>
      <c r="L1007" t="s">
        <v>18</v>
      </c>
      <c r="M1007" t="s">
        <v>19</v>
      </c>
      <c r="N1007">
        <v>5</v>
      </c>
      <c r="O1007" s="4"/>
      <c r="P1007" s="4" t="str">
        <f>IF(Data_Set_2[[#This Row],[valor_bruto]]&gt;$W$13,"OUTLIER+","")</f>
        <v/>
      </c>
      <c r="Q1007" s="4" t="str">
        <f>IF(Data_Set_2[[#This Row],[valor_bruto]]&lt;$W$14,"OUTLIER-","")</f>
        <v/>
      </c>
      <c r="R1007" s="4"/>
      <c r="S1007" s="4"/>
      <c r="T1007">
        <v>4</v>
      </c>
      <c r="U1007">
        <v>13</v>
      </c>
      <c r="V1007">
        <v>2025</v>
      </c>
      <c r="W1007" s="1">
        <f t="shared" ref="W1007:W1070" si="1">DATE(V1007,T1007,U1007)</f>
        <v>45760</v>
      </c>
      <c r="AB1007" t="str">
        <v>RES-101005</v>
      </c>
      <c r="AC1007">
        <v>45964</v>
      </c>
      <c r="AD1007">
        <v>0.80208333333333337</v>
      </c>
      <c r="AE1007" t="str">
        <v>Poblado</v>
      </c>
      <c r="AF1007" t="str">
        <v>Mesa</v>
      </c>
      <c r="AG1007" t="str">
        <v>Comida rapida</v>
      </c>
      <c r="AH1007">
        <v>4</v>
      </c>
      <c r="AI1007">
        <v>26374.11</v>
      </c>
      <c r="AJ1007">
        <v>4629.16</v>
      </c>
      <c r="AK1007">
        <v>15</v>
      </c>
      <c r="AL1007">
        <v>47</v>
      </c>
      <c r="AM1007" t="str">
        <v>Tarjeta</v>
      </c>
      <c r="AN1007" t="str">
        <v>Entregada</v>
      </c>
      <c r="AO1007">
        <v>5</v>
      </c>
    </row>
    <row r="1008" spans="1:41" x14ac:dyDescent="0.3">
      <c r="A1008" t="s">
        <v>1046</v>
      </c>
      <c r="B1008" s="8">
        <v>45965</v>
      </c>
      <c r="C1008" s="2">
        <v>0.84861111111111109</v>
      </c>
      <c r="D1008" t="s">
        <v>27</v>
      </c>
      <c r="E1008" t="s">
        <v>22</v>
      </c>
      <c r="F1008" t="s">
        <v>23</v>
      </c>
      <c r="G1008">
        <v>5</v>
      </c>
      <c r="H1008" s="6">
        <v>57784.99</v>
      </c>
      <c r="I1008" s="6">
        <v>5519.7170588235294</v>
      </c>
      <c r="J1008">
        <v>19</v>
      </c>
      <c r="K1008">
        <v>27</v>
      </c>
      <c r="L1008" t="s">
        <v>24</v>
      </c>
      <c r="M1008" t="s">
        <v>25</v>
      </c>
      <c r="N1008">
        <v>5</v>
      </c>
      <c r="O1008" s="4"/>
      <c r="P1008" s="4" t="str">
        <f>IF(Data_Set_2[[#This Row],[valor_bruto]]&gt;$W$13,"OUTLIER+","")</f>
        <v/>
      </c>
      <c r="Q1008" s="4" t="str">
        <f>IF(Data_Set_2[[#This Row],[valor_bruto]]&lt;$W$14,"OUTLIER-","")</f>
        <v/>
      </c>
      <c r="R1008" s="4"/>
      <c r="S1008" s="4"/>
      <c r="T1008">
        <v>4</v>
      </c>
      <c r="U1008">
        <v>13</v>
      </c>
      <c r="V1008">
        <v>2025</v>
      </c>
      <c r="W1008" s="1">
        <f t="shared" si="1"/>
        <v>45760</v>
      </c>
      <c r="AB1008" t="str">
        <v>RES-101006</v>
      </c>
      <c r="AC1008">
        <v>45965</v>
      </c>
      <c r="AD1008">
        <v>0.84861111111111109</v>
      </c>
      <c r="AE1008" t="str">
        <v>Centro</v>
      </c>
      <c r="AF1008" t="str">
        <v>Domicilio</v>
      </c>
      <c r="AG1008" t="str">
        <v>Pasta</v>
      </c>
      <c r="AH1008">
        <v>5</v>
      </c>
      <c r="AI1008">
        <v>57784.99</v>
      </c>
      <c r="AJ1008">
        <v>5519.7170588235294</v>
      </c>
      <c r="AK1008">
        <v>19</v>
      </c>
      <c r="AL1008">
        <v>27</v>
      </c>
      <c r="AM1008" t="str">
        <v>Efectivo</v>
      </c>
      <c r="AN1008" t="str">
        <v>Cancelada</v>
      </c>
      <c r="AO1008">
        <v>5</v>
      </c>
    </row>
    <row r="1009" spans="1:41" x14ac:dyDescent="0.3">
      <c r="A1009" t="s">
        <v>1047</v>
      </c>
      <c r="B1009" s="8">
        <v>45788</v>
      </c>
      <c r="C1009" s="2">
        <v>0.89513888888888893</v>
      </c>
      <c r="D1009" t="s">
        <v>33</v>
      </c>
      <c r="E1009" t="s">
        <v>28</v>
      </c>
      <c r="F1009" t="s">
        <v>29</v>
      </c>
      <c r="G1009">
        <v>5</v>
      </c>
      <c r="H1009" s="6">
        <v>28895.39</v>
      </c>
      <c r="I1009" s="6">
        <v>693.93</v>
      </c>
      <c r="J1009">
        <v>14</v>
      </c>
      <c r="K1009">
        <v>32</v>
      </c>
      <c r="L1009" t="s">
        <v>30</v>
      </c>
      <c r="M1009" t="s">
        <v>31</v>
      </c>
      <c r="N1009">
        <v>5</v>
      </c>
      <c r="O1009" s="4"/>
      <c r="P1009" s="4" t="str">
        <f>IF(Data_Set_2[[#This Row],[valor_bruto]]&gt;$W$13,"OUTLIER+","")</f>
        <v/>
      </c>
      <c r="Q1009" s="4" t="str">
        <f>IF(Data_Set_2[[#This Row],[valor_bruto]]&lt;$W$14,"OUTLIER-","")</f>
        <v/>
      </c>
      <c r="R1009" s="4"/>
      <c r="S1009" s="4"/>
      <c r="T1009">
        <v>4</v>
      </c>
      <c r="U1009">
        <v>14</v>
      </c>
      <c r="V1009">
        <v>2025</v>
      </c>
      <c r="W1009" s="1">
        <f t="shared" si="1"/>
        <v>45761</v>
      </c>
      <c r="AB1009" t="str">
        <v>RES-101007</v>
      </c>
      <c r="AC1009">
        <v>45788</v>
      </c>
      <c r="AD1009">
        <v>0.89513888888888893</v>
      </c>
      <c r="AE1009" t="str">
        <v>Envigado</v>
      </c>
      <c r="AF1009" t="str">
        <v>Recoge</v>
      </c>
      <c r="AG1009" t="str">
        <v>Parrilla</v>
      </c>
      <c r="AH1009">
        <v>5</v>
      </c>
      <c r="AI1009">
        <v>28895.39</v>
      </c>
      <c r="AJ1009">
        <v>693.93</v>
      </c>
      <c r="AK1009">
        <v>14</v>
      </c>
      <c r="AL1009">
        <v>32</v>
      </c>
      <c r="AM1009" t="str">
        <v>App</v>
      </c>
      <c r="AN1009" t="str">
        <v>Reembolsada</v>
      </c>
      <c r="AO1009">
        <v>5</v>
      </c>
    </row>
    <row r="1010" spans="1:41" x14ac:dyDescent="0.3">
      <c r="A1010" t="s">
        <v>1048</v>
      </c>
      <c r="B1010" s="8">
        <v>45967</v>
      </c>
      <c r="C1010" s="2">
        <v>0.44166666666666665</v>
      </c>
      <c r="D1010" t="s">
        <v>15</v>
      </c>
      <c r="E1010" t="s">
        <v>16</v>
      </c>
      <c r="F1010" t="s">
        <v>34</v>
      </c>
      <c r="G1010">
        <v>3</v>
      </c>
      <c r="H1010" s="6">
        <v>28906.41</v>
      </c>
      <c r="I1010" s="6">
        <v>5386.62</v>
      </c>
      <c r="J1010">
        <v>28</v>
      </c>
      <c r="K1010">
        <v>40</v>
      </c>
      <c r="L1010" t="s">
        <v>18</v>
      </c>
      <c r="M1010" t="s">
        <v>19</v>
      </c>
      <c r="N1010">
        <v>3</v>
      </c>
      <c r="O1010" s="4"/>
      <c r="P1010" s="4" t="str">
        <f>IF(Data_Set_2[[#This Row],[valor_bruto]]&gt;$W$13,"OUTLIER+","")</f>
        <v/>
      </c>
      <c r="Q1010" s="4" t="str">
        <f>IF(Data_Set_2[[#This Row],[valor_bruto]]&lt;$W$14,"OUTLIER-","")</f>
        <v/>
      </c>
      <c r="R1010" s="4"/>
      <c r="S1010" s="4"/>
      <c r="T1010">
        <v>4</v>
      </c>
      <c r="U1010">
        <v>15</v>
      </c>
      <c r="V1010">
        <v>2025</v>
      </c>
      <c r="W1010" s="1">
        <f t="shared" si="1"/>
        <v>45762</v>
      </c>
      <c r="AB1010" t="str">
        <v>RES-101008</v>
      </c>
      <c r="AC1010">
        <v>45967</v>
      </c>
      <c r="AD1010">
        <v>0.44166666666666665</v>
      </c>
      <c r="AE1010" t="str">
        <v>Laureles</v>
      </c>
      <c r="AF1010" t="str">
        <v>Mesa</v>
      </c>
      <c r="AG1010" t="str">
        <v>Vegano</v>
      </c>
      <c r="AH1010">
        <v>3</v>
      </c>
      <c r="AI1010">
        <v>28906.41</v>
      </c>
      <c r="AJ1010">
        <v>5386.62</v>
      </c>
      <c r="AK1010">
        <v>28</v>
      </c>
      <c r="AL1010">
        <v>40</v>
      </c>
      <c r="AM1010" t="str">
        <v>Tarjeta</v>
      </c>
      <c r="AN1010" t="str">
        <v>Entregada</v>
      </c>
      <c r="AO1010">
        <v>3</v>
      </c>
    </row>
    <row r="1011" spans="1:41" x14ac:dyDescent="0.3">
      <c r="A1011" t="s">
        <v>1049</v>
      </c>
      <c r="B1011" s="8">
        <v>45968</v>
      </c>
      <c r="C1011" s="2">
        <v>0.48819444444444443</v>
      </c>
      <c r="D1011" t="s">
        <v>21</v>
      </c>
      <c r="E1011" t="s">
        <v>22</v>
      </c>
      <c r="F1011" t="s">
        <v>36</v>
      </c>
      <c r="G1011">
        <v>2</v>
      </c>
      <c r="H1011" s="6">
        <v>37237.730000000003</v>
      </c>
      <c r="I1011" s="6">
        <v>5608.9</v>
      </c>
      <c r="J1011">
        <v>14</v>
      </c>
      <c r="K1011">
        <v>29</v>
      </c>
      <c r="L1011" t="s">
        <v>24</v>
      </c>
      <c r="M1011" t="s">
        <v>25</v>
      </c>
      <c r="N1011">
        <v>3</v>
      </c>
      <c r="O1011" s="4"/>
      <c r="P1011" s="4" t="str">
        <f>IF(Data_Set_2[[#This Row],[valor_bruto]]&gt;$W$13,"OUTLIER+","")</f>
        <v/>
      </c>
      <c r="Q1011" s="4" t="str">
        <f>IF(Data_Set_2[[#This Row],[valor_bruto]]&lt;$W$14,"OUTLIER-","")</f>
        <v/>
      </c>
      <c r="R1011" s="4"/>
      <c r="S1011" s="4"/>
      <c r="T1011">
        <v>4</v>
      </c>
      <c r="U1011">
        <v>16</v>
      </c>
      <c r="V1011">
        <v>2025</v>
      </c>
      <c r="W1011" s="1">
        <f t="shared" si="1"/>
        <v>45763</v>
      </c>
      <c r="AB1011" t="str">
        <v>RES-101009</v>
      </c>
      <c r="AC1011">
        <v>45968</v>
      </c>
      <c r="AD1011">
        <v>0.48819444444444443</v>
      </c>
      <c r="AE1011" t="str">
        <v>Poblado</v>
      </c>
      <c r="AF1011" t="str">
        <v>Domicilio</v>
      </c>
      <c r="AG1011" t="str">
        <v>Bebidas</v>
      </c>
      <c r="AH1011">
        <v>2</v>
      </c>
      <c r="AI1011">
        <v>37237.730000000003</v>
      </c>
      <c r="AJ1011">
        <v>5608.9</v>
      </c>
      <c r="AK1011">
        <v>14</v>
      </c>
      <c r="AL1011">
        <v>29</v>
      </c>
      <c r="AM1011" t="str">
        <v>Efectivo</v>
      </c>
      <c r="AN1011" t="str">
        <v>Cancelada</v>
      </c>
      <c r="AO1011">
        <v>3</v>
      </c>
    </row>
    <row r="1012" spans="1:41" x14ac:dyDescent="0.3">
      <c r="A1012" t="s">
        <v>1050</v>
      </c>
      <c r="B1012" s="8">
        <v>45880</v>
      </c>
      <c r="C1012" s="2">
        <v>0.53472222222222221</v>
      </c>
      <c r="D1012" t="s">
        <v>27</v>
      </c>
      <c r="E1012" t="s">
        <v>28</v>
      </c>
      <c r="F1012" t="s">
        <v>17</v>
      </c>
      <c r="G1012">
        <v>4</v>
      </c>
      <c r="H1012" s="6">
        <v>63946.54</v>
      </c>
      <c r="I1012" s="6">
        <v>6949.91</v>
      </c>
      <c r="J1012">
        <v>15</v>
      </c>
      <c r="K1012">
        <v>44</v>
      </c>
      <c r="L1012" t="s">
        <v>30</v>
      </c>
      <c r="M1012" t="s">
        <v>31</v>
      </c>
      <c r="N1012">
        <v>5</v>
      </c>
      <c r="O1012" s="4"/>
      <c r="P1012" s="4" t="str">
        <f>IF(Data_Set_2[[#This Row],[valor_bruto]]&gt;$W$13,"OUTLIER+","")</f>
        <v/>
      </c>
      <c r="Q1012" s="4" t="str">
        <f>IF(Data_Set_2[[#This Row],[valor_bruto]]&lt;$W$14,"OUTLIER-","")</f>
        <v/>
      </c>
      <c r="R1012" s="4"/>
      <c r="S1012" s="4"/>
      <c r="T1012">
        <v>4</v>
      </c>
      <c r="U1012">
        <v>16</v>
      </c>
      <c r="V1012">
        <v>2025</v>
      </c>
      <c r="W1012" s="1">
        <f t="shared" si="1"/>
        <v>45763</v>
      </c>
      <c r="AB1012" t="str">
        <v>RES-101010</v>
      </c>
      <c r="AC1012">
        <v>45880</v>
      </c>
      <c r="AD1012">
        <v>0.53472222222222221</v>
      </c>
      <c r="AE1012" t="str">
        <v>Centro</v>
      </c>
      <c r="AF1012" t="str">
        <v>Recoge</v>
      </c>
      <c r="AG1012" t="str">
        <v>Comida rapida</v>
      </c>
      <c r="AH1012">
        <v>4</v>
      </c>
      <c r="AI1012">
        <v>63946.54</v>
      </c>
      <c r="AJ1012">
        <v>6949.91</v>
      </c>
      <c r="AK1012">
        <v>15</v>
      </c>
      <c r="AL1012">
        <v>44</v>
      </c>
      <c r="AM1012" t="str">
        <v>App</v>
      </c>
      <c r="AN1012" t="str">
        <v>Reembolsada</v>
      </c>
      <c r="AO1012">
        <v>5</v>
      </c>
    </row>
    <row r="1013" spans="1:41" x14ac:dyDescent="0.3">
      <c r="A1013" t="s">
        <v>1051</v>
      </c>
      <c r="B1013" s="8">
        <v>45970</v>
      </c>
      <c r="C1013" s="2">
        <v>0.58125000000000004</v>
      </c>
      <c r="D1013" t="s">
        <v>33</v>
      </c>
      <c r="E1013" t="s">
        <v>16</v>
      </c>
      <c r="F1013" t="s">
        <v>23</v>
      </c>
      <c r="G1013">
        <v>4</v>
      </c>
      <c r="H1013" s="6">
        <v>45462.720000000001</v>
      </c>
      <c r="I1013" s="6">
        <v>1751.06</v>
      </c>
      <c r="J1013">
        <v>21</v>
      </c>
      <c r="K1013">
        <v>26</v>
      </c>
      <c r="L1013" t="s">
        <v>18</v>
      </c>
      <c r="M1013" t="s">
        <v>19</v>
      </c>
      <c r="N1013">
        <v>4</v>
      </c>
      <c r="O1013" s="4"/>
      <c r="P1013" s="4" t="str">
        <f>IF(Data_Set_2[[#This Row],[valor_bruto]]&gt;$W$13,"OUTLIER+","")</f>
        <v/>
      </c>
      <c r="Q1013" s="4" t="str">
        <f>IF(Data_Set_2[[#This Row],[valor_bruto]]&lt;$W$14,"OUTLIER-","")</f>
        <v/>
      </c>
      <c r="R1013" s="4"/>
      <c r="S1013" s="4"/>
      <c r="T1013">
        <v>4</v>
      </c>
      <c r="U1013">
        <v>17</v>
      </c>
      <c r="V1013">
        <v>2025</v>
      </c>
      <c r="W1013" s="1">
        <f t="shared" si="1"/>
        <v>45764</v>
      </c>
      <c r="AB1013" t="str">
        <v>RES-101011</v>
      </c>
      <c r="AC1013">
        <v>45970</v>
      </c>
      <c r="AD1013">
        <v>0.58125000000000004</v>
      </c>
      <c r="AE1013" t="str">
        <v>Envigado</v>
      </c>
      <c r="AF1013" t="str">
        <v>Mesa</v>
      </c>
      <c r="AG1013" t="str">
        <v>Pasta</v>
      </c>
      <c r="AH1013">
        <v>4</v>
      </c>
      <c r="AI1013">
        <v>45462.720000000001</v>
      </c>
      <c r="AJ1013">
        <v>1751.06</v>
      </c>
      <c r="AK1013">
        <v>21</v>
      </c>
      <c r="AL1013">
        <v>26</v>
      </c>
      <c r="AM1013" t="str">
        <v>Tarjeta</v>
      </c>
      <c r="AN1013" t="str">
        <v>Entregada</v>
      </c>
      <c r="AO1013">
        <v>4</v>
      </c>
    </row>
    <row r="1014" spans="1:41" x14ac:dyDescent="0.3">
      <c r="A1014" t="s">
        <v>1052</v>
      </c>
      <c r="B1014" s="8">
        <v>45971</v>
      </c>
      <c r="C1014" s="2">
        <v>0.58611111111111114</v>
      </c>
      <c r="D1014" t="s">
        <v>15</v>
      </c>
      <c r="E1014" t="s">
        <v>22</v>
      </c>
      <c r="F1014" t="s">
        <v>29</v>
      </c>
      <c r="G1014">
        <v>3</v>
      </c>
      <c r="H1014" s="6">
        <v>48810.39</v>
      </c>
      <c r="I1014" s="6">
        <v>4921.97</v>
      </c>
      <c r="J1014">
        <v>24</v>
      </c>
      <c r="K1014">
        <v>26</v>
      </c>
      <c r="L1014" t="s">
        <v>24</v>
      </c>
      <c r="M1014" t="s">
        <v>25</v>
      </c>
      <c r="N1014">
        <v>4</v>
      </c>
      <c r="O1014" s="4"/>
      <c r="P1014" s="4" t="str">
        <f>IF(Data_Set_2[[#This Row],[valor_bruto]]&gt;$W$13,"OUTLIER+","")</f>
        <v/>
      </c>
      <c r="Q1014" s="4" t="str">
        <f>IF(Data_Set_2[[#This Row],[valor_bruto]]&lt;$W$14,"OUTLIER-","")</f>
        <v/>
      </c>
      <c r="R1014" s="4"/>
      <c r="S1014" s="4"/>
      <c r="T1014">
        <v>4</v>
      </c>
      <c r="U1014">
        <v>18</v>
      </c>
      <c r="V1014">
        <v>2025</v>
      </c>
      <c r="W1014" s="1">
        <f t="shared" si="1"/>
        <v>45765</v>
      </c>
      <c r="AB1014" t="str">
        <v>RES-101012</v>
      </c>
      <c r="AC1014">
        <v>45971</v>
      </c>
      <c r="AD1014">
        <v>0.58611111111111114</v>
      </c>
      <c r="AE1014" t="str">
        <v>Laureles</v>
      </c>
      <c r="AF1014" t="str">
        <v>Domicilio</v>
      </c>
      <c r="AG1014" t="str">
        <v>Parrilla</v>
      </c>
      <c r="AH1014">
        <v>3</v>
      </c>
      <c r="AI1014">
        <v>48810.39</v>
      </c>
      <c r="AJ1014">
        <v>4921.97</v>
      </c>
      <c r="AK1014">
        <v>24</v>
      </c>
      <c r="AL1014">
        <v>26</v>
      </c>
      <c r="AM1014" t="str">
        <v>Efectivo</v>
      </c>
      <c r="AN1014" t="str">
        <v>Cancelada</v>
      </c>
      <c r="AO1014">
        <v>4</v>
      </c>
    </row>
    <row r="1015" spans="1:41" x14ac:dyDescent="0.3">
      <c r="A1015" t="s">
        <v>1053</v>
      </c>
      <c r="B1015" s="8">
        <v>45972</v>
      </c>
      <c r="C1015" s="2">
        <v>0.63263888888888886</v>
      </c>
      <c r="D1015" t="s">
        <v>21</v>
      </c>
      <c r="E1015" t="s">
        <v>28</v>
      </c>
      <c r="F1015" t="s">
        <v>34</v>
      </c>
      <c r="G1015">
        <v>4</v>
      </c>
      <c r="H1015" s="6">
        <v>65000</v>
      </c>
      <c r="I1015" s="6">
        <v>690.81</v>
      </c>
      <c r="J1015">
        <v>17</v>
      </c>
      <c r="K1015">
        <v>36</v>
      </c>
      <c r="L1015" t="s">
        <v>30</v>
      </c>
      <c r="M1015" t="s">
        <v>31</v>
      </c>
      <c r="N1015">
        <f>VLOOKUP(Data_Set_2[[#This Row],[estado]],M998:N1014,2,0)</f>
        <v>4</v>
      </c>
      <c r="O1015" s="4"/>
      <c r="P1015" s="4" t="str">
        <f>IF(Data_Set_2[[#This Row],[valor_bruto]]&gt;$W$13,"OUTLIER+","")</f>
        <v/>
      </c>
      <c r="Q1015" s="4" t="str">
        <f>IF(Data_Set_2[[#This Row],[valor_bruto]]&lt;$W$14,"OUTLIER-","")</f>
        <v/>
      </c>
      <c r="R1015" s="4"/>
      <c r="S1015" s="4"/>
      <c r="T1015">
        <v>4</v>
      </c>
      <c r="U1015">
        <v>19</v>
      </c>
      <c r="V1015">
        <v>2025</v>
      </c>
      <c r="W1015" s="1">
        <f t="shared" si="1"/>
        <v>45766</v>
      </c>
      <c r="AB1015" t="str">
        <v>RES-101013</v>
      </c>
      <c r="AC1015">
        <v>45972</v>
      </c>
      <c r="AD1015">
        <v>0.63263888888888886</v>
      </c>
      <c r="AE1015" t="str">
        <v>Poblado</v>
      </c>
      <c r="AF1015" t="str">
        <v>Recoge</v>
      </c>
      <c r="AG1015" t="str">
        <v>Vegano</v>
      </c>
      <c r="AH1015">
        <v>4</v>
      </c>
      <c r="AI1015">
        <v>65000</v>
      </c>
      <c r="AJ1015">
        <v>690.81</v>
      </c>
      <c r="AK1015">
        <v>17</v>
      </c>
      <c r="AL1015">
        <v>36</v>
      </c>
      <c r="AM1015" t="str">
        <v>App</v>
      </c>
      <c r="AN1015" t="str">
        <v>Reembolsada</v>
      </c>
      <c r="AO1015">
        <v>4</v>
      </c>
    </row>
    <row r="1016" spans="1:41" x14ac:dyDescent="0.3">
      <c r="A1016" t="s">
        <v>1054</v>
      </c>
      <c r="B1016" s="8">
        <v>45973</v>
      </c>
      <c r="C1016" s="2">
        <v>0.6791666666666667</v>
      </c>
      <c r="D1016" t="s">
        <v>27</v>
      </c>
      <c r="E1016" t="s">
        <v>16</v>
      </c>
      <c r="F1016" t="s">
        <v>36</v>
      </c>
      <c r="G1016">
        <v>2</v>
      </c>
      <c r="H1016" s="6">
        <v>30558.34</v>
      </c>
      <c r="I1016" s="6">
        <v>8228.83</v>
      </c>
      <c r="J1016">
        <v>23</v>
      </c>
      <c r="K1016">
        <v>42</v>
      </c>
      <c r="L1016" t="s">
        <v>18</v>
      </c>
      <c r="M1016" t="s">
        <v>19</v>
      </c>
      <c r="N1016">
        <v>5</v>
      </c>
      <c r="O1016" s="4"/>
      <c r="P1016" s="4" t="str">
        <f>IF(Data_Set_2[[#This Row],[valor_bruto]]&gt;$W$13,"OUTLIER+","")</f>
        <v/>
      </c>
      <c r="Q1016" s="4" t="str">
        <f>IF(Data_Set_2[[#This Row],[valor_bruto]]&lt;$W$14,"OUTLIER-","")</f>
        <v/>
      </c>
      <c r="R1016" s="4"/>
      <c r="S1016" s="4"/>
      <c r="T1016">
        <v>4</v>
      </c>
      <c r="U1016">
        <v>19</v>
      </c>
      <c r="V1016">
        <v>2025</v>
      </c>
      <c r="W1016" s="1">
        <f t="shared" si="1"/>
        <v>45766</v>
      </c>
      <c r="AB1016" t="str">
        <v>RES-101014</v>
      </c>
      <c r="AC1016">
        <v>45973</v>
      </c>
      <c r="AD1016">
        <v>0.6791666666666667</v>
      </c>
      <c r="AE1016" t="str">
        <v>Centro</v>
      </c>
      <c r="AF1016" t="str">
        <v>Mesa</v>
      </c>
      <c r="AG1016" t="str">
        <v>Bebidas</v>
      </c>
      <c r="AH1016">
        <v>2</v>
      </c>
      <c r="AI1016">
        <v>30558.34</v>
      </c>
      <c r="AJ1016">
        <v>8228.83</v>
      </c>
      <c r="AK1016">
        <v>23</v>
      </c>
      <c r="AL1016">
        <v>42</v>
      </c>
      <c r="AM1016" t="str">
        <v>Tarjeta</v>
      </c>
      <c r="AN1016" t="str">
        <v>Entregada</v>
      </c>
      <c r="AO1016">
        <v>5</v>
      </c>
    </row>
    <row r="1017" spans="1:41" x14ac:dyDescent="0.3">
      <c r="A1017" t="s">
        <v>1055</v>
      </c>
      <c r="B1017" s="8">
        <v>45974</v>
      </c>
      <c r="C1017" s="2">
        <v>0.72569444444444442</v>
      </c>
      <c r="D1017" t="s">
        <v>33</v>
      </c>
      <c r="E1017" t="s">
        <v>22</v>
      </c>
      <c r="F1017" t="s">
        <v>17</v>
      </c>
      <c r="G1017">
        <v>2</v>
      </c>
      <c r="H1017" s="6">
        <v>28962.82</v>
      </c>
      <c r="I1017" s="6">
        <v>7344.03</v>
      </c>
      <c r="J1017">
        <v>24</v>
      </c>
      <c r="K1017">
        <v>39</v>
      </c>
      <c r="L1017" t="s">
        <v>24</v>
      </c>
      <c r="M1017" t="s">
        <v>25</v>
      </c>
      <c r="N1017">
        <v>4</v>
      </c>
      <c r="O1017" s="4"/>
      <c r="P1017" s="4" t="str">
        <f>IF(Data_Set_2[[#This Row],[valor_bruto]]&gt;$W$13,"OUTLIER+","")</f>
        <v/>
      </c>
      <c r="Q1017" s="4" t="str">
        <f>IF(Data_Set_2[[#This Row],[valor_bruto]]&lt;$W$14,"OUTLIER-","")</f>
        <v/>
      </c>
      <c r="R1017" s="4"/>
      <c r="S1017" s="4"/>
      <c r="T1017">
        <v>4</v>
      </c>
      <c r="U1017">
        <v>20</v>
      </c>
      <c r="V1017">
        <v>2025</v>
      </c>
      <c r="W1017" s="1">
        <f t="shared" si="1"/>
        <v>45767</v>
      </c>
      <c r="AB1017" t="str">
        <v>RES-101015</v>
      </c>
      <c r="AC1017">
        <v>45974</v>
      </c>
      <c r="AD1017">
        <v>0.72569444444444442</v>
      </c>
      <c r="AE1017" t="str">
        <v>Envigado</v>
      </c>
      <c r="AF1017" t="str">
        <v>Domicilio</v>
      </c>
      <c r="AG1017" t="str">
        <v>Comida rapida</v>
      </c>
      <c r="AH1017">
        <v>2</v>
      </c>
      <c r="AI1017">
        <v>28962.82</v>
      </c>
      <c r="AJ1017">
        <v>7344.03</v>
      </c>
      <c r="AK1017">
        <v>24</v>
      </c>
      <c r="AL1017">
        <v>39</v>
      </c>
      <c r="AM1017" t="str">
        <v>Efectivo</v>
      </c>
      <c r="AN1017" t="str">
        <v>Cancelada</v>
      </c>
      <c r="AO1017">
        <v>4</v>
      </c>
    </row>
    <row r="1018" spans="1:41" x14ac:dyDescent="0.3">
      <c r="A1018" t="s">
        <v>1056</v>
      </c>
      <c r="B1018" s="8">
        <v>45975</v>
      </c>
      <c r="C1018" s="2">
        <v>0.77222222222222225</v>
      </c>
      <c r="D1018" t="s">
        <v>15</v>
      </c>
      <c r="E1018" t="s">
        <v>28</v>
      </c>
      <c r="F1018" t="s">
        <v>23</v>
      </c>
      <c r="G1018">
        <v>6</v>
      </c>
      <c r="H1018" s="6">
        <v>69634.559999999998</v>
      </c>
      <c r="I1018" s="6">
        <v>2445.23</v>
      </c>
      <c r="J1018">
        <v>14</v>
      </c>
      <c r="K1018">
        <v>44</v>
      </c>
      <c r="L1018" t="s">
        <v>30</v>
      </c>
      <c r="M1018" t="s">
        <v>31</v>
      </c>
      <c r="N1018">
        <v>3</v>
      </c>
      <c r="O1018" s="4"/>
      <c r="P1018" s="4" t="str">
        <f>IF(Data_Set_2[[#This Row],[valor_bruto]]&gt;$W$13,"OUTLIER+","")</f>
        <v/>
      </c>
      <c r="Q1018" s="4" t="str">
        <f>IF(Data_Set_2[[#This Row],[valor_bruto]]&lt;$W$14,"OUTLIER-","")</f>
        <v/>
      </c>
      <c r="R1018" s="4"/>
      <c r="S1018" s="4"/>
      <c r="T1018">
        <v>4</v>
      </c>
      <c r="U1018">
        <v>21</v>
      </c>
      <c r="V1018">
        <v>2025</v>
      </c>
      <c r="W1018" s="1">
        <f t="shared" si="1"/>
        <v>45768</v>
      </c>
      <c r="AB1018" t="str">
        <v>RES-101016</v>
      </c>
      <c r="AC1018">
        <v>45975</v>
      </c>
      <c r="AD1018">
        <v>0.77222222222222225</v>
      </c>
      <c r="AE1018" t="str">
        <v>Laureles</v>
      </c>
      <c r="AF1018" t="str">
        <v>Recoge</v>
      </c>
      <c r="AG1018" t="str">
        <v>Pasta</v>
      </c>
      <c r="AH1018">
        <v>6</v>
      </c>
      <c r="AI1018">
        <v>69634.559999999998</v>
      </c>
      <c r="AJ1018">
        <v>2445.23</v>
      </c>
      <c r="AK1018">
        <v>14</v>
      </c>
      <c r="AL1018">
        <v>44</v>
      </c>
      <c r="AM1018" t="str">
        <v>App</v>
      </c>
      <c r="AN1018" t="str">
        <v>Reembolsada</v>
      </c>
      <c r="AO1018">
        <v>3</v>
      </c>
    </row>
    <row r="1019" spans="1:41" x14ac:dyDescent="0.3">
      <c r="A1019" t="s">
        <v>1057</v>
      </c>
      <c r="B1019" s="8">
        <v>45976</v>
      </c>
      <c r="C1019" s="2">
        <v>0.81874999999999998</v>
      </c>
      <c r="D1019" t="s">
        <v>21</v>
      </c>
      <c r="E1019" t="s">
        <v>16</v>
      </c>
      <c r="F1019" t="s">
        <v>29</v>
      </c>
      <c r="G1019">
        <v>5</v>
      </c>
      <c r="H1019" s="6">
        <v>43727.49</v>
      </c>
      <c r="I1019" s="6">
        <v>3987.38</v>
      </c>
      <c r="J1019">
        <v>17</v>
      </c>
      <c r="K1019">
        <v>31</v>
      </c>
      <c r="L1019" t="s">
        <v>18</v>
      </c>
      <c r="M1019" t="s">
        <v>19</v>
      </c>
      <c r="N1019">
        <v>4</v>
      </c>
      <c r="O1019" s="4"/>
      <c r="P1019" s="4" t="str">
        <f>IF(Data_Set_2[[#This Row],[valor_bruto]]&gt;$W$13,"OUTLIER+","")</f>
        <v/>
      </c>
      <c r="Q1019" s="4" t="str">
        <f>IF(Data_Set_2[[#This Row],[valor_bruto]]&lt;$W$14,"OUTLIER-","")</f>
        <v/>
      </c>
      <c r="R1019" s="4"/>
      <c r="S1019" s="4"/>
      <c r="T1019">
        <v>4</v>
      </c>
      <c r="U1019">
        <v>22</v>
      </c>
      <c r="V1019">
        <v>2025</v>
      </c>
      <c r="W1019" s="1">
        <f t="shared" si="1"/>
        <v>45769</v>
      </c>
      <c r="AB1019" t="str">
        <v>RES-101017</v>
      </c>
      <c r="AC1019">
        <v>45976</v>
      </c>
      <c r="AD1019">
        <v>0.81874999999999998</v>
      </c>
      <c r="AE1019" t="str">
        <v>Poblado</v>
      </c>
      <c r="AF1019" t="str">
        <v>Mesa</v>
      </c>
      <c r="AG1019" t="str">
        <v>Parrilla</v>
      </c>
      <c r="AH1019">
        <v>5</v>
      </c>
      <c r="AI1019">
        <v>43727.49</v>
      </c>
      <c r="AJ1019">
        <v>3987.38</v>
      </c>
      <c r="AK1019">
        <v>17</v>
      </c>
      <c r="AL1019">
        <v>31</v>
      </c>
      <c r="AM1019" t="str">
        <v>Tarjeta</v>
      </c>
      <c r="AN1019" t="str">
        <v>Entregada</v>
      </c>
      <c r="AO1019">
        <v>4</v>
      </c>
    </row>
    <row r="1020" spans="1:41" x14ac:dyDescent="0.3">
      <c r="A1020" t="s">
        <v>1058</v>
      </c>
      <c r="B1020" s="8">
        <v>45977</v>
      </c>
      <c r="C1020" s="2">
        <v>0.86527777777777781</v>
      </c>
      <c r="D1020" t="s">
        <v>27</v>
      </c>
      <c r="E1020" t="s">
        <v>22</v>
      </c>
      <c r="F1020" t="s">
        <v>34</v>
      </c>
      <c r="G1020">
        <v>2</v>
      </c>
      <c r="H1020" s="6">
        <v>68519.61</v>
      </c>
      <c r="I1020" s="6">
        <v>6662.08</v>
      </c>
      <c r="J1020">
        <v>17</v>
      </c>
      <c r="K1020">
        <v>46</v>
      </c>
      <c r="L1020" t="s">
        <v>24</v>
      </c>
      <c r="M1020" t="s">
        <v>25</v>
      </c>
      <c r="N1020">
        <v>5</v>
      </c>
      <c r="O1020" s="4"/>
      <c r="P1020" s="4" t="str">
        <f>IF(Data_Set_2[[#This Row],[valor_bruto]]&gt;$W$13,"OUTLIER+","")</f>
        <v/>
      </c>
      <c r="Q1020" s="4" t="str">
        <f>IF(Data_Set_2[[#This Row],[valor_bruto]]&lt;$W$14,"OUTLIER-","")</f>
        <v/>
      </c>
      <c r="R1020" s="4"/>
      <c r="S1020" s="4"/>
      <c r="T1020">
        <v>4</v>
      </c>
      <c r="U1020">
        <v>22</v>
      </c>
      <c r="V1020">
        <v>2025</v>
      </c>
      <c r="W1020" s="1">
        <f t="shared" si="1"/>
        <v>45769</v>
      </c>
      <c r="AB1020" t="str">
        <v>RES-101018</v>
      </c>
      <c r="AC1020">
        <v>45977</v>
      </c>
      <c r="AD1020">
        <v>0.86527777777777781</v>
      </c>
      <c r="AE1020" t="str">
        <v>Centro</v>
      </c>
      <c r="AF1020" t="str">
        <v>Domicilio</v>
      </c>
      <c r="AG1020" t="str">
        <v>Vegano</v>
      </c>
      <c r="AH1020">
        <v>2</v>
      </c>
      <c r="AI1020">
        <v>68519.61</v>
      </c>
      <c r="AJ1020">
        <v>6662.08</v>
      </c>
      <c r="AK1020">
        <v>17</v>
      </c>
      <c r="AL1020">
        <v>46</v>
      </c>
      <c r="AM1020" t="str">
        <v>Efectivo</v>
      </c>
      <c r="AN1020" t="str">
        <v>Cancelada</v>
      </c>
      <c r="AO1020">
        <v>5</v>
      </c>
    </row>
    <row r="1021" spans="1:41" x14ac:dyDescent="0.3">
      <c r="A1021" t="s">
        <v>1059</v>
      </c>
      <c r="B1021" s="8">
        <v>45978</v>
      </c>
      <c r="C1021" s="2">
        <v>0.91180555555555554</v>
      </c>
      <c r="D1021" t="s">
        <v>33</v>
      </c>
      <c r="E1021" t="s">
        <v>28</v>
      </c>
      <c r="F1021" t="s">
        <v>36</v>
      </c>
      <c r="G1021">
        <v>6</v>
      </c>
      <c r="H1021" s="6">
        <v>67306.59</v>
      </c>
      <c r="I1021" s="6">
        <v>4888.7</v>
      </c>
      <c r="J1021">
        <v>24</v>
      </c>
      <c r="K1021">
        <v>25</v>
      </c>
      <c r="L1021" t="s">
        <v>30</v>
      </c>
      <c r="M1021" t="s">
        <v>31</v>
      </c>
      <c r="N1021">
        <v>3</v>
      </c>
      <c r="O1021" s="4"/>
      <c r="P1021" s="4" t="str">
        <f>IF(Data_Set_2[[#This Row],[valor_bruto]]&gt;$W$13,"OUTLIER+","")</f>
        <v/>
      </c>
      <c r="Q1021" s="4" t="str">
        <f>IF(Data_Set_2[[#This Row],[valor_bruto]]&lt;$W$14,"OUTLIER-","")</f>
        <v/>
      </c>
      <c r="R1021" s="4"/>
      <c r="S1021" s="4"/>
      <c r="T1021">
        <v>4</v>
      </c>
      <c r="U1021">
        <v>23</v>
      </c>
      <c r="V1021">
        <v>2025</v>
      </c>
      <c r="W1021" s="1">
        <f t="shared" si="1"/>
        <v>45770</v>
      </c>
      <c r="AB1021" t="str">
        <v>RES-101019</v>
      </c>
      <c r="AC1021">
        <v>45978</v>
      </c>
      <c r="AD1021">
        <v>0.91180555555555554</v>
      </c>
      <c r="AE1021" t="str">
        <v>Envigado</v>
      </c>
      <c r="AF1021" t="str">
        <v>Recoge</v>
      </c>
      <c r="AG1021" t="str">
        <v>Bebidas</v>
      </c>
      <c r="AH1021">
        <v>6</v>
      </c>
      <c r="AI1021">
        <v>67306.59</v>
      </c>
      <c r="AJ1021">
        <v>4888.7</v>
      </c>
      <c r="AK1021">
        <v>24</v>
      </c>
      <c r="AL1021">
        <v>25</v>
      </c>
      <c r="AM1021" t="str">
        <v>App</v>
      </c>
      <c r="AN1021" t="str">
        <v>Reembolsada</v>
      </c>
      <c r="AO1021">
        <v>3</v>
      </c>
    </row>
    <row r="1022" spans="1:41" x14ac:dyDescent="0.3">
      <c r="A1022" t="s">
        <v>1060</v>
      </c>
      <c r="B1022" s="8">
        <v>45979</v>
      </c>
      <c r="C1022" s="2">
        <v>0.41666666666666669</v>
      </c>
      <c r="D1022" t="s">
        <v>15</v>
      </c>
      <c r="E1022" t="s">
        <v>16</v>
      </c>
      <c r="F1022" t="s">
        <v>17</v>
      </c>
      <c r="G1022">
        <v>6</v>
      </c>
      <c r="H1022" s="6">
        <v>66999.320000000007</v>
      </c>
      <c r="I1022" s="6">
        <v>7437.7</v>
      </c>
      <c r="J1022">
        <v>26</v>
      </c>
      <c r="K1022">
        <v>29</v>
      </c>
      <c r="L1022" t="s">
        <v>18</v>
      </c>
      <c r="M1022" t="s">
        <v>19</v>
      </c>
      <c r="N1022">
        <v>3</v>
      </c>
      <c r="O1022" s="4"/>
      <c r="P1022" s="4" t="str">
        <f>IF(Data_Set_2[[#This Row],[valor_bruto]]&gt;$W$13,"OUTLIER+","")</f>
        <v/>
      </c>
      <c r="Q1022" s="4" t="str">
        <f>IF(Data_Set_2[[#This Row],[valor_bruto]]&lt;$W$14,"OUTLIER-","")</f>
        <v/>
      </c>
      <c r="R1022" s="4"/>
      <c r="S1022" s="4"/>
      <c r="T1022">
        <v>4</v>
      </c>
      <c r="U1022">
        <v>24</v>
      </c>
      <c r="V1022">
        <v>2025</v>
      </c>
      <c r="W1022" s="1">
        <f t="shared" si="1"/>
        <v>45771</v>
      </c>
      <c r="AB1022" t="str">
        <v>RES-101020</v>
      </c>
      <c r="AC1022">
        <v>45979</v>
      </c>
      <c r="AD1022">
        <v>0.41666666666666669</v>
      </c>
      <c r="AE1022" t="str">
        <v>Laureles</v>
      </c>
      <c r="AF1022" t="str">
        <v>Mesa</v>
      </c>
      <c r="AG1022" t="str">
        <v>Comida rapida</v>
      </c>
      <c r="AH1022">
        <v>6</v>
      </c>
      <c r="AI1022">
        <v>66999.320000000007</v>
      </c>
      <c r="AJ1022">
        <v>7437.7</v>
      </c>
      <c r="AK1022">
        <v>26</v>
      </c>
      <c r="AL1022">
        <v>29</v>
      </c>
      <c r="AM1022" t="str">
        <v>Tarjeta</v>
      </c>
      <c r="AN1022" t="str">
        <v>Entregada</v>
      </c>
      <c r="AO1022">
        <v>3</v>
      </c>
    </row>
    <row r="1023" spans="1:41" x14ac:dyDescent="0.3">
      <c r="A1023" t="s">
        <v>1061</v>
      </c>
      <c r="B1023" s="8">
        <v>45980</v>
      </c>
      <c r="C1023" s="2">
        <v>0.46319444444444446</v>
      </c>
      <c r="D1023" t="s">
        <v>21</v>
      </c>
      <c r="E1023" t="s">
        <v>22</v>
      </c>
      <c r="F1023" t="s">
        <v>23</v>
      </c>
      <c r="G1023">
        <v>5</v>
      </c>
      <c r="H1023" s="6">
        <v>68075.06</v>
      </c>
      <c r="I1023" s="6">
        <v>6355.04</v>
      </c>
      <c r="J1023">
        <v>17</v>
      </c>
      <c r="K1023">
        <v>25</v>
      </c>
      <c r="L1023" t="s">
        <v>24</v>
      </c>
      <c r="M1023" t="s">
        <v>25</v>
      </c>
      <c r="N1023">
        <v>5</v>
      </c>
      <c r="O1023" s="4"/>
      <c r="P1023" s="4" t="str">
        <f>IF(Data_Set_2[[#This Row],[valor_bruto]]&gt;$W$13,"OUTLIER+","")</f>
        <v/>
      </c>
      <c r="Q1023" s="4" t="str">
        <f>IF(Data_Set_2[[#This Row],[valor_bruto]]&lt;$W$14,"OUTLIER-","")</f>
        <v/>
      </c>
      <c r="R1023" s="4"/>
      <c r="S1023" s="4"/>
      <c r="T1023">
        <v>4</v>
      </c>
      <c r="U1023">
        <v>25</v>
      </c>
      <c r="V1023">
        <v>2025</v>
      </c>
      <c r="W1023" s="1">
        <f t="shared" si="1"/>
        <v>45772</v>
      </c>
      <c r="AB1023" t="str">
        <v>RES-101021</v>
      </c>
      <c r="AC1023">
        <v>45980</v>
      </c>
      <c r="AD1023">
        <v>0.46319444444444446</v>
      </c>
      <c r="AE1023" t="str">
        <v>Poblado</v>
      </c>
      <c r="AF1023" t="str">
        <v>Domicilio</v>
      </c>
      <c r="AG1023" t="str">
        <v>Pasta</v>
      </c>
      <c r="AH1023">
        <v>5</v>
      </c>
      <c r="AI1023">
        <v>68075.06</v>
      </c>
      <c r="AJ1023">
        <v>6355.04</v>
      </c>
      <c r="AK1023">
        <v>17</v>
      </c>
      <c r="AL1023">
        <v>25</v>
      </c>
      <c r="AM1023" t="str">
        <v>Efectivo</v>
      </c>
      <c r="AN1023" t="str">
        <v>Cancelada</v>
      </c>
      <c r="AO1023">
        <v>5</v>
      </c>
    </row>
    <row r="1024" spans="1:41" x14ac:dyDescent="0.3">
      <c r="A1024" t="s">
        <v>1062</v>
      </c>
      <c r="B1024" s="8">
        <v>45981</v>
      </c>
      <c r="C1024" s="2">
        <v>0.50972222222222219</v>
      </c>
      <c r="D1024" t="s">
        <v>27</v>
      </c>
      <c r="E1024" t="s">
        <v>28</v>
      </c>
      <c r="F1024" t="s">
        <v>29</v>
      </c>
      <c r="G1024">
        <v>5</v>
      </c>
      <c r="H1024" s="6">
        <v>30083.22</v>
      </c>
      <c r="I1024" s="6">
        <v>6843.09</v>
      </c>
      <c r="J1024">
        <v>21</v>
      </c>
      <c r="K1024">
        <v>43</v>
      </c>
      <c r="L1024" t="s">
        <v>30</v>
      </c>
      <c r="M1024" t="s">
        <v>31</v>
      </c>
      <c r="N1024">
        <v>5</v>
      </c>
      <c r="O1024" s="4"/>
      <c r="P1024" s="4" t="str">
        <f>IF(Data_Set_2[[#This Row],[valor_bruto]]&gt;$W$13,"OUTLIER+","")</f>
        <v/>
      </c>
      <c r="Q1024" s="4" t="str">
        <f>IF(Data_Set_2[[#This Row],[valor_bruto]]&lt;$W$14,"OUTLIER-","")</f>
        <v/>
      </c>
      <c r="R1024" s="4"/>
      <c r="S1024" s="4"/>
      <c r="T1024">
        <v>4</v>
      </c>
      <c r="U1024">
        <v>25</v>
      </c>
      <c r="V1024">
        <v>2025</v>
      </c>
      <c r="W1024" s="1">
        <f t="shared" si="1"/>
        <v>45772</v>
      </c>
      <c r="AB1024" t="str">
        <v>RES-101022</v>
      </c>
      <c r="AC1024">
        <v>45981</v>
      </c>
      <c r="AD1024">
        <v>0.50972222222222219</v>
      </c>
      <c r="AE1024" t="str">
        <v>Centro</v>
      </c>
      <c r="AF1024" t="str">
        <v>Recoge</v>
      </c>
      <c r="AG1024" t="str">
        <v>Parrilla</v>
      </c>
      <c r="AH1024">
        <v>5</v>
      </c>
      <c r="AI1024">
        <v>30083.22</v>
      </c>
      <c r="AJ1024">
        <v>6843.09</v>
      </c>
      <c r="AK1024">
        <v>21</v>
      </c>
      <c r="AL1024">
        <v>43</v>
      </c>
      <c r="AM1024" t="str">
        <v>App</v>
      </c>
      <c r="AN1024" t="str">
        <v>Reembolsada</v>
      </c>
      <c r="AO1024">
        <v>5</v>
      </c>
    </row>
    <row r="1025" spans="1:41" x14ac:dyDescent="0.3">
      <c r="A1025" t="s">
        <v>1063</v>
      </c>
      <c r="B1025" s="8">
        <v>45982</v>
      </c>
      <c r="C1025" s="2">
        <v>0.55625000000000002</v>
      </c>
      <c r="D1025" t="s">
        <v>33</v>
      </c>
      <c r="E1025" t="s">
        <v>16</v>
      </c>
      <c r="F1025" t="s">
        <v>34</v>
      </c>
      <c r="G1025">
        <v>2</v>
      </c>
      <c r="H1025" s="6">
        <v>60405.68</v>
      </c>
      <c r="I1025" s="6">
        <v>3485.06</v>
      </c>
      <c r="J1025">
        <v>29</v>
      </c>
      <c r="K1025">
        <v>39</v>
      </c>
      <c r="L1025" t="s">
        <v>18</v>
      </c>
      <c r="M1025" t="s">
        <v>19</v>
      </c>
      <c r="N1025">
        <v>3</v>
      </c>
      <c r="O1025" s="4"/>
      <c r="P1025" s="4" t="str">
        <f>IF(Data_Set_2[[#This Row],[valor_bruto]]&gt;$W$13,"OUTLIER+","")</f>
        <v/>
      </c>
      <c r="Q1025" s="4" t="str">
        <f>IF(Data_Set_2[[#This Row],[valor_bruto]]&lt;$W$14,"OUTLIER-","")</f>
        <v/>
      </c>
      <c r="R1025" s="4"/>
      <c r="S1025" s="4"/>
      <c r="T1025">
        <v>4</v>
      </c>
      <c r="U1025">
        <v>26</v>
      </c>
      <c r="V1025">
        <v>2025</v>
      </c>
      <c r="W1025" s="1">
        <f t="shared" si="1"/>
        <v>45773</v>
      </c>
      <c r="AB1025" t="str">
        <v>RES-101023</v>
      </c>
      <c r="AC1025">
        <v>45982</v>
      </c>
      <c r="AD1025">
        <v>0.55625000000000002</v>
      </c>
      <c r="AE1025" t="str">
        <v>Envigado</v>
      </c>
      <c r="AF1025" t="str">
        <v>Mesa</v>
      </c>
      <c r="AG1025" t="str">
        <v>Vegano</v>
      </c>
      <c r="AH1025">
        <v>2</v>
      </c>
      <c r="AI1025">
        <v>60405.68</v>
      </c>
      <c r="AJ1025">
        <v>3485.06</v>
      </c>
      <c r="AK1025">
        <v>29</v>
      </c>
      <c r="AL1025">
        <v>39</v>
      </c>
      <c r="AM1025" t="str">
        <v>Tarjeta</v>
      </c>
      <c r="AN1025" t="str">
        <v>Entregada</v>
      </c>
      <c r="AO1025">
        <v>3</v>
      </c>
    </row>
    <row r="1026" spans="1:41" x14ac:dyDescent="0.3">
      <c r="A1026" t="s">
        <v>1064</v>
      </c>
      <c r="B1026" s="8">
        <v>45983</v>
      </c>
      <c r="C1026" s="2">
        <v>0.60277777777777775</v>
      </c>
      <c r="D1026" t="s">
        <v>15</v>
      </c>
      <c r="E1026" t="s">
        <v>22</v>
      </c>
      <c r="F1026" t="s">
        <v>36</v>
      </c>
      <c r="G1026">
        <v>4</v>
      </c>
      <c r="H1026" s="6">
        <v>63653.34</v>
      </c>
      <c r="I1026" s="6">
        <v>2826.28</v>
      </c>
      <c r="J1026">
        <v>18</v>
      </c>
      <c r="K1026">
        <v>31</v>
      </c>
      <c r="L1026" t="s">
        <v>24</v>
      </c>
      <c r="M1026" t="s">
        <v>25</v>
      </c>
      <c r="N1026">
        <v>3</v>
      </c>
      <c r="O1026" s="4"/>
      <c r="P1026" s="4" t="str">
        <f>IF(Data_Set_2[[#This Row],[valor_bruto]]&gt;$W$13,"OUTLIER+","")</f>
        <v/>
      </c>
      <c r="Q1026" s="4" t="str">
        <f>IF(Data_Set_2[[#This Row],[valor_bruto]]&lt;$W$14,"OUTLIER-","")</f>
        <v/>
      </c>
      <c r="R1026" s="4"/>
      <c r="S1026" s="4"/>
      <c r="T1026">
        <v>4</v>
      </c>
      <c r="U1026">
        <v>27</v>
      </c>
      <c r="V1026">
        <v>2025</v>
      </c>
      <c r="W1026" s="1">
        <f t="shared" si="1"/>
        <v>45774</v>
      </c>
      <c r="AB1026" t="str">
        <v>RES-101024</v>
      </c>
      <c r="AC1026">
        <v>45983</v>
      </c>
      <c r="AD1026">
        <v>0.60277777777777775</v>
      </c>
      <c r="AE1026" t="str">
        <v>Laureles</v>
      </c>
      <c r="AF1026" t="str">
        <v>Domicilio</v>
      </c>
      <c r="AG1026" t="str">
        <v>Bebidas</v>
      </c>
      <c r="AH1026">
        <v>4</v>
      </c>
      <c r="AI1026">
        <v>63653.34</v>
      </c>
      <c r="AJ1026">
        <v>2826.28</v>
      </c>
      <c r="AK1026">
        <v>18</v>
      </c>
      <c r="AL1026">
        <v>31</v>
      </c>
      <c r="AM1026" t="str">
        <v>Efectivo</v>
      </c>
      <c r="AN1026" t="str">
        <v>Cancelada</v>
      </c>
      <c r="AO1026">
        <v>3</v>
      </c>
    </row>
    <row r="1027" spans="1:41" x14ac:dyDescent="0.3">
      <c r="A1027" t="s">
        <v>1065</v>
      </c>
      <c r="B1027" s="8">
        <v>45984</v>
      </c>
      <c r="C1027" s="2">
        <v>0.64930555555555558</v>
      </c>
      <c r="D1027" t="s">
        <v>21</v>
      </c>
      <c r="E1027" t="s">
        <v>28</v>
      </c>
      <c r="F1027" t="s">
        <v>17</v>
      </c>
      <c r="G1027">
        <v>6</v>
      </c>
      <c r="H1027" s="6">
        <v>64759.41</v>
      </c>
      <c r="I1027" s="6">
        <v>2941.96</v>
      </c>
      <c r="J1027">
        <v>31</v>
      </c>
      <c r="K1027">
        <v>28</v>
      </c>
      <c r="L1027" t="s">
        <v>30</v>
      </c>
      <c r="M1027" t="s">
        <v>31</v>
      </c>
      <c r="N1027">
        <v>5</v>
      </c>
      <c r="O1027" s="4"/>
      <c r="P1027" s="4" t="str">
        <f>IF(Data_Set_2[[#This Row],[valor_bruto]]&gt;$W$13,"OUTLIER+","")</f>
        <v/>
      </c>
      <c r="Q1027" s="4" t="str">
        <f>IF(Data_Set_2[[#This Row],[valor_bruto]]&lt;$W$14,"OUTLIER-","")</f>
        <v/>
      </c>
      <c r="R1027" s="4"/>
      <c r="S1027" s="4"/>
      <c r="T1027">
        <v>4</v>
      </c>
      <c r="U1027">
        <v>28</v>
      </c>
      <c r="V1027">
        <v>2025</v>
      </c>
      <c r="W1027" s="1">
        <f t="shared" si="1"/>
        <v>45775</v>
      </c>
      <c r="AB1027" t="str">
        <v>RES-101025</v>
      </c>
      <c r="AC1027">
        <v>45984</v>
      </c>
      <c r="AD1027">
        <v>0.64930555555555558</v>
      </c>
      <c r="AE1027" t="str">
        <v>Poblado</v>
      </c>
      <c r="AF1027" t="str">
        <v>Recoge</v>
      </c>
      <c r="AG1027" t="str">
        <v>Comida rapida</v>
      </c>
      <c r="AH1027">
        <v>6</v>
      </c>
      <c r="AI1027">
        <v>64759.41</v>
      </c>
      <c r="AJ1027">
        <v>2941.96</v>
      </c>
      <c r="AK1027">
        <v>31</v>
      </c>
      <c r="AL1027">
        <v>28</v>
      </c>
      <c r="AM1027" t="str">
        <v>App</v>
      </c>
      <c r="AN1027" t="str">
        <v>Reembolsada</v>
      </c>
      <c r="AO1027">
        <v>5</v>
      </c>
    </row>
    <row r="1028" spans="1:41" x14ac:dyDescent="0.3">
      <c r="A1028" t="s">
        <v>1066</v>
      </c>
      <c r="B1028" s="8">
        <v>45985</v>
      </c>
      <c r="C1028" s="2">
        <v>0.6958333333333333</v>
      </c>
      <c r="D1028" t="s">
        <v>27</v>
      </c>
      <c r="E1028" t="s">
        <v>16</v>
      </c>
      <c r="F1028" t="s">
        <v>23</v>
      </c>
      <c r="G1028">
        <v>6</v>
      </c>
      <c r="H1028" s="6">
        <v>43645.55</v>
      </c>
      <c r="I1028" s="6">
        <v>7682.8</v>
      </c>
      <c r="J1028">
        <v>16</v>
      </c>
      <c r="K1028">
        <v>42</v>
      </c>
      <c r="L1028" t="s">
        <v>18</v>
      </c>
      <c r="M1028" t="s">
        <v>19</v>
      </c>
      <c r="N1028">
        <v>4</v>
      </c>
      <c r="O1028" s="4"/>
      <c r="P1028" s="4" t="str">
        <f>IF(Data_Set_2[[#This Row],[valor_bruto]]&gt;$W$13,"OUTLIER+","")</f>
        <v/>
      </c>
      <c r="Q1028" s="4" t="str">
        <f>IF(Data_Set_2[[#This Row],[valor_bruto]]&lt;$W$14,"OUTLIER-","")</f>
        <v/>
      </c>
      <c r="R1028" s="4"/>
      <c r="S1028" s="4"/>
      <c r="T1028">
        <v>4</v>
      </c>
      <c r="U1028">
        <v>29</v>
      </c>
      <c r="V1028">
        <v>2025</v>
      </c>
      <c r="W1028" s="1">
        <f t="shared" si="1"/>
        <v>45776</v>
      </c>
      <c r="AB1028" t="str">
        <v>RES-101026</v>
      </c>
      <c r="AC1028">
        <v>45985</v>
      </c>
      <c r="AD1028">
        <v>0.6958333333333333</v>
      </c>
      <c r="AE1028" t="str">
        <v>Centro</v>
      </c>
      <c r="AF1028" t="str">
        <v>Mesa</v>
      </c>
      <c r="AG1028" t="str">
        <v>Pasta</v>
      </c>
      <c r="AH1028">
        <v>6</v>
      </c>
      <c r="AI1028">
        <v>43645.55</v>
      </c>
      <c r="AJ1028">
        <v>7682.8</v>
      </c>
      <c r="AK1028">
        <v>16</v>
      </c>
      <c r="AL1028">
        <v>42</v>
      </c>
      <c r="AM1028" t="str">
        <v>Tarjeta</v>
      </c>
      <c r="AN1028" t="str">
        <v>Entregada</v>
      </c>
      <c r="AO1028">
        <v>4</v>
      </c>
    </row>
    <row r="1029" spans="1:41" x14ac:dyDescent="0.3">
      <c r="A1029" t="s">
        <v>1067</v>
      </c>
      <c r="B1029" s="8">
        <v>45986</v>
      </c>
      <c r="C1029" s="2">
        <v>0.74236111111111114</v>
      </c>
      <c r="D1029" t="s">
        <v>33</v>
      </c>
      <c r="E1029" t="s">
        <v>22</v>
      </c>
      <c r="F1029" t="s">
        <v>29</v>
      </c>
      <c r="G1029">
        <v>6</v>
      </c>
      <c r="H1029" s="6">
        <v>47234.94</v>
      </c>
      <c r="I1029" s="6">
        <v>4678.07</v>
      </c>
      <c r="J1029">
        <v>26</v>
      </c>
      <c r="K1029">
        <v>39</v>
      </c>
      <c r="L1029" t="s">
        <v>24</v>
      </c>
      <c r="M1029" t="s">
        <v>25</v>
      </c>
      <c r="N1029">
        <v>3</v>
      </c>
      <c r="O1029" s="4"/>
      <c r="P1029" s="4" t="str">
        <f>IF(Data_Set_2[[#This Row],[valor_bruto]]&gt;$W$13,"OUTLIER+","")</f>
        <v/>
      </c>
      <c r="Q1029" s="4" t="str">
        <f>IF(Data_Set_2[[#This Row],[valor_bruto]]&lt;$W$14,"OUTLIER-","")</f>
        <v/>
      </c>
      <c r="R1029" s="4"/>
      <c r="S1029" s="4"/>
      <c r="T1029">
        <v>4</v>
      </c>
      <c r="U1029">
        <v>30</v>
      </c>
      <c r="V1029">
        <v>2025</v>
      </c>
      <c r="W1029" s="1">
        <f t="shared" si="1"/>
        <v>45777</v>
      </c>
      <c r="AB1029" t="str">
        <v>RES-101027</v>
      </c>
      <c r="AC1029">
        <v>45986</v>
      </c>
      <c r="AD1029">
        <v>0.74236111111111114</v>
      </c>
      <c r="AE1029" t="str">
        <v>Envigado</v>
      </c>
      <c r="AF1029" t="str">
        <v>Domicilio</v>
      </c>
      <c r="AG1029" t="str">
        <v>Parrilla</v>
      </c>
      <c r="AH1029">
        <v>6</v>
      </c>
      <c r="AI1029">
        <v>47234.94</v>
      </c>
      <c r="AJ1029">
        <v>4678.07</v>
      </c>
      <c r="AK1029">
        <v>26</v>
      </c>
      <c r="AL1029">
        <v>39</v>
      </c>
      <c r="AM1029" t="str">
        <v>Efectivo</v>
      </c>
      <c r="AN1029" t="str">
        <v>Cancelada</v>
      </c>
      <c r="AO1029">
        <v>3</v>
      </c>
    </row>
    <row r="1030" spans="1:41" x14ac:dyDescent="0.3">
      <c r="A1030" t="s">
        <v>1068</v>
      </c>
      <c r="B1030" s="8">
        <v>45987</v>
      </c>
      <c r="C1030" s="2">
        <v>0.78888888888888886</v>
      </c>
      <c r="D1030" t="s">
        <v>15</v>
      </c>
      <c r="E1030" t="s">
        <v>28</v>
      </c>
      <c r="F1030" t="s">
        <v>34</v>
      </c>
      <c r="G1030">
        <v>5</v>
      </c>
      <c r="H1030" s="6">
        <v>68147</v>
      </c>
      <c r="I1030" s="6">
        <v>4030.69</v>
      </c>
      <c r="J1030">
        <v>13</v>
      </c>
      <c r="K1030">
        <v>45</v>
      </c>
      <c r="L1030" t="s">
        <v>30</v>
      </c>
      <c r="M1030" t="s">
        <v>31</v>
      </c>
      <c r="N1030">
        <v>4</v>
      </c>
      <c r="O1030" s="4"/>
      <c r="P1030" s="4" t="str">
        <f>IF(Data_Set_2[[#This Row],[valor_bruto]]&gt;$W$13,"OUTLIER+","")</f>
        <v/>
      </c>
      <c r="Q1030" s="4" t="str">
        <f>IF(Data_Set_2[[#This Row],[valor_bruto]]&lt;$W$14,"OUTLIER-","")</f>
        <v/>
      </c>
      <c r="R1030" s="4"/>
      <c r="S1030" s="4"/>
      <c r="T1030">
        <v>5</v>
      </c>
      <c r="U1030">
        <v>13</v>
      </c>
      <c r="V1030">
        <v>2025</v>
      </c>
      <c r="W1030" s="1">
        <f t="shared" si="1"/>
        <v>45790</v>
      </c>
      <c r="AB1030" t="str">
        <v>RES-101028</v>
      </c>
      <c r="AC1030">
        <v>45987</v>
      </c>
      <c r="AD1030">
        <v>0.78888888888888886</v>
      </c>
      <c r="AE1030" t="str">
        <v>Laureles</v>
      </c>
      <c r="AF1030" t="str">
        <v>Recoge</v>
      </c>
      <c r="AG1030" t="str">
        <v>Vegano</v>
      </c>
      <c r="AH1030">
        <v>5</v>
      </c>
      <c r="AI1030">
        <v>68147</v>
      </c>
      <c r="AJ1030">
        <v>4030.69</v>
      </c>
      <c r="AK1030">
        <v>13</v>
      </c>
      <c r="AL1030">
        <v>45</v>
      </c>
      <c r="AM1030" t="str">
        <v>App</v>
      </c>
      <c r="AN1030" t="str">
        <v>Reembolsada</v>
      </c>
      <c r="AO1030">
        <v>4</v>
      </c>
    </row>
    <row r="1031" spans="1:41" x14ac:dyDescent="0.3">
      <c r="A1031" t="s">
        <v>1069</v>
      </c>
      <c r="B1031" s="8">
        <v>45988</v>
      </c>
      <c r="C1031" s="2">
        <v>0.79374999999999996</v>
      </c>
      <c r="D1031" t="s">
        <v>21</v>
      </c>
      <c r="E1031" t="s">
        <v>16</v>
      </c>
      <c r="F1031" t="s">
        <v>36</v>
      </c>
      <c r="G1031">
        <v>4</v>
      </c>
      <c r="H1031" s="6">
        <v>66367.509999999995</v>
      </c>
      <c r="I1031" s="6">
        <v>2865.68</v>
      </c>
      <c r="J1031">
        <v>29</v>
      </c>
      <c r="K1031">
        <v>42</v>
      </c>
      <c r="L1031" t="s">
        <v>18</v>
      </c>
      <c r="M1031" t="s">
        <v>19</v>
      </c>
      <c r="N1031">
        <v>4</v>
      </c>
      <c r="O1031" s="4"/>
      <c r="P1031" s="4" t="str">
        <f>IF(Data_Set_2[[#This Row],[valor_bruto]]&gt;$W$13,"OUTLIER+","")</f>
        <v/>
      </c>
      <c r="Q1031" s="4" t="str">
        <f>IF(Data_Set_2[[#This Row],[valor_bruto]]&lt;$W$14,"OUTLIER-","")</f>
        <v/>
      </c>
      <c r="R1031" s="4"/>
      <c r="S1031" s="4"/>
      <c r="T1031">
        <v>5</v>
      </c>
      <c r="U1031">
        <v>14</v>
      </c>
      <c r="V1031">
        <v>2025</v>
      </c>
      <c r="W1031" s="1">
        <f t="shared" si="1"/>
        <v>45791</v>
      </c>
      <c r="AB1031" t="str">
        <v>RES-101029</v>
      </c>
      <c r="AC1031">
        <v>45988</v>
      </c>
      <c r="AD1031">
        <v>0.79374999999999996</v>
      </c>
      <c r="AE1031" t="str">
        <v>Poblado</v>
      </c>
      <c r="AF1031" t="str">
        <v>Mesa</v>
      </c>
      <c r="AG1031" t="str">
        <v>Bebidas</v>
      </c>
      <c r="AH1031">
        <v>4</v>
      </c>
      <c r="AI1031">
        <v>66367.509999999995</v>
      </c>
      <c r="AJ1031">
        <v>2865.68</v>
      </c>
      <c r="AK1031">
        <v>29</v>
      </c>
      <c r="AL1031">
        <v>42</v>
      </c>
      <c r="AM1031" t="str">
        <v>Tarjeta</v>
      </c>
      <c r="AN1031" t="str">
        <v>Entregada</v>
      </c>
      <c r="AO1031">
        <v>4</v>
      </c>
    </row>
    <row r="1032" spans="1:41" x14ac:dyDescent="0.3">
      <c r="A1032" t="s">
        <v>1070</v>
      </c>
      <c r="B1032" s="8">
        <v>45989</v>
      </c>
      <c r="C1032" s="2">
        <v>0.84027777777777779</v>
      </c>
      <c r="D1032" t="s">
        <v>27</v>
      </c>
      <c r="E1032" t="s">
        <v>22</v>
      </c>
      <c r="F1032" t="s">
        <v>17</v>
      </c>
      <c r="G1032">
        <v>6</v>
      </c>
      <c r="H1032" s="6">
        <v>49110.37</v>
      </c>
      <c r="I1032" s="6">
        <v>3993.19</v>
      </c>
      <c r="J1032">
        <v>24</v>
      </c>
      <c r="K1032">
        <v>31</v>
      </c>
      <c r="L1032" t="s">
        <v>24</v>
      </c>
      <c r="M1032" t="s">
        <v>25</v>
      </c>
      <c r="N1032">
        <v>5</v>
      </c>
      <c r="O1032" s="4"/>
      <c r="P1032" s="4" t="str">
        <f>IF(Data_Set_2[[#This Row],[valor_bruto]]&gt;$W$13,"OUTLIER+","")</f>
        <v/>
      </c>
      <c r="Q1032" s="4" t="str">
        <f>IF(Data_Set_2[[#This Row],[valor_bruto]]&lt;$W$14,"OUTLIER-","")</f>
        <v/>
      </c>
      <c r="R1032" s="4"/>
      <c r="S1032" s="4"/>
      <c r="T1032">
        <v>5</v>
      </c>
      <c r="U1032">
        <v>15</v>
      </c>
      <c r="V1032">
        <v>2025</v>
      </c>
      <c r="W1032" s="1">
        <f t="shared" si="1"/>
        <v>45792</v>
      </c>
      <c r="AB1032" t="str">
        <v>RES-101030</v>
      </c>
      <c r="AC1032">
        <v>45989</v>
      </c>
      <c r="AD1032">
        <v>0.84027777777777779</v>
      </c>
      <c r="AE1032" t="str">
        <v>Centro</v>
      </c>
      <c r="AF1032" t="str">
        <v>Domicilio</v>
      </c>
      <c r="AG1032" t="str">
        <v>Comida rapida</v>
      </c>
      <c r="AH1032">
        <v>6</v>
      </c>
      <c r="AI1032">
        <v>49110.37</v>
      </c>
      <c r="AJ1032">
        <v>3993.19</v>
      </c>
      <c r="AK1032">
        <v>24</v>
      </c>
      <c r="AL1032">
        <v>31</v>
      </c>
      <c r="AM1032" t="str">
        <v>Efectivo</v>
      </c>
      <c r="AN1032" t="str">
        <v>Cancelada</v>
      </c>
      <c r="AO1032">
        <v>5</v>
      </c>
    </row>
    <row r="1033" spans="1:41" x14ac:dyDescent="0.3">
      <c r="A1033" t="s">
        <v>1071</v>
      </c>
      <c r="B1033" s="8">
        <v>45990</v>
      </c>
      <c r="C1033" s="2">
        <v>0.88680555555555551</v>
      </c>
      <c r="D1033" t="s">
        <v>33</v>
      </c>
      <c r="E1033" t="s">
        <v>28</v>
      </c>
      <c r="F1033" t="s">
        <v>23</v>
      </c>
      <c r="G1033">
        <v>6</v>
      </c>
      <c r="H1033" s="6">
        <v>38544.83</v>
      </c>
      <c r="I1033" s="6">
        <v>7762.49</v>
      </c>
      <c r="J1033">
        <v>19</v>
      </c>
      <c r="K1033">
        <v>32</v>
      </c>
      <c r="L1033" t="s">
        <v>30</v>
      </c>
      <c r="M1033" t="s">
        <v>31</v>
      </c>
      <c r="N1033">
        <f>VLOOKUP(Data_Set_2[[#This Row],[estado]],M2:N1032,2,0)</f>
        <v>5</v>
      </c>
      <c r="O1033" s="4"/>
      <c r="P1033" s="4" t="str">
        <f>IF(Data_Set_2[[#This Row],[valor_bruto]]&gt;$W$13,"OUTLIER+","")</f>
        <v/>
      </c>
      <c r="Q1033" s="4" t="str">
        <f>IF(Data_Set_2[[#This Row],[valor_bruto]]&lt;$W$14,"OUTLIER-","")</f>
        <v/>
      </c>
      <c r="R1033" s="4"/>
      <c r="S1033" s="4"/>
      <c r="T1033">
        <v>5</v>
      </c>
      <c r="U1033">
        <v>16</v>
      </c>
      <c r="V1033">
        <v>2025</v>
      </c>
      <c r="W1033" s="1">
        <f t="shared" si="1"/>
        <v>45793</v>
      </c>
      <c r="AB1033" t="str">
        <v>RES-101031</v>
      </c>
      <c r="AC1033">
        <v>45990</v>
      </c>
      <c r="AD1033">
        <v>0.88680555555555551</v>
      </c>
      <c r="AE1033" t="str">
        <v>Envigado</v>
      </c>
      <c r="AF1033" t="str">
        <v>Recoge</v>
      </c>
      <c r="AG1033" t="str">
        <v>Pasta</v>
      </c>
      <c r="AH1033">
        <v>6</v>
      </c>
      <c r="AI1033">
        <v>38544.83</v>
      </c>
      <c r="AJ1033">
        <v>7762.49</v>
      </c>
      <c r="AK1033">
        <v>19</v>
      </c>
      <c r="AL1033">
        <v>32</v>
      </c>
      <c r="AM1033" t="str">
        <v>App</v>
      </c>
      <c r="AN1033" t="str">
        <v>Reembolsada</v>
      </c>
      <c r="AO1033">
        <v>5</v>
      </c>
    </row>
    <row r="1034" spans="1:41" x14ac:dyDescent="0.3">
      <c r="A1034" t="s">
        <v>1072</v>
      </c>
      <c r="B1034" s="8">
        <v>45991</v>
      </c>
      <c r="C1034" s="2">
        <v>0.43333333333333335</v>
      </c>
      <c r="D1034" t="s">
        <v>15</v>
      </c>
      <c r="E1034" t="s">
        <v>16</v>
      </c>
      <c r="F1034" t="s">
        <v>29</v>
      </c>
      <c r="G1034">
        <v>6</v>
      </c>
      <c r="H1034" s="6">
        <v>69706.149999999994</v>
      </c>
      <c r="I1034" s="6">
        <v>7409.72</v>
      </c>
      <c r="J1034">
        <v>15</v>
      </c>
      <c r="K1034">
        <v>47</v>
      </c>
      <c r="L1034" t="s">
        <v>18</v>
      </c>
      <c r="M1034" t="s">
        <v>19</v>
      </c>
      <c r="N1034">
        <v>3</v>
      </c>
      <c r="O1034" s="4"/>
      <c r="P1034" s="4" t="str">
        <f>IF(Data_Set_2[[#This Row],[valor_bruto]]&gt;$W$13,"OUTLIER+","")</f>
        <v/>
      </c>
      <c r="Q1034" s="4" t="str">
        <f>IF(Data_Set_2[[#This Row],[valor_bruto]]&lt;$W$14,"OUTLIER-","")</f>
        <v/>
      </c>
      <c r="R1034" s="4"/>
      <c r="S1034" s="4"/>
      <c r="T1034">
        <v>5</v>
      </c>
      <c r="U1034">
        <v>17</v>
      </c>
      <c r="V1034">
        <v>2025</v>
      </c>
      <c r="W1034" s="1">
        <f t="shared" si="1"/>
        <v>45794</v>
      </c>
      <c r="AB1034" t="str">
        <v>RES-101032</v>
      </c>
      <c r="AC1034">
        <v>45991</v>
      </c>
      <c r="AD1034">
        <v>0.43333333333333335</v>
      </c>
      <c r="AE1034" t="str">
        <v>Laureles</v>
      </c>
      <c r="AF1034" t="str">
        <v>Mesa</v>
      </c>
      <c r="AG1034" t="str">
        <v>Parrilla</v>
      </c>
      <c r="AH1034">
        <v>6</v>
      </c>
      <c r="AI1034">
        <v>69706.149999999994</v>
      </c>
      <c r="AJ1034">
        <v>7409.72</v>
      </c>
      <c r="AK1034">
        <v>15</v>
      </c>
      <c r="AL1034">
        <v>47</v>
      </c>
      <c r="AM1034" t="str">
        <v>Tarjeta</v>
      </c>
      <c r="AN1034" t="str">
        <v>Entregada</v>
      </c>
      <c r="AO1034">
        <v>3</v>
      </c>
    </row>
    <row r="1035" spans="1:41" x14ac:dyDescent="0.3">
      <c r="A1035" t="s">
        <v>1073</v>
      </c>
      <c r="B1035" s="8">
        <v>45992</v>
      </c>
      <c r="C1035" s="2">
        <v>0.47986111111111113</v>
      </c>
      <c r="D1035" t="s">
        <v>21</v>
      </c>
      <c r="E1035" t="s">
        <v>22</v>
      </c>
      <c r="F1035" t="s">
        <v>34</v>
      </c>
      <c r="G1035">
        <v>5</v>
      </c>
      <c r="H1035" s="6">
        <v>51211.22</v>
      </c>
      <c r="I1035" s="6">
        <v>3277.64</v>
      </c>
      <c r="J1035">
        <v>28</v>
      </c>
      <c r="K1035">
        <v>24</v>
      </c>
      <c r="L1035" t="s">
        <v>24</v>
      </c>
      <c r="M1035" t="s">
        <v>25</v>
      </c>
      <c r="N1035">
        <v>4</v>
      </c>
      <c r="O1035" s="4"/>
      <c r="P1035" s="4" t="str">
        <f>IF(Data_Set_2[[#This Row],[valor_bruto]]&gt;$W$13,"OUTLIER+","")</f>
        <v/>
      </c>
      <c r="Q1035" s="4" t="str">
        <f>IF(Data_Set_2[[#This Row],[valor_bruto]]&lt;$W$14,"OUTLIER-","")</f>
        <v/>
      </c>
      <c r="R1035" s="4"/>
      <c r="S1035" s="4"/>
      <c r="T1035">
        <v>5</v>
      </c>
      <c r="U1035">
        <v>18</v>
      </c>
      <c r="V1035">
        <v>2025</v>
      </c>
      <c r="W1035" s="1">
        <f t="shared" si="1"/>
        <v>45795</v>
      </c>
      <c r="AB1035" t="str">
        <v>RES-101033</v>
      </c>
      <c r="AC1035">
        <v>45992</v>
      </c>
      <c r="AD1035">
        <v>0.47986111111111113</v>
      </c>
      <c r="AE1035" t="str">
        <v>Poblado</v>
      </c>
      <c r="AF1035" t="str">
        <v>Domicilio</v>
      </c>
      <c r="AG1035" t="str">
        <v>Vegano</v>
      </c>
      <c r="AH1035">
        <v>5</v>
      </c>
      <c r="AI1035">
        <v>51211.22</v>
      </c>
      <c r="AJ1035">
        <v>3277.64</v>
      </c>
      <c r="AK1035">
        <v>28</v>
      </c>
      <c r="AL1035">
        <v>24</v>
      </c>
      <c r="AM1035" t="str">
        <v>Efectivo</v>
      </c>
      <c r="AN1035" t="str">
        <v>Cancelada</v>
      </c>
      <c r="AO1035">
        <v>4</v>
      </c>
    </row>
    <row r="1036" spans="1:41" x14ac:dyDescent="0.3">
      <c r="A1036" t="s">
        <v>1074</v>
      </c>
      <c r="B1036" s="8">
        <v>45700</v>
      </c>
      <c r="C1036" s="2">
        <v>0.52638888888888891</v>
      </c>
      <c r="D1036" t="s">
        <v>27</v>
      </c>
      <c r="E1036" t="s">
        <v>28</v>
      </c>
      <c r="F1036" t="s">
        <v>36</v>
      </c>
      <c r="G1036">
        <v>6</v>
      </c>
      <c r="H1036" s="6">
        <v>43177.8</v>
      </c>
      <c r="I1036" s="6">
        <v>5348.61</v>
      </c>
      <c r="J1036">
        <v>31</v>
      </c>
      <c r="K1036">
        <v>39</v>
      </c>
      <c r="L1036" t="s">
        <v>30</v>
      </c>
      <c r="M1036" t="s">
        <v>31</v>
      </c>
      <c r="N1036">
        <v>4</v>
      </c>
      <c r="O1036" s="4"/>
      <c r="P1036" s="4" t="str">
        <f>IF(Data_Set_2[[#This Row],[valor_bruto]]&gt;$W$13,"OUTLIER+","")</f>
        <v/>
      </c>
      <c r="Q1036" s="4" t="str">
        <f>IF(Data_Set_2[[#This Row],[valor_bruto]]&lt;$W$14,"OUTLIER-","")</f>
        <v/>
      </c>
      <c r="R1036" s="4"/>
      <c r="S1036" s="4"/>
      <c r="T1036">
        <v>5</v>
      </c>
      <c r="U1036">
        <v>19</v>
      </c>
      <c r="V1036">
        <v>2025</v>
      </c>
      <c r="W1036" s="1">
        <f t="shared" si="1"/>
        <v>45796</v>
      </c>
      <c r="AB1036" t="str">
        <v>RES-101034</v>
      </c>
      <c r="AC1036">
        <v>45700</v>
      </c>
      <c r="AD1036">
        <v>0.52638888888888891</v>
      </c>
      <c r="AE1036" t="str">
        <v>Centro</v>
      </c>
      <c r="AF1036" t="str">
        <v>Recoge</v>
      </c>
      <c r="AG1036" t="str">
        <v>Bebidas</v>
      </c>
      <c r="AH1036">
        <v>6</v>
      </c>
      <c r="AI1036">
        <v>43177.8</v>
      </c>
      <c r="AJ1036">
        <v>5348.61</v>
      </c>
      <c r="AK1036">
        <v>31</v>
      </c>
      <c r="AL1036">
        <v>39</v>
      </c>
      <c r="AM1036" t="str">
        <v>App</v>
      </c>
      <c r="AN1036" t="str">
        <v>Reembolsada</v>
      </c>
      <c r="AO1036">
        <v>4</v>
      </c>
    </row>
    <row r="1037" spans="1:41" x14ac:dyDescent="0.3">
      <c r="A1037" t="s">
        <v>1075</v>
      </c>
      <c r="B1037" s="8">
        <v>45994</v>
      </c>
      <c r="C1037" s="2">
        <v>0.57291666666666663</v>
      </c>
      <c r="D1037" t="s">
        <v>33</v>
      </c>
      <c r="E1037" t="s">
        <v>16</v>
      </c>
      <c r="F1037" t="s">
        <v>17</v>
      </c>
      <c r="G1037">
        <v>6</v>
      </c>
      <c r="H1037" s="6">
        <v>66709.820000000007</v>
      </c>
      <c r="I1037" s="6">
        <v>4963.6899999999996</v>
      </c>
      <c r="J1037">
        <v>13</v>
      </c>
      <c r="K1037">
        <v>32</v>
      </c>
      <c r="L1037" t="s">
        <v>18</v>
      </c>
      <c r="M1037" t="s">
        <v>19</v>
      </c>
      <c r="N1037">
        <v>3</v>
      </c>
      <c r="O1037" s="4"/>
      <c r="P1037" s="4" t="str">
        <f>IF(Data_Set_2[[#This Row],[valor_bruto]]&gt;$W$13,"OUTLIER+","")</f>
        <v/>
      </c>
      <c r="Q1037" s="4" t="str">
        <f>IF(Data_Set_2[[#This Row],[valor_bruto]]&lt;$W$14,"OUTLIER-","")</f>
        <v/>
      </c>
      <c r="R1037" s="4"/>
      <c r="S1037" s="4"/>
      <c r="T1037">
        <v>5</v>
      </c>
      <c r="U1037">
        <v>20</v>
      </c>
      <c r="V1037">
        <v>2025</v>
      </c>
      <c r="W1037" s="1">
        <f t="shared" si="1"/>
        <v>45797</v>
      </c>
      <c r="AB1037" t="str">
        <v>RES-101035</v>
      </c>
      <c r="AC1037">
        <v>45994</v>
      </c>
      <c r="AD1037">
        <v>0.57291666666666663</v>
      </c>
      <c r="AE1037" t="str">
        <v>Envigado</v>
      </c>
      <c r="AF1037" t="str">
        <v>Mesa</v>
      </c>
      <c r="AG1037" t="str">
        <v>Comida rapida</v>
      </c>
      <c r="AH1037">
        <v>6</v>
      </c>
      <c r="AI1037">
        <v>66709.820000000007</v>
      </c>
      <c r="AJ1037">
        <v>4963.6899999999996</v>
      </c>
      <c r="AK1037">
        <v>13</v>
      </c>
      <c r="AL1037">
        <v>32</v>
      </c>
      <c r="AM1037" t="str">
        <v>Tarjeta</v>
      </c>
      <c r="AN1037" t="str">
        <v>Entregada</v>
      </c>
      <c r="AO1037">
        <v>3</v>
      </c>
    </row>
    <row r="1038" spans="1:41" x14ac:dyDescent="0.3">
      <c r="A1038" t="s">
        <v>1076</v>
      </c>
      <c r="B1038" s="8">
        <v>45995</v>
      </c>
      <c r="C1038" s="2">
        <v>0.61944444444444446</v>
      </c>
      <c r="D1038" t="s">
        <v>15</v>
      </c>
      <c r="E1038" t="s">
        <v>22</v>
      </c>
      <c r="F1038" t="s">
        <v>23</v>
      </c>
      <c r="G1038">
        <v>6</v>
      </c>
      <c r="H1038" s="6">
        <v>61973.22</v>
      </c>
      <c r="I1038" s="6">
        <v>7945.12</v>
      </c>
      <c r="J1038">
        <v>22</v>
      </c>
      <c r="K1038">
        <v>50</v>
      </c>
      <c r="L1038" t="s">
        <v>24</v>
      </c>
      <c r="M1038" t="s">
        <v>25</v>
      </c>
      <c r="N1038">
        <v>5</v>
      </c>
      <c r="O1038" s="4"/>
      <c r="P1038" s="4" t="str">
        <f>IF(Data_Set_2[[#This Row],[valor_bruto]]&gt;$W$13,"OUTLIER+","")</f>
        <v/>
      </c>
      <c r="Q1038" s="4" t="str">
        <f>IF(Data_Set_2[[#This Row],[valor_bruto]]&lt;$W$14,"OUTLIER-","")</f>
        <v/>
      </c>
      <c r="R1038" s="4"/>
      <c r="S1038" s="4"/>
      <c r="T1038">
        <v>5</v>
      </c>
      <c r="U1038">
        <v>21</v>
      </c>
      <c r="V1038">
        <v>2025</v>
      </c>
      <c r="W1038" s="1">
        <f t="shared" si="1"/>
        <v>45798</v>
      </c>
      <c r="AB1038" t="str">
        <v>RES-101036</v>
      </c>
      <c r="AC1038">
        <v>45995</v>
      </c>
      <c r="AD1038">
        <v>0.61944444444444446</v>
      </c>
      <c r="AE1038" t="str">
        <v>Laureles</v>
      </c>
      <c r="AF1038" t="str">
        <v>Domicilio</v>
      </c>
      <c r="AG1038" t="str">
        <v>Pasta</v>
      </c>
      <c r="AH1038">
        <v>6</v>
      </c>
      <c r="AI1038">
        <v>61973.22</v>
      </c>
      <c r="AJ1038">
        <v>7945.12</v>
      </c>
      <c r="AK1038">
        <v>22</v>
      </c>
      <c r="AL1038">
        <v>50</v>
      </c>
      <c r="AM1038" t="str">
        <v>Efectivo</v>
      </c>
      <c r="AN1038" t="str">
        <v>Cancelada</v>
      </c>
      <c r="AO1038">
        <v>5</v>
      </c>
    </row>
    <row r="1039" spans="1:41" x14ac:dyDescent="0.3">
      <c r="A1039" t="s">
        <v>1077</v>
      </c>
      <c r="B1039" s="8">
        <v>45789</v>
      </c>
      <c r="C1039" s="2">
        <v>0.66597222222222219</v>
      </c>
      <c r="D1039" t="s">
        <v>21</v>
      </c>
      <c r="E1039" t="s">
        <v>28</v>
      </c>
      <c r="F1039" t="s">
        <v>29</v>
      </c>
      <c r="G1039">
        <v>6</v>
      </c>
      <c r="H1039" s="6">
        <v>65779.600000000006</v>
      </c>
      <c r="I1039" s="6">
        <v>6806.2</v>
      </c>
      <c r="J1039">
        <v>24</v>
      </c>
      <c r="K1039">
        <v>51</v>
      </c>
      <c r="L1039" t="s">
        <v>30</v>
      </c>
      <c r="M1039" t="s">
        <v>31</v>
      </c>
      <c r="N1039">
        <v>4</v>
      </c>
      <c r="O1039" s="4"/>
      <c r="P1039" s="4" t="str">
        <f>IF(Data_Set_2[[#This Row],[valor_bruto]]&gt;$W$13,"OUTLIER+","")</f>
        <v/>
      </c>
      <c r="Q1039" s="4" t="str">
        <f>IF(Data_Set_2[[#This Row],[valor_bruto]]&lt;$W$14,"OUTLIER-","")</f>
        <v/>
      </c>
      <c r="R1039" s="4"/>
      <c r="S1039" s="4"/>
      <c r="T1039">
        <v>5</v>
      </c>
      <c r="U1039">
        <v>22</v>
      </c>
      <c r="V1039">
        <v>2025</v>
      </c>
      <c r="W1039" s="1">
        <f t="shared" si="1"/>
        <v>45799</v>
      </c>
      <c r="AB1039" t="str">
        <v>RES-101037</v>
      </c>
      <c r="AC1039">
        <v>45789</v>
      </c>
      <c r="AD1039">
        <v>0.66597222222222219</v>
      </c>
      <c r="AE1039" t="str">
        <v>Poblado</v>
      </c>
      <c r="AF1039" t="str">
        <v>Recoge</v>
      </c>
      <c r="AG1039" t="str">
        <v>Parrilla</v>
      </c>
      <c r="AH1039">
        <v>6</v>
      </c>
      <c r="AI1039">
        <v>65779.600000000006</v>
      </c>
      <c r="AJ1039">
        <v>6806.2</v>
      </c>
      <c r="AK1039">
        <v>24</v>
      </c>
      <c r="AL1039">
        <v>51</v>
      </c>
      <c r="AM1039" t="str">
        <v>App</v>
      </c>
      <c r="AN1039" t="str">
        <v>Reembolsada</v>
      </c>
      <c r="AO1039">
        <v>4</v>
      </c>
    </row>
    <row r="1040" spans="1:41" x14ac:dyDescent="0.3">
      <c r="A1040" t="s">
        <v>1078</v>
      </c>
      <c r="B1040" s="8">
        <v>45997</v>
      </c>
      <c r="C1040" s="2">
        <v>0.67083333333333328</v>
      </c>
      <c r="D1040" t="s">
        <v>27</v>
      </c>
      <c r="E1040" t="s">
        <v>16</v>
      </c>
      <c r="F1040" t="s">
        <v>34</v>
      </c>
      <c r="G1040">
        <v>3</v>
      </c>
      <c r="H1040" s="6">
        <v>44861.120000000003</v>
      </c>
      <c r="I1040" s="6">
        <v>6259.53</v>
      </c>
      <c r="J1040">
        <v>14</v>
      </c>
      <c r="K1040">
        <v>42</v>
      </c>
      <c r="L1040" t="s">
        <v>18</v>
      </c>
      <c r="M1040" t="s">
        <v>19</v>
      </c>
      <c r="N1040">
        <v>4</v>
      </c>
      <c r="O1040" s="4"/>
      <c r="P1040" s="4" t="str">
        <f>IF(Data_Set_2[[#This Row],[valor_bruto]]&gt;$W$13,"OUTLIER+","")</f>
        <v/>
      </c>
      <c r="Q1040" s="4" t="str">
        <f>IF(Data_Set_2[[#This Row],[valor_bruto]]&lt;$W$14,"OUTLIER-","")</f>
        <v/>
      </c>
      <c r="R1040" s="4"/>
      <c r="S1040" s="4"/>
      <c r="T1040">
        <v>5</v>
      </c>
      <c r="U1040">
        <v>23</v>
      </c>
      <c r="V1040">
        <v>2025</v>
      </c>
      <c r="W1040" s="1">
        <f t="shared" si="1"/>
        <v>45800</v>
      </c>
      <c r="AB1040" t="str">
        <v>RES-101038</v>
      </c>
      <c r="AC1040">
        <v>45997</v>
      </c>
      <c r="AD1040">
        <v>0.67083333333333328</v>
      </c>
      <c r="AE1040" t="str">
        <v>Centro</v>
      </c>
      <c r="AF1040" t="str">
        <v>Mesa</v>
      </c>
      <c r="AG1040" t="str">
        <v>Vegano</v>
      </c>
      <c r="AH1040">
        <v>3</v>
      </c>
      <c r="AI1040">
        <v>44861.120000000003</v>
      </c>
      <c r="AJ1040">
        <v>6259.53</v>
      </c>
      <c r="AK1040">
        <v>14</v>
      </c>
      <c r="AL1040">
        <v>42</v>
      </c>
      <c r="AM1040" t="str">
        <v>Tarjeta</v>
      </c>
      <c r="AN1040" t="str">
        <v>Entregada</v>
      </c>
      <c r="AO1040">
        <v>4</v>
      </c>
    </row>
    <row r="1041" spans="1:41" x14ac:dyDescent="0.3">
      <c r="A1041" t="s">
        <v>1079</v>
      </c>
      <c r="B1041" s="8">
        <v>45998</v>
      </c>
      <c r="C1041" s="2">
        <v>0.71736111111111112</v>
      </c>
      <c r="D1041" t="s">
        <v>33</v>
      </c>
      <c r="E1041" t="s">
        <v>22</v>
      </c>
      <c r="F1041" t="s">
        <v>36</v>
      </c>
      <c r="G1041">
        <v>6</v>
      </c>
      <c r="H1041" s="6">
        <v>55362.2</v>
      </c>
      <c r="I1041" s="6">
        <v>5645.04</v>
      </c>
      <c r="J1041">
        <v>13</v>
      </c>
      <c r="K1041">
        <v>24</v>
      </c>
      <c r="L1041" t="s">
        <v>24</v>
      </c>
      <c r="M1041" t="s">
        <v>25</v>
      </c>
      <c r="N1041">
        <v>4</v>
      </c>
      <c r="O1041" s="4"/>
      <c r="P1041" s="4" t="str">
        <f>IF(Data_Set_2[[#This Row],[valor_bruto]]&gt;$W$13,"OUTLIER+","")</f>
        <v/>
      </c>
      <c r="Q1041" s="4" t="str">
        <f>IF(Data_Set_2[[#This Row],[valor_bruto]]&lt;$W$14,"OUTLIER-","")</f>
        <v/>
      </c>
      <c r="R1041" s="4"/>
      <c r="S1041" s="4"/>
      <c r="T1041">
        <v>5</v>
      </c>
      <c r="U1041">
        <v>24</v>
      </c>
      <c r="V1041">
        <v>2025</v>
      </c>
      <c r="W1041" s="1">
        <f t="shared" si="1"/>
        <v>45801</v>
      </c>
      <c r="AB1041" t="str">
        <v>RES-101039</v>
      </c>
      <c r="AC1041">
        <v>45998</v>
      </c>
      <c r="AD1041">
        <v>0.71736111111111112</v>
      </c>
      <c r="AE1041" t="str">
        <v>Envigado</v>
      </c>
      <c r="AF1041" t="str">
        <v>Domicilio</v>
      </c>
      <c r="AG1041" t="str">
        <v>Bebidas</v>
      </c>
      <c r="AH1041">
        <v>6</v>
      </c>
      <c r="AI1041">
        <v>55362.2</v>
      </c>
      <c r="AJ1041">
        <v>5645.04</v>
      </c>
      <c r="AK1041">
        <v>13</v>
      </c>
      <c r="AL1041">
        <v>24</v>
      </c>
      <c r="AM1041" t="str">
        <v>Efectivo</v>
      </c>
      <c r="AN1041" t="str">
        <v>Cancelada</v>
      </c>
      <c r="AO1041">
        <v>4</v>
      </c>
    </row>
    <row r="1042" spans="1:41" x14ac:dyDescent="0.3">
      <c r="A1042" t="s">
        <v>1080</v>
      </c>
      <c r="B1042" s="8">
        <v>45881</v>
      </c>
      <c r="C1042" s="2">
        <v>0.76388888888888884</v>
      </c>
      <c r="D1042" t="s">
        <v>15</v>
      </c>
      <c r="E1042" t="s">
        <v>28</v>
      </c>
      <c r="F1042" t="s">
        <v>17</v>
      </c>
      <c r="G1042">
        <v>5</v>
      </c>
      <c r="H1042" s="6">
        <v>31238.33</v>
      </c>
      <c r="I1042" s="6">
        <v>6165.45</v>
      </c>
      <c r="J1042">
        <v>27</v>
      </c>
      <c r="K1042">
        <v>32</v>
      </c>
      <c r="L1042" t="s">
        <v>30</v>
      </c>
      <c r="M1042" t="s">
        <v>31</v>
      </c>
      <c r="N1042">
        <v>5</v>
      </c>
      <c r="O1042" s="4"/>
      <c r="P1042" s="4" t="str">
        <f>IF(Data_Set_2[[#This Row],[valor_bruto]]&gt;$W$13,"OUTLIER+","")</f>
        <v/>
      </c>
      <c r="Q1042" s="4" t="str">
        <f>IF(Data_Set_2[[#This Row],[valor_bruto]]&lt;$W$14,"OUTLIER-","")</f>
        <v/>
      </c>
      <c r="R1042" s="4"/>
      <c r="S1042" s="4"/>
      <c r="T1042">
        <v>5</v>
      </c>
      <c r="U1042">
        <v>25</v>
      </c>
      <c r="V1042">
        <v>2025</v>
      </c>
      <c r="W1042" s="1">
        <f t="shared" si="1"/>
        <v>45802</v>
      </c>
      <c r="AB1042" t="str">
        <v>RES-101040</v>
      </c>
      <c r="AC1042">
        <v>45881</v>
      </c>
      <c r="AD1042">
        <v>0.76388888888888884</v>
      </c>
      <c r="AE1042" t="str">
        <v>Laureles</v>
      </c>
      <c r="AF1042" t="str">
        <v>Recoge</v>
      </c>
      <c r="AG1042" t="str">
        <v>Comida rapida</v>
      </c>
      <c r="AH1042">
        <v>5</v>
      </c>
      <c r="AI1042">
        <v>31238.33</v>
      </c>
      <c r="AJ1042">
        <v>6165.45</v>
      </c>
      <c r="AK1042">
        <v>27</v>
      </c>
      <c r="AL1042">
        <v>32</v>
      </c>
      <c r="AM1042" t="str">
        <v>App</v>
      </c>
      <c r="AN1042" t="str">
        <v>Reembolsada</v>
      </c>
      <c r="AO1042">
        <v>5</v>
      </c>
    </row>
    <row r="1043" spans="1:41" x14ac:dyDescent="0.3">
      <c r="A1043" t="s">
        <v>1081</v>
      </c>
      <c r="B1043" s="8">
        <v>46000</v>
      </c>
      <c r="C1043" s="2">
        <v>0.81041666666666667</v>
      </c>
      <c r="D1043" t="s">
        <v>21</v>
      </c>
      <c r="E1043" t="s">
        <v>16</v>
      </c>
      <c r="F1043" t="s">
        <v>23</v>
      </c>
      <c r="G1043">
        <v>2</v>
      </c>
      <c r="H1043" s="6">
        <v>41388.97</v>
      </c>
      <c r="I1043" s="6">
        <v>6443.11</v>
      </c>
      <c r="J1043">
        <v>24</v>
      </c>
      <c r="K1043">
        <v>52</v>
      </c>
      <c r="L1043" t="s">
        <v>18</v>
      </c>
      <c r="M1043" t="s">
        <v>19</v>
      </c>
      <c r="N1043">
        <v>3</v>
      </c>
      <c r="O1043" s="4"/>
      <c r="P1043" s="4" t="str">
        <f>IF(Data_Set_2[[#This Row],[valor_bruto]]&gt;$W$13,"OUTLIER+","")</f>
        <v/>
      </c>
      <c r="Q1043" s="4" t="str">
        <f>IF(Data_Set_2[[#This Row],[valor_bruto]]&lt;$W$14,"OUTLIER-","")</f>
        <v/>
      </c>
      <c r="R1043" s="4"/>
      <c r="S1043" s="4"/>
      <c r="T1043">
        <v>5</v>
      </c>
      <c r="U1043">
        <v>26</v>
      </c>
      <c r="V1043">
        <v>2025</v>
      </c>
      <c r="W1043" s="1">
        <f t="shared" si="1"/>
        <v>45803</v>
      </c>
      <c r="AB1043" t="str">
        <v>RES-101041</v>
      </c>
      <c r="AC1043">
        <v>46000</v>
      </c>
      <c r="AD1043">
        <v>0.81041666666666667</v>
      </c>
      <c r="AE1043" t="str">
        <v>Poblado</v>
      </c>
      <c r="AF1043" t="str">
        <v>Mesa</v>
      </c>
      <c r="AG1043" t="str">
        <v>Pasta</v>
      </c>
      <c r="AH1043">
        <v>2</v>
      </c>
      <c r="AI1043">
        <v>41388.97</v>
      </c>
      <c r="AJ1043">
        <v>6443.11</v>
      </c>
      <c r="AK1043">
        <v>24</v>
      </c>
      <c r="AL1043">
        <v>52</v>
      </c>
      <c r="AM1043" t="str">
        <v>Tarjeta</v>
      </c>
      <c r="AN1043" t="str">
        <v>Entregada</v>
      </c>
      <c r="AO1043">
        <v>3</v>
      </c>
    </row>
    <row r="1044" spans="1:41" x14ac:dyDescent="0.3">
      <c r="A1044" t="s">
        <v>1082</v>
      </c>
      <c r="B1044" s="8">
        <v>46001</v>
      </c>
      <c r="C1044" s="2">
        <v>0.8569444444444444</v>
      </c>
      <c r="D1044" t="s">
        <v>27</v>
      </c>
      <c r="E1044" t="s">
        <v>22</v>
      </c>
      <c r="F1044" t="s">
        <v>29</v>
      </c>
      <c r="G1044">
        <v>4</v>
      </c>
      <c r="H1044" s="6">
        <v>50547.67</v>
      </c>
      <c r="I1044" s="6">
        <v>1322.07</v>
      </c>
      <c r="J1044">
        <v>23</v>
      </c>
      <c r="K1044">
        <v>35</v>
      </c>
      <c r="L1044" t="s">
        <v>24</v>
      </c>
      <c r="M1044" t="s">
        <v>25</v>
      </c>
      <c r="N1044">
        <v>4</v>
      </c>
      <c r="O1044" s="4"/>
      <c r="P1044" s="4" t="str">
        <f>IF(Data_Set_2[[#This Row],[valor_bruto]]&gt;$W$13,"OUTLIER+","")</f>
        <v/>
      </c>
      <c r="Q1044" s="4" t="str">
        <f>IF(Data_Set_2[[#This Row],[valor_bruto]]&lt;$W$14,"OUTLIER-","")</f>
        <v/>
      </c>
      <c r="R1044" s="4"/>
      <c r="S1044" s="4"/>
      <c r="T1044">
        <v>5</v>
      </c>
      <c r="U1044">
        <v>27</v>
      </c>
      <c r="V1044">
        <v>2025</v>
      </c>
      <c r="W1044" s="1">
        <f t="shared" si="1"/>
        <v>45804</v>
      </c>
      <c r="AB1044" t="str">
        <v>RES-101042</v>
      </c>
      <c r="AC1044">
        <v>46001</v>
      </c>
      <c r="AD1044">
        <v>0.8569444444444444</v>
      </c>
      <c r="AE1044" t="str">
        <v>Centro</v>
      </c>
      <c r="AF1044" t="str">
        <v>Domicilio</v>
      </c>
      <c r="AG1044" t="str">
        <v>Parrilla</v>
      </c>
      <c r="AH1044">
        <v>4</v>
      </c>
      <c r="AI1044">
        <v>50547.67</v>
      </c>
      <c r="AJ1044">
        <v>1322.07</v>
      </c>
      <c r="AK1044">
        <v>23</v>
      </c>
      <c r="AL1044">
        <v>35</v>
      </c>
      <c r="AM1044" t="str">
        <v>Efectivo</v>
      </c>
      <c r="AN1044" t="str">
        <v>Cancelada</v>
      </c>
      <c r="AO1044">
        <v>4</v>
      </c>
    </row>
    <row r="1045" spans="1:41" x14ac:dyDescent="0.3">
      <c r="A1045" t="s">
        <v>1083</v>
      </c>
      <c r="B1045" s="8">
        <v>45973</v>
      </c>
      <c r="C1045" s="2">
        <v>0.90347222222222223</v>
      </c>
      <c r="D1045" t="s">
        <v>33</v>
      </c>
      <c r="E1045" t="s">
        <v>28</v>
      </c>
      <c r="F1045" t="s">
        <v>34</v>
      </c>
      <c r="G1045">
        <v>4</v>
      </c>
      <c r="H1045" s="6">
        <v>69920.23</v>
      </c>
      <c r="I1045" s="6">
        <v>7620.83</v>
      </c>
      <c r="J1045">
        <v>13</v>
      </c>
      <c r="K1045">
        <v>38</v>
      </c>
      <c r="L1045" t="s">
        <v>30</v>
      </c>
      <c r="M1045" t="s">
        <v>31</v>
      </c>
      <c r="N1045">
        <v>3</v>
      </c>
      <c r="O1045" s="4"/>
      <c r="P1045" s="4" t="str">
        <f>IF(Data_Set_2[[#This Row],[valor_bruto]]&gt;$W$13,"OUTLIER+","")</f>
        <v/>
      </c>
      <c r="Q1045" s="4" t="str">
        <f>IF(Data_Set_2[[#This Row],[valor_bruto]]&lt;$W$14,"OUTLIER-","")</f>
        <v/>
      </c>
      <c r="R1045" s="4"/>
      <c r="S1045" s="4"/>
      <c r="T1045">
        <v>5</v>
      </c>
      <c r="U1045">
        <v>28</v>
      </c>
      <c r="V1045">
        <v>2025</v>
      </c>
      <c r="W1045" s="1">
        <f t="shared" si="1"/>
        <v>45805</v>
      </c>
      <c r="AB1045" t="str">
        <v>RES-101043</v>
      </c>
      <c r="AC1045">
        <v>45973</v>
      </c>
      <c r="AD1045">
        <v>0.90347222222222223</v>
      </c>
      <c r="AE1045" t="str">
        <v>Envigado</v>
      </c>
      <c r="AF1045" t="str">
        <v>Recoge</v>
      </c>
      <c r="AG1045" t="str">
        <v>Vegano</v>
      </c>
      <c r="AH1045">
        <v>4</v>
      </c>
      <c r="AI1045">
        <v>69920.23</v>
      </c>
      <c r="AJ1045">
        <v>7620.83</v>
      </c>
      <c r="AK1045">
        <v>13</v>
      </c>
      <c r="AL1045">
        <v>38</v>
      </c>
      <c r="AM1045" t="str">
        <v>App</v>
      </c>
      <c r="AN1045" t="str">
        <v>Reembolsada</v>
      </c>
      <c r="AO1045">
        <v>3</v>
      </c>
    </row>
    <row r="1046" spans="1:41" x14ac:dyDescent="0.3">
      <c r="A1046" t="s">
        <v>1084</v>
      </c>
      <c r="B1046" s="8">
        <v>46003</v>
      </c>
      <c r="C1046" s="2">
        <v>0.45</v>
      </c>
      <c r="D1046" t="s">
        <v>15</v>
      </c>
      <c r="E1046" t="s">
        <v>16</v>
      </c>
      <c r="F1046" t="s">
        <v>36</v>
      </c>
      <c r="G1046">
        <v>3</v>
      </c>
      <c r="H1046" s="6">
        <v>50564.34</v>
      </c>
      <c r="I1046" s="6">
        <v>674.71</v>
      </c>
      <c r="J1046">
        <v>30</v>
      </c>
      <c r="K1046">
        <v>24</v>
      </c>
      <c r="L1046" t="s">
        <v>18</v>
      </c>
      <c r="M1046" t="s">
        <v>19</v>
      </c>
      <c r="N1046">
        <v>4</v>
      </c>
      <c r="O1046" s="4"/>
      <c r="P1046" s="4" t="str">
        <f>IF(Data_Set_2[[#This Row],[valor_bruto]]&gt;$W$13,"OUTLIER+","")</f>
        <v/>
      </c>
      <c r="Q1046" s="4" t="str">
        <f>IF(Data_Set_2[[#This Row],[valor_bruto]]&lt;$W$14,"OUTLIER-","")</f>
        <v/>
      </c>
      <c r="R1046" s="4"/>
      <c r="S1046" s="4"/>
      <c r="T1046">
        <v>5</v>
      </c>
      <c r="U1046">
        <v>29</v>
      </c>
      <c r="V1046">
        <v>2025</v>
      </c>
      <c r="W1046" s="1">
        <f t="shared" si="1"/>
        <v>45806</v>
      </c>
      <c r="AB1046" t="str">
        <v>RES-101044</v>
      </c>
      <c r="AC1046">
        <v>46003</v>
      </c>
      <c r="AD1046">
        <v>0.45</v>
      </c>
      <c r="AE1046" t="str">
        <v>Laureles</v>
      </c>
      <c r="AF1046" t="str">
        <v>Mesa</v>
      </c>
      <c r="AG1046" t="str">
        <v>Bebidas</v>
      </c>
      <c r="AH1046">
        <v>3</v>
      </c>
      <c r="AI1046">
        <v>50564.34</v>
      </c>
      <c r="AJ1046">
        <v>674.71</v>
      </c>
      <c r="AK1046">
        <v>30</v>
      </c>
      <c r="AL1046">
        <v>24</v>
      </c>
      <c r="AM1046" t="str">
        <v>Tarjeta</v>
      </c>
      <c r="AN1046" t="str">
        <v>Entregada</v>
      </c>
      <c r="AO1046">
        <v>4</v>
      </c>
    </row>
    <row r="1047" spans="1:41" x14ac:dyDescent="0.3">
      <c r="A1047" t="s">
        <v>1085</v>
      </c>
      <c r="B1047" s="8">
        <v>46004</v>
      </c>
      <c r="C1047" s="2">
        <v>0.49652777777777779</v>
      </c>
      <c r="D1047" t="s">
        <v>21</v>
      </c>
      <c r="E1047" t="s">
        <v>22</v>
      </c>
      <c r="F1047" t="s">
        <v>17</v>
      </c>
      <c r="G1047">
        <v>5</v>
      </c>
      <c r="H1047" s="6">
        <v>42547.87</v>
      </c>
      <c r="I1047" s="6">
        <v>6292.37</v>
      </c>
      <c r="J1047">
        <v>29</v>
      </c>
      <c r="K1047">
        <v>39</v>
      </c>
      <c r="L1047" t="s">
        <v>24</v>
      </c>
      <c r="M1047" t="s">
        <v>25</v>
      </c>
      <c r="N1047">
        <v>3</v>
      </c>
      <c r="O1047" s="4"/>
      <c r="P1047" s="4" t="str">
        <f>IF(Data_Set_2[[#This Row],[valor_bruto]]&gt;$W$13,"OUTLIER+","")</f>
        <v/>
      </c>
      <c r="Q1047" s="4" t="str">
        <f>IF(Data_Set_2[[#This Row],[valor_bruto]]&lt;$W$14,"OUTLIER-","")</f>
        <v/>
      </c>
      <c r="R1047" s="4"/>
      <c r="S1047" s="4"/>
      <c r="T1047">
        <v>5</v>
      </c>
      <c r="U1047">
        <v>30</v>
      </c>
      <c r="V1047">
        <v>2025</v>
      </c>
      <c r="W1047" s="1">
        <f t="shared" si="1"/>
        <v>45807</v>
      </c>
      <c r="AB1047" t="str">
        <v>RES-101045</v>
      </c>
      <c r="AC1047">
        <v>46004</v>
      </c>
      <c r="AD1047">
        <v>0.49652777777777779</v>
      </c>
      <c r="AE1047" t="str">
        <v>Poblado</v>
      </c>
      <c r="AF1047" t="str">
        <v>Domicilio</v>
      </c>
      <c r="AG1047" t="str">
        <v>Comida rapida</v>
      </c>
      <c r="AH1047">
        <v>5</v>
      </c>
      <c r="AI1047">
        <v>42547.87</v>
      </c>
      <c r="AJ1047">
        <v>6292.37</v>
      </c>
      <c r="AK1047">
        <v>29</v>
      </c>
      <c r="AL1047">
        <v>39</v>
      </c>
      <c r="AM1047" t="str">
        <v>Efectivo</v>
      </c>
      <c r="AN1047" t="str">
        <v>Cancelada</v>
      </c>
      <c r="AO1047">
        <v>3</v>
      </c>
    </row>
    <row r="1048" spans="1:41" x14ac:dyDescent="0.3">
      <c r="A1048" t="s">
        <v>1086</v>
      </c>
      <c r="B1048" s="8">
        <v>46005</v>
      </c>
      <c r="C1048" s="2">
        <v>0.50138888888888888</v>
      </c>
      <c r="D1048" t="s">
        <v>27</v>
      </c>
      <c r="E1048" t="s">
        <v>28</v>
      </c>
      <c r="F1048" t="s">
        <v>23</v>
      </c>
      <c r="G1048">
        <v>6</v>
      </c>
      <c r="H1048" s="6">
        <v>69107.899999999994</v>
      </c>
      <c r="I1048" s="6">
        <v>4312.3836842105266</v>
      </c>
      <c r="J1048">
        <v>26</v>
      </c>
      <c r="K1048">
        <v>33</v>
      </c>
      <c r="L1048" t="s">
        <v>30</v>
      </c>
      <c r="M1048" t="s">
        <v>31</v>
      </c>
      <c r="N1048">
        <v>3</v>
      </c>
      <c r="O1048" s="4"/>
      <c r="P1048" s="4" t="str">
        <f>IF(Data_Set_2[[#This Row],[valor_bruto]]&gt;$W$13,"OUTLIER+","")</f>
        <v/>
      </c>
      <c r="Q1048" s="4" t="str">
        <f>IF(Data_Set_2[[#This Row],[valor_bruto]]&lt;$W$14,"OUTLIER-","")</f>
        <v/>
      </c>
      <c r="R1048" s="4"/>
      <c r="S1048" s="4"/>
      <c r="T1048">
        <v>5</v>
      </c>
      <c r="U1048">
        <v>31</v>
      </c>
      <c r="V1048">
        <v>2025</v>
      </c>
      <c r="W1048" s="1">
        <f t="shared" si="1"/>
        <v>45808</v>
      </c>
      <c r="AB1048" t="str">
        <v>RES-101046</v>
      </c>
      <c r="AC1048">
        <v>46005</v>
      </c>
      <c r="AD1048">
        <v>0.50138888888888888</v>
      </c>
      <c r="AE1048" t="str">
        <v>Centro</v>
      </c>
      <c r="AF1048" t="str">
        <v>Recoge</v>
      </c>
      <c r="AG1048" t="str">
        <v>Pasta</v>
      </c>
      <c r="AH1048">
        <v>6</v>
      </c>
      <c r="AI1048">
        <v>69107.899999999994</v>
      </c>
      <c r="AJ1048">
        <v>4312.3836842105266</v>
      </c>
      <c r="AK1048">
        <v>26</v>
      </c>
      <c r="AL1048">
        <v>33</v>
      </c>
      <c r="AM1048" t="str">
        <v>App</v>
      </c>
      <c r="AN1048" t="str">
        <v>Reembolsada</v>
      </c>
      <c r="AO1048">
        <v>3</v>
      </c>
    </row>
    <row r="1049" spans="1:41" x14ac:dyDescent="0.3">
      <c r="A1049" t="s">
        <v>1087</v>
      </c>
      <c r="B1049" s="8">
        <v>46006</v>
      </c>
      <c r="C1049" s="2">
        <v>0.54791666666666672</v>
      </c>
      <c r="D1049" t="s">
        <v>33</v>
      </c>
      <c r="E1049" t="s">
        <v>16</v>
      </c>
      <c r="F1049" t="s">
        <v>29</v>
      </c>
      <c r="G1049">
        <v>5</v>
      </c>
      <c r="H1049" s="6">
        <v>67260.14</v>
      </c>
      <c r="I1049" s="6">
        <v>4961.96</v>
      </c>
      <c r="J1049">
        <v>14</v>
      </c>
      <c r="K1049">
        <v>49</v>
      </c>
      <c r="L1049" t="s">
        <v>18</v>
      </c>
      <c r="M1049" t="s">
        <v>19</v>
      </c>
      <c r="N1049">
        <v>3</v>
      </c>
      <c r="O1049" s="4"/>
      <c r="P1049" s="4" t="str">
        <f>IF(Data_Set_2[[#This Row],[valor_bruto]]&gt;$W$13,"OUTLIER+","")</f>
        <v/>
      </c>
      <c r="Q1049" s="4" t="str">
        <f>IF(Data_Set_2[[#This Row],[valor_bruto]]&lt;$W$14,"OUTLIER-","")</f>
        <v/>
      </c>
      <c r="R1049" s="4"/>
      <c r="S1049" s="4"/>
      <c r="T1049">
        <v>6</v>
      </c>
      <c r="U1049">
        <v>13</v>
      </c>
      <c r="V1049">
        <v>2025</v>
      </c>
      <c r="W1049" s="1">
        <f t="shared" si="1"/>
        <v>45821</v>
      </c>
      <c r="AB1049" t="str">
        <v>RES-101047</v>
      </c>
      <c r="AC1049">
        <v>46006</v>
      </c>
      <c r="AD1049">
        <v>0.54791666666666672</v>
      </c>
      <c r="AE1049" t="str">
        <v>Envigado</v>
      </c>
      <c r="AF1049" t="str">
        <v>Mesa</v>
      </c>
      <c r="AG1049" t="str">
        <v>Parrilla</v>
      </c>
      <c r="AH1049">
        <v>5</v>
      </c>
      <c r="AI1049">
        <v>67260.14</v>
      </c>
      <c r="AJ1049">
        <v>4961.96</v>
      </c>
      <c r="AK1049">
        <v>14</v>
      </c>
      <c r="AL1049">
        <v>49</v>
      </c>
      <c r="AM1049" t="str">
        <v>Tarjeta</v>
      </c>
      <c r="AN1049" t="str">
        <v>Entregada</v>
      </c>
      <c r="AO1049">
        <v>3</v>
      </c>
    </row>
    <row r="1050" spans="1:41" x14ac:dyDescent="0.3">
      <c r="A1050" t="s">
        <v>1088</v>
      </c>
      <c r="B1050" s="8">
        <v>46007</v>
      </c>
      <c r="C1050" s="2">
        <v>0.59444444444444444</v>
      </c>
      <c r="D1050" t="s">
        <v>15</v>
      </c>
      <c r="E1050" t="s">
        <v>22</v>
      </c>
      <c r="F1050" t="s">
        <v>34</v>
      </c>
      <c r="G1050">
        <v>3</v>
      </c>
      <c r="H1050" s="6">
        <v>61678.61</v>
      </c>
      <c r="I1050" s="6">
        <v>1107</v>
      </c>
      <c r="J1050">
        <v>20</v>
      </c>
      <c r="K1050">
        <v>47</v>
      </c>
      <c r="L1050" t="s">
        <v>24</v>
      </c>
      <c r="M1050" t="s">
        <v>25</v>
      </c>
      <c r="N1050">
        <v>5</v>
      </c>
      <c r="O1050" s="4"/>
      <c r="P1050" s="4" t="str">
        <f>IF(Data_Set_2[[#This Row],[valor_bruto]]&gt;$W$13,"OUTLIER+","")</f>
        <v/>
      </c>
      <c r="Q1050" s="4" t="str">
        <f>IF(Data_Set_2[[#This Row],[valor_bruto]]&lt;$W$14,"OUTLIER-","")</f>
        <v/>
      </c>
      <c r="R1050" s="4"/>
      <c r="S1050" s="4"/>
      <c r="T1050">
        <v>6</v>
      </c>
      <c r="U1050">
        <v>14</v>
      </c>
      <c r="V1050">
        <v>2025</v>
      </c>
      <c r="W1050" s="1">
        <f t="shared" si="1"/>
        <v>45822</v>
      </c>
      <c r="AB1050" t="str">
        <v>RES-101048</v>
      </c>
      <c r="AC1050">
        <v>46007</v>
      </c>
      <c r="AD1050">
        <v>0.59444444444444444</v>
      </c>
      <c r="AE1050" t="str">
        <v>Laureles</v>
      </c>
      <c r="AF1050" t="str">
        <v>Domicilio</v>
      </c>
      <c r="AG1050" t="str">
        <v>Vegano</v>
      </c>
      <c r="AH1050">
        <v>3</v>
      </c>
      <c r="AI1050">
        <v>61678.61</v>
      </c>
      <c r="AJ1050">
        <v>1107</v>
      </c>
      <c r="AK1050">
        <v>20</v>
      </c>
      <c r="AL1050">
        <v>47</v>
      </c>
      <c r="AM1050" t="str">
        <v>Efectivo</v>
      </c>
      <c r="AN1050" t="str">
        <v>Cancelada</v>
      </c>
      <c r="AO1050">
        <v>5</v>
      </c>
    </row>
    <row r="1051" spans="1:41" x14ac:dyDescent="0.3">
      <c r="A1051" t="s">
        <v>1089</v>
      </c>
      <c r="B1051" s="8">
        <v>46008</v>
      </c>
      <c r="C1051" s="2">
        <v>0.64097222222222228</v>
      </c>
      <c r="D1051" t="s">
        <v>21</v>
      </c>
      <c r="E1051" t="s">
        <v>28</v>
      </c>
      <c r="F1051" t="s">
        <v>36</v>
      </c>
      <c r="G1051">
        <v>5</v>
      </c>
      <c r="H1051" s="6">
        <v>51799.75</v>
      </c>
      <c r="I1051" s="6">
        <v>7313.27</v>
      </c>
      <c r="J1051">
        <v>21</v>
      </c>
      <c r="K1051">
        <v>32</v>
      </c>
      <c r="L1051" t="s">
        <v>30</v>
      </c>
      <c r="M1051" t="s">
        <v>31</v>
      </c>
      <c r="N1051">
        <v>5</v>
      </c>
      <c r="O1051" s="4"/>
      <c r="P1051" s="4" t="str">
        <f>IF(Data_Set_2[[#This Row],[valor_bruto]]&gt;$W$13,"OUTLIER+","")</f>
        <v/>
      </c>
      <c r="Q1051" s="4" t="str">
        <f>IF(Data_Set_2[[#This Row],[valor_bruto]]&lt;$W$14,"OUTLIER-","")</f>
        <v/>
      </c>
      <c r="R1051" s="4"/>
      <c r="S1051" s="4"/>
      <c r="T1051">
        <v>6</v>
      </c>
      <c r="U1051">
        <v>15</v>
      </c>
      <c r="V1051">
        <v>2025</v>
      </c>
      <c r="W1051" s="1">
        <f t="shared" si="1"/>
        <v>45823</v>
      </c>
      <c r="AB1051" t="str">
        <v>RES-101049</v>
      </c>
      <c r="AC1051">
        <v>46008</v>
      </c>
      <c r="AD1051">
        <v>0.64097222222222228</v>
      </c>
      <c r="AE1051" t="str">
        <v>Poblado</v>
      </c>
      <c r="AF1051" t="str">
        <v>Recoge</v>
      </c>
      <c r="AG1051" t="str">
        <v>Bebidas</v>
      </c>
      <c r="AH1051">
        <v>5</v>
      </c>
      <c r="AI1051">
        <v>51799.75</v>
      </c>
      <c r="AJ1051">
        <v>7313.27</v>
      </c>
      <c r="AK1051">
        <v>21</v>
      </c>
      <c r="AL1051">
        <v>32</v>
      </c>
      <c r="AM1051" t="str">
        <v>App</v>
      </c>
      <c r="AN1051" t="str">
        <v>Reembolsada</v>
      </c>
      <c r="AO1051">
        <v>5</v>
      </c>
    </row>
    <row r="1052" spans="1:41" x14ac:dyDescent="0.3">
      <c r="A1052" t="s">
        <v>1090</v>
      </c>
      <c r="B1052" s="8">
        <v>46009</v>
      </c>
      <c r="C1052" s="2">
        <v>0.6875</v>
      </c>
      <c r="D1052" t="s">
        <v>27</v>
      </c>
      <c r="E1052" t="s">
        <v>16</v>
      </c>
      <c r="F1052" t="s">
        <v>17</v>
      </c>
      <c r="G1052">
        <v>3</v>
      </c>
      <c r="H1052" s="6">
        <v>48443.42</v>
      </c>
      <c r="I1052" s="6">
        <v>6011.99</v>
      </c>
      <c r="J1052">
        <v>24</v>
      </c>
      <c r="K1052">
        <v>23</v>
      </c>
      <c r="L1052" t="s">
        <v>18</v>
      </c>
      <c r="M1052" t="s">
        <v>19</v>
      </c>
      <c r="N1052">
        <v>4</v>
      </c>
      <c r="O1052" s="4"/>
      <c r="P1052" s="4" t="str">
        <f>IF(Data_Set_2[[#This Row],[valor_bruto]]&gt;$W$13,"OUTLIER+","")</f>
        <v/>
      </c>
      <c r="Q1052" s="4" t="str">
        <f>IF(Data_Set_2[[#This Row],[valor_bruto]]&lt;$W$14,"OUTLIER-","")</f>
        <v/>
      </c>
      <c r="R1052" s="4"/>
      <c r="S1052" s="4"/>
      <c r="T1052">
        <v>6</v>
      </c>
      <c r="U1052">
        <v>16</v>
      </c>
      <c r="V1052">
        <v>2025</v>
      </c>
      <c r="W1052" s="1">
        <f t="shared" si="1"/>
        <v>45824</v>
      </c>
      <c r="AB1052" t="str">
        <v>RES-101050</v>
      </c>
      <c r="AC1052">
        <v>46009</v>
      </c>
      <c r="AD1052">
        <v>0.6875</v>
      </c>
      <c r="AE1052" t="str">
        <v>Centro</v>
      </c>
      <c r="AF1052" t="str">
        <v>Mesa</v>
      </c>
      <c r="AG1052" t="str">
        <v>Comida rapida</v>
      </c>
      <c r="AH1052">
        <v>3</v>
      </c>
      <c r="AI1052">
        <v>48443.42</v>
      </c>
      <c r="AJ1052">
        <v>6011.99</v>
      </c>
      <c r="AK1052">
        <v>24</v>
      </c>
      <c r="AL1052">
        <v>23</v>
      </c>
      <c r="AM1052" t="str">
        <v>Tarjeta</v>
      </c>
      <c r="AN1052" t="str">
        <v>Entregada</v>
      </c>
      <c r="AO1052">
        <v>4</v>
      </c>
    </row>
    <row r="1053" spans="1:41" x14ac:dyDescent="0.3">
      <c r="A1053" t="s">
        <v>1091</v>
      </c>
      <c r="B1053" s="8">
        <v>46010</v>
      </c>
      <c r="C1053" s="2">
        <v>0.73402777777777772</v>
      </c>
      <c r="D1053" t="s">
        <v>33</v>
      </c>
      <c r="E1053" t="s">
        <v>22</v>
      </c>
      <c r="F1053" t="s">
        <v>23</v>
      </c>
      <c r="G1053">
        <v>4</v>
      </c>
      <c r="H1053" s="6">
        <v>47207.37</v>
      </c>
      <c r="I1053" s="6">
        <v>8249.07</v>
      </c>
      <c r="J1053">
        <v>17</v>
      </c>
      <c r="K1053">
        <v>37</v>
      </c>
      <c r="L1053" t="s">
        <v>24</v>
      </c>
      <c r="M1053" t="s">
        <v>25</v>
      </c>
      <c r="N1053">
        <v>5</v>
      </c>
      <c r="O1053" s="4"/>
      <c r="P1053" s="4" t="str">
        <f>IF(Data_Set_2[[#This Row],[valor_bruto]]&gt;$W$13,"OUTLIER+","")</f>
        <v/>
      </c>
      <c r="Q1053" s="4" t="str">
        <f>IF(Data_Set_2[[#This Row],[valor_bruto]]&lt;$W$14,"OUTLIER-","")</f>
        <v/>
      </c>
      <c r="R1053" s="4"/>
      <c r="S1053" s="4"/>
      <c r="T1053">
        <v>6</v>
      </c>
      <c r="U1053">
        <v>17</v>
      </c>
      <c r="V1053">
        <v>2025</v>
      </c>
      <c r="W1053" s="1">
        <f t="shared" si="1"/>
        <v>45825</v>
      </c>
      <c r="AB1053" t="str">
        <v>RES-101051</v>
      </c>
      <c r="AC1053">
        <v>46010</v>
      </c>
      <c r="AD1053">
        <v>0.73402777777777772</v>
      </c>
      <c r="AE1053" t="str">
        <v>Envigado</v>
      </c>
      <c r="AF1053" t="str">
        <v>Domicilio</v>
      </c>
      <c r="AG1053" t="str">
        <v>Pasta</v>
      </c>
      <c r="AH1053">
        <v>4</v>
      </c>
      <c r="AI1053">
        <v>47207.37</v>
      </c>
      <c r="AJ1053">
        <v>8249.07</v>
      </c>
      <c r="AK1053">
        <v>17</v>
      </c>
      <c r="AL1053">
        <v>37</v>
      </c>
      <c r="AM1053" t="str">
        <v>Efectivo</v>
      </c>
      <c r="AN1053" t="str">
        <v>Cancelada</v>
      </c>
      <c r="AO1053">
        <v>5</v>
      </c>
    </row>
    <row r="1054" spans="1:41" x14ac:dyDescent="0.3">
      <c r="A1054" t="s">
        <v>1092</v>
      </c>
      <c r="B1054" s="8">
        <v>46011</v>
      </c>
      <c r="C1054" s="2">
        <v>0.78055555555555556</v>
      </c>
      <c r="D1054" t="s">
        <v>15</v>
      </c>
      <c r="E1054" t="s">
        <v>28</v>
      </c>
      <c r="F1054" t="s">
        <v>29</v>
      </c>
      <c r="G1054">
        <v>5</v>
      </c>
      <c r="H1054" s="6">
        <v>58741.7</v>
      </c>
      <c r="I1054" s="6">
        <v>6057.19</v>
      </c>
      <c r="J1054">
        <v>21</v>
      </c>
      <c r="K1054">
        <v>25</v>
      </c>
      <c r="L1054" t="s">
        <v>30</v>
      </c>
      <c r="M1054" t="s">
        <v>31</v>
      </c>
      <c r="N1054">
        <v>3</v>
      </c>
      <c r="O1054" s="4"/>
      <c r="P1054" s="4" t="str">
        <f>IF(Data_Set_2[[#This Row],[valor_bruto]]&gt;$W$13,"OUTLIER+","")</f>
        <v/>
      </c>
      <c r="Q1054" s="4" t="str">
        <f>IF(Data_Set_2[[#This Row],[valor_bruto]]&lt;$W$14,"OUTLIER-","")</f>
        <v/>
      </c>
      <c r="R1054" s="4"/>
      <c r="S1054" s="4"/>
      <c r="T1054">
        <v>6</v>
      </c>
      <c r="U1054">
        <v>18</v>
      </c>
      <c r="V1054">
        <v>2025</v>
      </c>
      <c r="W1054" s="1">
        <f t="shared" si="1"/>
        <v>45826</v>
      </c>
      <c r="AB1054" t="str">
        <v>RES-101052</v>
      </c>
      <c r="AC1054">
        <v>46011</v>
      </c>
      <c r="AD1054">
        <v>0.78055555555555556</v>
      </c>
      <c r="AE1054" t="str">
        <v>Laureles</v>
      </c>
      <c r="AF1054" t="str">
        <v>Recoge</v>
      </c>
      <c r="AG1054" t="str">
        <v>Parrilla</v>
      </c>
      <c r="AH1054">
        <v>5</v>
      </c>
      <c r="AI1054">
        <v>58741.7</v>
      </c>
      <c r="AJ1054">
        <v>6057.19</v>
      </c>
      <c r="AK1054">
        <v>21</v>
      </c>
      <c r="AL1054">
        <v>25</v>
      </c>
      <c r="AM1054" t="str">
        <v>App</v>
      </c>
      <c r="AN1054" t="str">
        <v>Reembolsada</v>
      </c>
      <c r="AO1054">
        <v>3</v>
      </c>
    </row>
    <row r="1055" spans="1:41" x14ac:dyDescent="0.3">
      <c r="A1055" t="s">
        <v>1093</v>
      </c>
      <c r="B1055" s="8">
        <v>46012</v>
      </c>
      <c r="C1055" s="2">
        <v>0.82708333333333328</v>
      </c>
      <c r="D1055" t="s">
        <v>21</v>
      </c>
      <c r="E1055" t="s">
        <v>16</v>
      </c>
      <c r="F1055" t="s">
        <v>34</v>
      </c>
      <c r="G1055">
        <v>4</v>
      </c>
      <c r="H1055" s="6">
        <v>59714.02</v>
      </c>
      <c r="I1055" s="6">
        <v>4706.1400000000003</v>
      </c>
      <c r="J1055">
        <v>20</v>
      </c>
      <c r="K1055">
        <v>37</v>
      </c>
      <c r="L1055" t="s">
        <v>18</v>
      </c>
      <c r="M1055" t="s">
        <v>19</v>
      </c>
      <c r="N1055">
        <v>3</v>
      </c>
      <c r="O1055" s="4"/>
      <c r="P1055" s="4" t="str">
        <f>IF(Data_Set_2[[#This Row],[valor_bruto]]&gt;$W$13,"OUTLIER+","")</f>
        <v/>
      </c>
      <c r="Q1055" s="4" t="str">
        <f>IF(Data_Set_2[[#This Row],[valor_bruto]]&lt;$W$14,"OUTLIER-","")</f>
        <v/>
      </c>
      <c r="R1055" s="4"/>
      <c r="S1055" s="4"/>
      <c r="T1055">
        <v>6</v>
      </c>
      <c r="U1055">
        <v>19</v>
      </c>
      <c r="V1055">
        <v>2025</v>
      </c>
      <c r="W1055" s="1">
        <f t="shared" si="1"/>
        <v>45827</v>
      </c>
      <c r="AB1055" t="str">
        <v>RES-101053</v>
      </c>
      <c r="AC1055">
        <v>46012</v>
      </c>
      <c r="AD1055">
        <v>0.82708333333333328</v>
      </c>
      <c r="AE1055" t="str">
        <v>Poblado</v>
      </c>
      <c r="AF1055" t="str">
        <v>Mesa</v>
      </c>
      <c r="AG1055" t="str">
        <v>Vegano</v>
      </c>
      <c r="AH1055">
        <v>4</v>
      </c>
      <c r="AI1055">
        <v>59714.02</v>
      </c>
      <c r="AJ1055">
        <v>4706.1400000000003</v>
      </c>
      <c r="AK1055">
        <v>20</v>
      </c>
      <c r="AL1055">
        <v>37</v>
      </c>
      <c r="AM1055" t="str">
        <v>Tarjeta</v>
      </c>
      <c r="AN1055" t="str">
        <v>Entregada</v>
      </c>
      <c r="AO1055">
        <v>3</v>
      </c>
    </row>
    <row r="1056" spans="1:41" x14ac:dyDescent="0.3">
      <c r="A1056" t="s">
        <v>1094</v>
      </c>
      <c r="B1056" s="8">
        <v>46013</v>
      </c>
      <c r="C1056" s="2">
        <v>0.87361111111111112</v>
      </c>
      <c r="D1056" t="s">
        <v>27</v>
      </c>
      <c r="E1056" t="s">
        <v>22</v>
      </c>
      <c r="F1056" t="s">
        <v>36</v>
      </c>
      <c r="G1056">
        <v>4</v>
      </c>
      <c r="H1056" s="6">
        <v>42162.29</v>
      </c>
      <c r="I1056" s="6">
        <v>7325.45</v>
      </c>
      <c r="J1056">
        <v>13</v>
      </c>
      <c r="K1056">
        <v>28</v>
      </c>
      <c r="L1056" t="s">
        <v>24</v>
      </c>
      <c r="M1056" t="s">
        <v>25</v>
      </c>
      <c r="N1056">
        <v>3</v>
      </c>
      <c r="O1056" s="4"/>
      <c r="P1056" s="4" t="str">
        <f>IF(Data_Set_2[[#This Row],[valor_bruto]]&gt;$W$13,"OUTLIER+","")</f>
        <v/>
      </c>
      <c r="Q1056" s="4" t="str">
        <f>IF(Data_Set_2[[#This Row],[valor_bruto]]&lt;$W$14,"OUTLIER-","")</f>
        <v/>
      </c>
      <c r="R1056" s="4"/>
      <c r="S1056" s="4"/>
      <c r="T1056">
        <v>6</v>
      </c>
      <c r="U1056">
        <v>20</v>
      </c>
      <c r="V1056">
        <v>2025</v>
      </c>
      <c r="W1056" s="1">
        <f t="shared" si="1"/>
        <v>45828</v>
      </c>
      <c r="AB1056" t="str">
        <v>RES-101054</v>
      </c>
      <c r="AC1056">
        <v>46013</v>
      </c>
      <c r="AD1056">
        <v>0.87361111111111112</v>
      </c>
      <c r="AE1056" t="str">
        <v>Centro</v>
      </c>
      <c r="AF1056" t="str">
        <v>Domicilio</v>
      </c>
      <c r="AG1056" t="str">
        <v>Bebidas</v>
      </c>
      <c r="AH1056">
        <v>4</v>
      </c>
      <c r="AI1056">
        <v>42162.29</v>
      </c>
      <c r="AJ1056">
        <v>7325.45</v>
      </c>
      <c r="AK1056">
        <v>13</v>
      </c>
      <c r="AL1056">
        <v>28</v>
      </c>
      <c r="AM1056" t="str">
        <v>Efectivo</v>
      </c>
      <c r="AN1056" t="str">
        <v>Cancelada</v>
      </c>
      <c r="AO1056">
        <v>3</v>
      </c>
    </row>
    <row r="1057" spans="1:41" x14ac:dyDescent="0.3">
      <c r="A1057" t="s">
        <v>1095</v>
      </c>
      <c r="B1057" s="8">
        <v>46014</v>
      </c>
      <c r="C1057" s="2">
        <v>0.87847222222222221</v>
      </c>
      <c r="D1057" t="s">
        <v>33</v>
      </c>
      <c r="E1057" t="s">
        <v>28</v>
      </c>
      <c r="F1057" t="s">
        <v>17</v>
      </c>
      <c r="G1057">
        <v>2</v>
      </c>
      <c r="H1057" s="6">
        <v>41047.06</v>
      </c>
      <c r="I1057" s="6">
        <v>6397.35</v>
      </c>
      <c r="J1057">
        <v>16</v>
      </c>
      <c r="K1057">
        <v>42</v>
      </c>
      <c r="L1057" t="s">
        <v>30</v>
      </c>
      <c r="M1057" t="s">
        <v>31</v>
      </c>
      <c r="N1057">
        <v>5</v>
      </c>
      <c r="O1057" s="4"/>
      <c r="P1057" s="4" t="str">
        <f>IF(Data_Set_2[[#This Row],[valor_bruto]]&gt;$W$13,"OUTLIER+","")</f>
        <v/>
      </c>
      <c r="Q1057" s="4" t="str">
        <f>IF(Data_Set_2[[#This Row],[valor_bruto]]&lt;$W$14,"OUTLIER-","")</f>
        <v/>
      </c>
      <c r="R1057" s="4"/>
      <c r="S1057" s="4"/>
      <c r="T1057">
        <v>6</v>
      </c>
      <c r="U1057">
        <v>21</v>
      </c>
      <c r="V1057">
        <v>2025</v>
      </c>
      <c r="W1057" s="1">
        <f t="shared" si="1"/>
        <v>45829</v>
      </c>
      <c r="AB1057" t="str">
        <v>RES-101055</v>
      </c>
      <c r="AC1057">
        <v>46014</v>
      </c>
      <c r="AD1057">
        <v>0.87847222222222221</v>
      </c>
      <c r="AE1057" t="str">
        <v>Envigado</v>
      </c>
      <c r="AF1057" t="str">
        <v>Recoge</v>
      </c>
      <c r="AG1057" t="str">
        <v>Comida rapida</v>
      </c>
      <c r="AH1057">
        <v>2</v>
      </c>
      <c r="AI1057">
        <v>41047.06</v>
      </c>
      <c r="AJ1057">
        <v>6397.35</v>
      </c>
      <c r="AK1057">
        <v>16</v>
      </c>
      <c r="AL1057">
        <v>42</v>
      </c>
      <c r="AM1057" t="str">
        <v>App</v>
      </c>
      <c r="AN1057" t="str">
        <v>Reembolsada</v>
      </c>
      <c r="AO1057">
        <v>5</v>
      </c>
    </row>
    <row r="1058" spans="1:41" x14ac:dyDescent="0.3">
      <c r="A1058" t="s">
        <v>1096</v>
      </c>
      <c r="B1058" s="8">
        <v>46015</v>
      </c>
      <c r="C1058" s="2">
        <v>0.42499999999999999</v>
      </c>
      <c r="D1058" t="s">
        <v>15</v>
      </c>
      <c r="E1058" t="s">
        <v>16</v>
      </c>
      <c r="F1058" t="s">
        <v>23</v>
      </c>
      <c r="G1058">
        <v>3</v>
      </c>
      <c r="H1058" s="6">
        <v>36176.81</v>
      </c>
      <c r="I1058" s="6">
        <v>8392.18</v>
      </c>
      <c r="J1058">
        <v>15</v>
      </c>
      <c r="K1058">
        <v>50</v>
      </c>
      <c r="L1058" t="s">
        <v>18</v>
      </c>
      <c r="M1058" t="s">
        <v>19</v>
      </c>
      <c r="N1058">
        <v>4</v>
      </c>
      <c r="O1058" s="4"/>
      <c r="P1058" s="4" t="str">
        <f>IF(Data_Set_2[[#This Row],[valor_bruto]]&gt;$W$13,"OUTLIER+","")</f>
        <v/>
      </c>
      <c r="Q1058" s="4" t="str">
        <f>IF(Data_Set_2[[#This Row],[valor_bruto]]&lt;$W$14,"OUTLIER-","")</f>
        <v/>
      </c>
      <c r="R1058" s="4"/>
      <c r="S1058" s="4"/>
      <c r="T1058">
        <v>6</v>
      </c>
      <c r="U1058">
        <v>22</v>
      </c>
      <c r="V1058">
        <v>2025</v>
      </c>
      <c r="W1058" s="1">
        <f t="shared" si="1"/>
        <v>45830</v>
      </c>
      <c r="AB1058" t="str">
        <v>RES-101056</v>
      </c>
      <c r="AC1058">
        <v>46015</v>
      </c>
      <c r="AD1058">
        <v>0.42499999999999999</v>
      </c>
      <c r="AE1058" t="str">
        <v>Laureles</v>
      </c>
      <c r="AF1058" t="str">
        <v>Mesa</v>
      </c>
      <c r="AG1058" t="str">
        <v>Pasta</v>
      </c>
      <c r="AH1058">
        <v>3</v>
      </c>
      <c r="AI1058">
        <v>36176.81</v>
      </c>
      <c r="AJ1058">
        <v>8392.18</v>
      </c>
      <c r="AK1058">
        <v>15</v>
      </c>
      <c r="AL1058">
        <v>50</v>
      </c>
      <c r="AM1058" t="str">
        <v>Tarjeta</v>
      </c>
      <c r="AN1058" t="str">
        <v>Entregada</v>
      </c>
      <c r="AO1058">
        <v>4</v>
      </c>
    </row>
    <row r="1059" spans="1:41" x14ac:dyDescent="0.3">
      <c r="A1059" t="s">
        <v>1097</v>
      </c>
      <c r="B1059" s="8">
        <v>46016</v>
      </c>
      <c r="C1059" s="2">
        <v>0.47152777777777777</v>
      </c>
      <c r="D1059" t="s">
        <v>21</v>
      </c>
      <c r="E1059" t="s">
        <v>22</v>
      </c>
      <c r="F1059" t="s">
        <v>29</v>
      </c>
      <c r="G1059">
        <v>2</v>
      </c>
      <c r="H1059" s="6">
        <v>58767.02</v>
      </c>
      <c r="I1059" s="6">
        <v>3593.82</v>
      </c>
      <c r="J1059">
        <v>22</v>
      </c>
      <c r="K1059">
        <v>41</v>
      </c>
      <c r="L1059" t="s">
        <v>24</v>
      </c>
      <c r="M1059" t="s">
        <v>25</v>
      </c>
      <c r="N1059">
        <v>3</v>
      </c>
      <c r="O1059" s="4"/>
      <c r="P1059" s="4" t="str">
        <f>IF(Data_Set_2[[#This Row],[valor_bruto]]&gt;$W$13,"OUTLIER+","")</f>
        <v/>
      </c>
      <c r="Q1059" s="4" t="str">
        <f>IF(Data_Set_2[[#This Row],[valor_bruto]]&lt;$W$14,"OUTLIER-","")</f>
        <v/>
      </c>
      <c r="R1059" s="4"/>
      <c r="S1059" s="4"/>
      <c r="T1059">
        <v>6</v>
      </c>
      <c r="U1059">
        <v>23</v>
      </c>
      <c r="V1059">
        <v>2025</v>
      </c>
      <c r="W1059" s="1">
        <f t="shared" si="1"/>
        <v>45831</v>
      </c>
      <c r="AB1059" t="str">
        <v>RES-101057</v>
      </c>
      <c r="AC1059">
        <v>46016</v>
      </c>
      <c r="AD1059">
        <v>0.47152777777777777</v>
      </c>
      <c r="AE1059" t="str">
        <v>Poblado</v>
      </c>
      <c r="AF1059" t="str">
        <v>Domicilio</v>
      </c>
      <c r="AG1059" t="str">
        <v>Parrilla</v>
      </c>
      <c r="AH1059">
        <v>2</v>
      </c>
      <c r="AI1059">
        <v>58767.02</v>
      </c>
      <c r="AJ1059">
        <v>3593.82</v>
      </c>
      <c r="AK1059">
        <v>22</v>
      </c>
      <c r="AL1059">
        <v>41</v>
      </c>
      <c r="AM1059" t="str">
        <v>Efectivo</v>
      </c>
      <c r="AN1059" t="str">
        <v>Cancelada</v>
      </c>
      <c r="AO1059">
        <v>3</v>
      </c>
    </row>
    <row r="1060" spans="1:41" x14ac:dyDescent="0.3">
      <c r="A1060" t="s">
        <v>1098</v>
      </c>
      <c r="B1060" s="8">
        <v>46017</v>
      </c>
      <c r="C1060" s="2">
        <v>0.5180555555555556</v>
      </c>
      <c r="D1060" t="s">
        <v>27</v>
      </c>
      <c r="E1060" t="s">
        <v>28</v>
      </c>
      <c r="F1060" t="s">
        <v>34</v>
      </c>
      <c r="G1060">
        <v>6</v>
      </c>
      <c r="H1060" s="6">
        <v>34460.51</v>
      </c>
      <c r="I1060" s="6">
        <v>7094.39</v>
      </c>
      <c r="J1060">
        <v>20</v>
      </c>
      <c r="K1060">
        <v>29</v>
      </c>
      <c r="L1060" t="s">
        <v>30</v>
      </c>
      <c r="M1060" t="s">
        <v>31</v>
      </c>
      <c r="N1060">
        <v>4</v>
      </c>
      <c r="O1060" s="4"/>
      <c r="P1060" s="4" t="str">
        <f>IF(Data_Set_2[[#This Row],[valor_bruto]]&gt;$W$13,"OUTLIER+","")</f>
        <v/>
      </c>
      <c r="Q1060" s="4" t="str">
        <f>IF(Data_Set_2[[#This Row],[valor_bruto]]&lt;$W$14,"OUTLIER-","")</f>
        <v/>
      </c>
      <c r="R1060" s="4"/>
      <c r="S1060" s="4"/>
      <c r="T1060">
        <v>6</v>
      </c>
      <c r="U1060">
        <v>24</v>
      </c>
      <c r="V1060">
        <v>2025</v>
      </c>
      <c r="W1060" s="1">
        <f t="shared" si="1"/>
        <v>45832</v>
      </c>
      <c r="AB1060" t="str">
        <v>RES-101058</v>
      </c>
      <c r="AC1060">
        <v>46017</v>
      </c>
      <c r="AD1060">
        <v>0.5180555555555556</v>
      </c>
      <c r="AE1060" t="str">
        <v>Centro</v>
      </c>
      <c r="AF1060" t="str">
        <v>Recoge</v>
      </c>
      <c r="AG1060" t="str">
        <v>Vegano</v>
      </c>
      <c r="AH1060">
        <v>6</v>
      </c>
      <c r="AI1060">
        <v>34460.51</v>
      </c>
      <c r="AJ1060">
        <v>7094.39</v>
      </c>
      <c r="AK1060">
        <v>20</v>
      </c>
      <c r="AL1060">
        <v>29</v>
      </c>
      <c r="AM1060" t="str">
        <v>App</v>
      </c>
      <c r="AN1060" t="str">
        <v>Reembolsada</v>
      </c>
      <c r="AO1060">
        <v>4</v>
      </c>
    </row>
    <row r="1061" spans="1:41" x14ac:dyDescent="0.3">
      <c r="A1061" t="s">
        <v>1099</v>
      </c>
      <c r="B1061" s="8">
        <v>46018</v>
      </c>
      <c r="C1061" s="2">
        <v>0.56458333333333333</v>
      </c>
      <c r="D1061" t="s">
        <v>33</v>
      </c>
      <c r="E1061" t="s">
        <v>16</v>
      </c>
      <c r="F1061" t="s">
        <v>36</v>
      </c>
      <c r="G1061">
        <v>3</v>
      </c>
      <c r="H1061" s="6">
        <v>53281.51</v>
      </c>
      <c r="I1061" s="6">
        <v>627.47</v>
      </c>
      <c r="J1061">
        <v>27</v>
      </c>
      <c r="K1061">
        <v>45</v>
      </c>
      <c r="L1061" t="s">
        <v>18</v>
      </c>
      <c r="M1061" t="s">
        <v>19</v>
      </c>
      <c r="N1061">
        <v>5</v>
      </c>
      <c r="O1061" s="4"/>
      <c r="P1061" s="4" t="str">
        <f>IF(Data_Set_2[[#This Row],[valor_bruto]]&gt;$W$13,"OUTLIER+","")</f>
        <v/>
      </c>
      <c r="Q1061" s="4" t="str">
        <f>IF(Data_Set_2[[#This Row],[valor_bruto]]&lt;$W$14,"OUTLIER-","")</f>
        <v/>
      </c>
      <c r="R1061" s="4"/>
      <c r="S1061" s="4"/>
      <c r="T1061">
        <v>6</v>
      </c>
      <c r="U1061">
        <v>25</v>
      </c>
      <c r="V1061">
        <v>2025</v>
      </c>
      <c r="W1061" s="1">
        <f t="shared" si="1"/>
        <v>45833</v>
      </c>
      <c r="AB1061" t="str">
        <v>RES-101059</v>
      </c>
      <c r="AC1061">
        <v>46018</v>
      </c>
      <c r="AD1061">
        <v>0.56458333333333333</v>
      </c>
      <c r="AE1061" t="str">
        <v>Envigado</v>
      </c>
      <c r="AF1061" t="str">
        <v>Mesa</v>
      </c>
      <c r="AG1061" t="str">
        <v>Bebidas</v>
      </c>
      <c r="AH1061">
        <v>3</v>
      </c>
      <c r="AI1061">
        <v>53281.51</v>
      </c>
      <c r="AJ1061">
        <v>627.47</v>
      </c>
      <c r="AK1061">
        <v>27</v>
      </c>
      <c r="AL1061">
        <v>45</v>
      </c>
      <c r="AM1061" t="str">
        <v>Tarjeta</v>
      </c>
      <c r="AN1061" t="str">
        <v>Entregada</v>
      </c>
      <c r="AO1061">
        <v>5</v>
      </c>
    </row>
    <row r="1062" spans="1:41" x14ac:dyDescent="0.3">
      <c r="A1062" t="s">
        <v>1100</v>
      </c>
      <c r="B1062" s="8">
        <v>46019</v>
      </c>
      <c r="C1062" s="2">
        <v>0.61111111111111116</v>
      </c>
      <c r="D1062" t="s">
        <v>15</v>
      </c>
      <c r="E1062" t="s">
        <v>22</v>
      </c>
      <c r="F1062" t="s">
        <v>17</v>
      </c>
      <c r="G1062">
        <v>6</v>
      </c>
      <c r="H1062" s="6">
        <v>53646.35</v>
      </c>
      <c r="I1062" s="6">
        <v>7442.79</v>
      </c>
      <c r="J1062">
        <v>17</v>
      </c>
      <c r="K1062">
        <v>32</v>
      </c>
      <c r="L1062" t="s">
        <v>24</v>
      </c>
      <c r="M1062" t="s">
        <v>25</v>
      </c>
      <c r="N1062">
        <f>VLOOKUP(Data_Set_2[[#This Row],[estado]],M2:N1061,2,0)</f>
        <v>3</v>
      </c>
      <c r="O1062" s="4"/>
      <c r="P1062" s="4" t="str">
        <f>IF(Data_Set_2[[#This Row],[valor_bruto]]&gt;$W$13,"OUTLIER+","")</f>
        <v/>
      </c>
      <c r="Q1062" s="4" t="str">
        <f>IF(Data_Set_2[[#This Row],[valor_bruto]]&lt;$W$14,"OUTLIER-","")</f>
        <v/>
      </c>
      <c r="R1062" s="4"/>
      <c r="S1062" s="4"/>
      <c r="T1062">
        <v>6</v>
      </c>
      <c r="U1062">
        <v>26</v>
      </c>
      <c r="V1062">
        <v>2025</v>
      </c>
      <c r="W1062" s="1">
        <f t="shared" si="1"/>
        <v>45834</v>
      </c>
      <c r="AB1062" t="str">
        <v>RES-101060</v>
      </c>
      <c r="AC1062">
        <v>46019</v>
      </c>
      <c r="AD1062">
        <v>0.61111111111111116</v>
      </c>
      <c r="AE1062" t="str">
        <v>Laureles</v>
      </c>
      <c r="AF1062" t="str">
        <v>Domicilio</v>
      </c>
      <c r="AG1062" t="str">
        <v>Comida rapida</v>
      </c>
      <c r="AH1062">
        <v>6</v>
      </c>
      <c r="AI1062">
        <v>53646.35</v>
      </c>
      <c r="AJ1062">
        <v>7442.79</v>
      </c>
      <c r="AK1062">
        <v>17</v>
      </c>
      <c r="AL1062">
        <v>32</v>
      </c>
      <c r="AM1062" t="str">
        <v>Efectivo</v>
      </c>
      <c r="AN1062" t="str">
        <v>Cancelada</v>
      </c>
      <c r="AO1062">
        <v>3</v>
      </c>
    </row>
    <row r="1063" spans="1:41" x14ac:dyDescent="0.3">
      <c r="A1063" t="s">
        <v>1101</v>
      </c>
      <c r="B1063" s="8">
        <v>46020</v>
      </c>
      <c r="C1063" s="2">
        <v>0.65763888888888888</v>
      </c>
      <c r="D1063" t="s">
        <v>21</v>
      </c>
      <c r="E1063" t="s">
        <v>28</v>
      </c>
      <c r="F1063" t="s">
        <v>23</v>
      </c>
      <c r="G1063">
        <v>3</v>
      </c>
      <c r="H1063" s="6">
        <v>41133.54</v>
      </c>
      <c r="I1063" s="6">
        <v>7765.06</v>
      </c>
      <c r="J1063">
        <v>13</v>
      </c>
      <c r="K1063">
        <v>37</v>
      </c>
      <c r="L1063" t="s">
        <v>30</v>
      </c>
      <c r="M1063" t="s">
        <v>31</v>
      </c>
      <c r="N1063">
        <v>5</v>
      </c>
      <c r="O1063" s="4"/>
      <c r="P1063" s="4" t="str">
        <f>IF(Data_Set_2[[#This Row],[valor_bruto]]&gt;$W$13,"OUTLIER+","")</f>
        <v/>
      </c>
      <c r="Q1063" s="4" t="str">
        <f>IF(Data_Set_2[[#This Row],[valor_bruto]]&lt;$W$14,"OUTLIER-","")</f>
        <v/>
      </c>
      <c r="R1063" s="4"/>
      <c r="S1063" s="4"/>
      <c r="T1063">
        <v>6</v>
      </c>
      <c r="U1063">
        <v>27</v>
      </c>
      <c r="V1063">
        <v>2025</v>
      </c>
      <c r="W1063" s="1">
        <f t="shared" si="1"/>
        <v>45835</v>
      </c>
      <c r="AB1063" t="str">
        <v>RES-101061</v>
      </c>
      <c r="AC1063">
        <v>46020</v>
      </c>
      <c r="AD1063">
        <v>0.65763888888888888</v>
      </c>
      <c r="AE1063" t="str">
        <v>Poblado</v>
      </c>
      <c r="AF1063" t="str">
        <v>Recoge</v>
      </c>
      <c r="AG1063" t="str">
        <v>Pasta</v>
      </c>
      <c r="AH1063">
        <v>3</v>
      </c>
      <c r="AI1063">
        <v>41133.54</v>
      </c>
      <c r="AJ1063">
        <v>7765.06</v>
      </c>
      <c r="AK1063">
        <v>13</v>
      </c>
      <c r="AL1063">
        <v>37</v>
      </c>
      <c r="AM1063" t="str">
        <v>App</v>
      </c>
      <c r="AN1063" t="str">
        <v>Reembolsada</v>
      </c>
      <c r="AO1063">
        <v>5</v>
      </c>
    </row>
    <row r="1064" spans="1:41" x14ac:dyDescent="0.3">
      <c r="A1064" t="s">
        <v>1102</v>
      </c>
      <c r="B1064" s="8">
        <v>46021</v>
      </c>
      <c r="C1064" s="2">
        <v>0.70416666666666672</v>
      </c>
      <c r="D1064" t="s">
        <v>27</v>
      </c>
      <c r="E1064" t="s">
        <v>16</v>
      </c>
      <c r="F1064" t="s">
        <v>29</v>
      </c>
      <c r="G1064">
        <v>6</v>
      </c>
      <c r="H1064" s="6">
        <v>37712.65</v>
      </c>
      <c r="I1064" s="6">
        <v>7109.46</v>
      </c>
      <c r="J1064">
        <v>19</v>
      </c>
      <c r="K1064">
        <v>49</v>
      </c>
      <c r="L1064" t="s">
        <v>18</v>
      </c>
      <c r="M1064" t="s">
        <v>19</v>
      </c>
      <c r="N1064">
        <v>4</v>
      </c>
      <c r="O1064" s="4"/>
      <c r="P1064" s="4" t="str">
        <f>IF(Data_Set_2[[#This Row],[valor_bruto]]&gt;$W$13,"OUTLIER+","")</f>
        <v/>
      </c>
      <c r="Q1064" s="4" t="str">
        <f>IF(Data_Set_2[[#This Row],[valor_bruto]]&lt;$W$14,"OUTLIER-","")</f>
        <v/>
      </c>
      <c r="R1064" s="4"/>
      <c r="S1064" s="4"/>
      <c r="T1064">
        <v>6</v>
      </c>
      <c r="U1064">
        <v>28</v>
      </c>
      <c r="V1064">
        <v>2025</v>
      </c>
      <c r="W1064" s="1">
        <f t="shared" si="1"/>
        <v>45836</v>
      </c>
      <c r="AB1064" t="str">
        <v>RES-101062</v>
      </c>
      <c r="AC1064">
        <v>46021</v>
      </c>
      <c r="AD1064">
        <v>0.70416666666666672</v>
      </c>
      <c r="AE1064" t="str">
        <v>Centro</v>
      </c>
      <c r="AF1064" t="str">
        <v>Mesa</v>
      </c>
      <c r="AG1064" t="str">
        <v>Parrilla</v>
      </c>
      <c r="AH1064">
        <v>6</v>
      </c>
      <c r="AI1064">
        <v>37712.65</v>
      </c>
      <c r="AJ1064">
        <v>7109.46</v>
      </c>
      <c r="AK1064">
        <v>19</v>
      </c>
      <c r="AL1064">
        <v>49</v>
      </c>
      <c r="AM1064" t="str">
        <v>Tarjeta</v>
      </c>
      <c r="AN1064" t="str">
        <v>Entregada</v>
      </c>
      <c r="AO1064">
        <v>4</v>
      </c>
    </row>
    <row r="1065" spans="1:41" x14ac:dyDescent="0.3">
      <c r="A1065" t="s">
        <v>1103</v>
      </c>
      <c r="B1065" s="8">
        <v>46022</v>
      </c>
      <c r="C1065" s="2">
        <v>0.70902777777777781</v>
      </c>
      <c r="D1065" t="s">
        <v>33</v>
      </c>
      <c r="E1065" t="s">
        <v>22</v>
      </c>
      <c r="F1065" t="s">
        <v>34</v>
      </c>
      <c r="G1065">
        <v>6</v>
      </c>
      <c r="H1065" s="6">
        <v>67476.52</v>
      </c>
      <c r="I1065" s="6">
        <v>1297.2</v>
      </c>
      <c r="J1065">
        <v>23</v>
      </c>
      <c r="K1065">
        <v>24</v>
      </c>
      <c r="L1065" t="s">
        <v>24</v>
      </c>
      <c r="M1065" t="s">
        <v>25</v>
      </c>
      <c r="N1065">
        <v>5</v>
      </c>
      <c r="O1065" s="4"/>
      <c r="P1065" s="4" t="str">
        <f>IF(Data_Set_2[[#This Row],[valor_bruto]]&gt;$W$13,"OUTLIER+","")</f>
        <v/>
      </c>
      <c r="Q1065" s="4" t="str">
        <f>IF(Data_Set_2[[#This Row],[valor_bruto]]&lt;$W$14,"OUTLIER-","")</f>
        <v/>
      </c>
      <c r="R1065" s="4"/>
      <c r="S1065" s="4"/>
      <c r="T1065">
        <v>6</v>
      </c>
      <c r="U1065">
        <v>29</v>
      </c>
      <c r="V1065">
        <v>2025</v>
      </c>
      <c r="W1065" s="1">
        <f t="shared" si="1"/>
        <v>45837</v>
      </c>
      <c r="AB1065" t="str">
        <v>RES-101063</v>
      </c>
      <c r="AC1065">
        <v>46022</v>
      </c>
      <c r="AD1065">
        <v>0.70902777777777781</v>
      </c>
      <c r="AE1065" t="str">
        <v>Envigado</v>
      </c>
      <c r="AF1065" t="str">
        <v>Domicilio</v>
      </c>
      <c r="AG1065" t="str">
        <v>Vegano</v>
      </c>
      <c r="AH1065">
        <v>6</v>
      </c>
      <c r="AI1065">
        <v>67476.52</v>
      </c>
      <c r="AJ1065">
        <v>1297.2</v>
      </c>
      <c r="AK1065">
        <v>23</v>
      </c>
      <c r="AL1065">
        <v>24</v>
      </c>
      <c r="AM1065" t="str">
        <v>Efectivo</v>
      </c>
      <c r="AN1065" t="str">
        <v>Cancelada</v>
      </c>
      <c r="AO1065">
        <v>5</v>
      </c>
    </row>
    <row r="1066" spans="1:41" x14ac:dyDescent="0.3">
      <c r="A1066" t="s">
        <v>1104</v>
      </c>
      <c r="B1066" s="8">
        <v>46023</v>
      </c>
      <c r="C1066" s="2">
        <v>0.75555555555555554</v>
      </c>
      <c r="D1066" t="s">
        <v>15</v>
      </c>
      <c r="E1066" t="s">
        <v>28</v>
      </c>
      <c r="F1066" t="s">
        <v>36</v>
      </c>
      <c r="G1066">
        <v>2</v>
      </c>
      <c r="H1066" s="6">
        <v>46002.94</v>
      </c>
      <c r="I1066" s="6">
        <v>3045.81</v>
      </c>
      <c r="J1066">
        <v>25</v>
      </c>
      <c r="K1066">
        <v>43</v>
      </c>
      <c r="L1066" t="s">
        <v>30</v>
      </c>
      <c r="M1066" t="s">
        <v>31</v>
      </c>
      <c r="N1066">
        <v>4</v>
      </c>
      <c r="O1066" s="4"/>
      <c r="P1066" s="4" t="str">
        <f>IF(Data_Set_2[[#This Row],[valor_bruto]]&gt;$W$13,"OUTLIER+","")</f>
        <v/>
      </c>
      <c r="Q1066" s="4" t="str">
        <f>IF(Data_Set_2[[#This Row],[valor_bruto]]&lt;$W$14,"OUTLIER-","")</f>
        <v/>
      </c>
      <c r="R1066" s="4"/>
      <c r="S1066" s="4"/>
      <c r="T1066">
        <v>6</v>
      </c>
      <c r="U1066">
        <v>30</v>
      </c>
      <c r="V1066">
        <v>2025</v>
      </c>
      <c r="W1066" s="1">
        <f t="shared" si="1"/>
        <v>45838</v>
      </c>
      <c r="AB1066" t="str">
        <v>RES-101064</v>
      </c>
      <c r="AC1066">
        <v>46023</v>
      </c>
      <c r="AD1066">
        <v>0.75555555555555554</v>
      </c>
      <c r="AE1066" t="str">
        <v>Laureles</v>
      </c>
      <c r="AF1066" t="str">
        <v>Recoge</v>
      </c>
      <c r="AG1066" t="str">
        <v>Bebidas</v>
      </c>
      <c r="AH1066">
        <v>2</v>
      </c>
      <c r="AI1066">
        <v>46002.94</v>
      </c>
      <c r="AJ1066">
        <v>3045.81</v>
      </c>
      <c r="AK1066">
        <v>25</v>
      </c>
      <c r="AL1066">
        <v>43</v>
      </c>
      <c r="AM1066" t="str">
        <v>App</v>
      </c>
      <c r="AN1066" t="str">
        <v>Reembolsada</v>
      </c>
      <c r="AO1066">
        <v>4</v>
      </c>
    </row>
    <row r="1067" spans="1:41" x14ac:dyDescent="0.3">
      <c r="A1067" t="s">
        <v>1105</v>
      </c>
      <c r="B1067" s="8">
        <v>46024</v>
      </c>
      <c r="C1067" s="2">
        <v>0.80208333333333337</v>
      </c>
      <c r="D1067" t="s">
        <v>21</v>
      </c>
      <c r="E1067" t="s">
        <v>16</v>
      </c>
      <c r="F1067" t="s">
        <v>17</v>
      </c>
      <c r="G1067">
        <v>5</v>
      </c>
      <c r="H1067" s="6">
        <v>56649.91</v>
      </c>
      <c r="I1067" s="6">
        <v>1632.05</v>
      </c>
      <c r="J1067">
        <v>25</v>
      </c>
      <c r="K1067">
        <v>32</v>
      </c>
      <c r="L1067" t="s">
        <v>18</v>
      </c>
      <c r="M1067" t="s">
        <v>19</v>
      </c>
      <c r="N1067">
        <v>3</v>
      </c>
      <c r="O1067" s="4"/>
      <c r="P1067" s="4" t="str">
        <f>IF(Data_Set_2[[#This Row],[valor_bruto]]&gt;$W$13,"OUTLIER+","")</f>
        <v/>
      </c>
      <c r="Q1067" s="4" t="str">
        <f>IF(Data_Set_2[[#This Row],[valor_bruto]]&lt;$W$14,"OUTLIER-","")</f>
        <v/>
      </c>
      <c r="R1067" s="4"/>
      <c r="S1067" s="4"/>
      <c r="T1067">
        <v>7</v>
      </c>
      <c r="U1067">
        <v>13</v>
      </c>
      <c r="V1067">
        <v>2025</v>
      </c>
      <c r="W1067" s="1">
        <f t="shared" si="1"/>
        <v>45851</v>
      </c>
      <c r="AB1067" t="str">
        <v>RES-101065</v>
      </c>
      <c r="AC1067">
        <v>46024</v>
      </c>
      <c r="AD1067">
        <v>0.80208333333333337</v>
      </c>
      <c r="AE1067" t="str">
        <v>Poblado</v>
      </c>
      <c r="AF1067" t="str">
        <v>Mesa</v>
      </c>
      <c r="AG1067" t="str">
        <v>Comida rapida</v>
      </c>
      <c r="AH1067">
        <v>5</v>
      </c>
      <c r="AI1067">
        <v>56649.91</v>
      </c>
      <c r="AJ1067">
        <v>1632.05</v>
      </c>
      <c r="AK1067">
        <v>25</v>
      </c>
      <c r="AL1067">
        <v>32</v>
      </c>
      <c r="AM1067" t="str">
        <v>Tarjeta</v>
      </c>
      <c r="AN1067" t="str">
        <v>Entregada</v>
      </c>
      <c r="AO1067">
        <v>3</v>
      </c>
    </row>
    <row r="1068" spans="1:41" x14ac:dyDescent="0.3">
      <c r="A1068" t="s">
        <v>1106</v>
      </c>
      <c r="B1068" s="8">
        <v>46025</v>
      </c>
      <c r="C1068" s="2">
        <v>0.84861111111111109</v>
      </c>
      <c r="D1068" t="s">
        <v>27</v>
      </c>
      <c r="E1068" t="s">
        <v>22</v>
      </c>
      <c r="F1068" t="s">
        <v>23</v>
      </c>
      <c r="G1068">
        <v>6</v>
      </c>
      <c r="H1068" s="6">
        <v>68273.14</v>
      </c>
      <c r="I1068" s="6">
        <v>7911.4</v>
      </c>
      <c r="J1068">
        <v>25</v>
      </c>
      <c r="K1068">
        <v>35</v>
      </c>
      <c r="L1068" t="s">
        <v>24</v>
      </c>
      <c r="M1068" t="s">
        <v>25</v>
      </c>
      <c r="N1068">
        <v>3</v>
      </c>
      <c r="O1068" s="4"/>
      <c r="P1068" s="4" t="str">
        <f>IF(Data_Set_2[[#This Row],[valor_bruto]]&gt;$W$13,"OUTLIER+","")</f>
        <v/>
      </c>
      <c r="Q1068" s="4" t="str">
        <f>IF(Data_Set_2[[#This Row],[valor_bruto]]&lt;$W$14,"OUTLIER-","")</f>
        <v/>
      </c>
      <c r="R1068" s="4"/>
      <c r="S1068" s="4"/>
      <c r="T1068">
        <v>7</v>
      </c>
      <c r="U1068">
        <v>14</v>
      </c>
      <c r="V1068">
        <v>2025</v>
      </c>
      <c r="W1068" s="1">
        <f t="shared" si="1"/>
        <v>45852</v>
      </c>
      <c r="AB1068" t="str">
        <v>RES-101066</v>
      </c>
      <c r="AC1068">
        <v>46025</v>
      </c>
      <c r="AD1068">
        <v>0.84861111111111109</v>
      </c>
      <c r="AE1068" t="str">
        <v>Centro</v>
      </c>
      <c r="AF1068" t="str">
        <v>Domicilio</v>
      </c>
      <c r="AG1068" t="str">
        <v>Pasta</v>
      </c>
      <c r="AH1068">
        <v>6</v>
      </c>
      <c r="AI1068">
        <v>68273.14</v>
      </c>
      <c r="AJ1068">
        <v>7911.4</v>
      </c>
      <c r="AK1068">
        <v>25</v>
      </c>
      <c r="AL1068">
        <v>35</v>
      </c>
      <c r="AM1068" t="str">
        <v>Efectivo</v>
      </c>
      <c r="AN1068" t="str">
        <v>Cancelada</v>
      </c>
      <c r="AO1068">
        <v>3</v>
      </c>
    </row>
    <row r="1069" spans="1:41" x14ac:dyDescent="0.3">
      <c r="A1069" t="s">
        <v>1107</v>
      </c>
      <c r="B1069" s="8">
        <v>46113</v>
      </c>
      <c r="C1069" s="2">
        <v>0.89513888888888893</v>
      </c>
      <c r="D1069" t="s">
        <v>33</v>
      </c>
      <c r="E1069" t="s">
        <v>28</v>
      </c>
      <c r="F1069" t="s">
        <v>29</v>
      </c>
      <c r="G1069">
        <v>2</v>
      </c>
      <c r="H1069" s="6">
        <v>54137.09</v>
      </c>
      <c r="I1069" s="6">
        <v>5246.39</v>
      </c>
      <c r="J1069">
        <v>21</v>
      </c>
      <c r="K1069">
        <v>51</v>
      </c>
      <c r="L1069" t="s">
        <v>30</v>
      </c>
      <c r="M1069" t="s">
        <v>31</v>
      </c>
      <c r="N1069">
        <v>4</v>
      </c>
      <c r="O1069" s="4"/>
      <c r="P1069" s="4" t="str">
        <f>IF(Data_Set_2[[#This Row],[valor_bruto]]&gt;$W$13,"OUTLIER+","")</f>
        <v/>
      </c>
      <c r="Q1069" s="4" t="str">
        <f>IF(Data_Set_2[[#This Row],[valor_bruto]]&lt;$W$14,"OUTLIER-","")</f>
        <v/>
      </c>
      <c r="R1069" s="4"/>
      <c r="S1069" s="4"/>
      <c r="T1069">
        <v>7</v>
      </c>
      <c r="U1069">
        <v>15</v>
      </c>
      <c r="V1069">
        <v>2025</v>
      </c>
      <c r="W1069" s="1">
        <f t="shared" si="1"/>
        <v>45853</v>
      </c>
      <c r="AB1069" t="str">
        <v>RES-101067</v>
      </c>
      <c r="AC1069">
        <v>46113</v>
      </c>
      <c r="AD1069">
        <v>0.89513888888888893</v>
      </c>
      <c r="AE1069" t="str">
        <v>Envigado</v>
      </c>
      <c r="AF1069" t="str">
        <v>Recoge</v>
      </c>
      <c r="AG1069" t="str">
        <v>Parrilla</v>
      </c>
      <c r="AH1069">
        <v>2</v>
      </c>
      <c r="AI1069">
        <v>54137.09</v>
      </c>
      <c r="AJ1069">
        <v>5246.39</v>
      </c>
      <c r="AK1069">
        <v>21</v>
      </c>
      <c r="AL1069">
        <v>51</v>
      </c>
      <c r="AM1069" t="str">
        <v>App</v>
      </c>
      <c r="AN1069" t="str">
        <v>Reembolsada</v>
      </c>
      <c r="AO1069">
        <v>4</v>
      </c>
    </row>
    <row r="1070" spans="1:41" x14ac:dyDescent="0.3">
      <c r="A1070" t="s">
        <v>1108</v>
      </c>
      <c r="B1070" s="8">
        <v>46027</v>
      </c>
      <c r="C1070" s="2">
        <v>0.44166666666666665</v>
      </c>
      <c r="D1070" t="s">
        <v>15</v>
      </c>
      <c r="E1070" t="s">
        <v>16</v>
      </c>
      <c r="F1070" t="s">
        <v>34</v>
      </c>
      <c r="G1070">
        <v>5</v>
      </c>
      <c r="H1070" s="6">
        <v>66113.710000000006</v>
      </c>
      <c r="I1070" s="6">
        <v>4133.87</v>
      </c>
      <c r="J1070">
        <v>30</v>
      </c>
      <c r="K1070">
        <v>46</v>
      </c>
      <c r="L1070" t="s">
        <v>18</v>
      </c>
      <c r="M1070" t="s">
        <v>19</v>
      </c>
      <c r="N1070">
        <v>4</v>
      </c>
      <c r="O1070" s="4"/>
      <c r="P1070" s="4" t="str">
        <f>IF(Data_Set_2[[#This Row],[valor_bruto]]&gt;$W$13,"OUTLIER+","")</f>
        <v/>
      </c>
      <c r="Q1070" s="4" t="str">
        <f>IF(Data_Set_2[[#This Row],[valor_bruto]]&lt;$W$14,"OUTLIER-","")</f>
        <v/>
      </c>
      <c r="R1070" s="4"/>
      <c r="S1070" s="4"/>
      <c r="T1070">
        <v>7</v>
      </c>
      <c r="U1070">
        <v>16</v>
      </c>
      <c r="V1070">
        <v>2025</v>
      </c>
      <c r="W1070" s="1">
        <f t="shared" si="1"/>
        <v>45854</v>
      </c>
      <c r="AB1070" t="str">
        <v>RES-101068</v>
      </c>
      <c r="AC1070">
        <v>46027</v>
      </c>
      <c r="AD1070">
        <v>0.44166666666666665</v>
      </c>
      <c r="AE1070" t="str">
        <v>Laureles</v>
      </c>
      <c r="AF1070" t="str">
        <v>Mesa</v>
      </c>
      <c r="AG1070" t="str">
        <v>Vegano</v>
      </c>
      <c r="AH1070">
        <v>5</v>
      </c>
      <c r="AI1070">
        <v>66113.710000000006</v>
      </c>
      <c r="AJ1070">
        <v>4133.87</v>
      </c>
      <c r="AK1070">
        <v>30</v>
      </c>
      <c r="AL1070">
        <v>46</v>
      </c>
      <c r="AM1070" t="str">
        <v>Tarjeta</v>
      </c>
      <c r="AN1070" t="str">
        <v>Entregada</v>
      </c>
      <c r="AO1070">
        <v>4</v>
      </c>
    </row>
    <row r="1071" spans="1:41" x14ac:dyDescent="0.3">
      <c r="A1071" t="s">
        <v>1109</v>
      </c>
      <c r="B1071" s="8">
        <v>46028</v>
      </c>
      <c r="C1071" s="2">
        <v>0.48819444444444443</v>
      </c>
      <c r="D1071" t="s">
        <v>21</v>
      </c>
      <c r="E1071" t="s">
        <v>22</v>
      </c>
      <c r="F1071" t="s">
        <v>36</v>
      </c>
      <c r="G1071">
        <v>6</v>
      </c>
      <c r="H1071" s="6">
        <v>29030.99</v>
      </c>
      <c r="I1071" s="6">
        <v>2114.66</v>
      </c>
      <c r="J1071">
        <v>19</v>
      </c>
      <c r="K1071">
        <v>46</v>
      </c>
      <c r="L1071" t="s">
        <v>24</v>
      </c>
      <c r="M1071" t="s">
        <v>25</v>
      </c>
      <c r="N1071">
        <v>5</v>
      </c>
      <c r="O1071" s="4"/>
      <c r="P1071" s="4" t="str">
        <f>IF(Data_Set_2[[#This Row],[valor_bruto]]&gt;$W$13,"OUTLIER+","")</f>
        <v/>
      </c>
      <c r="Q1071" s="4" t="str">
        <f>IF(Data_Set_2[[#This Row],[valor_bruto]]&lt;$W$14,"OUTLIER-","")</f>
        <v/>
      </c>
      <c r="R1071" s="4"/>
      <c r="S1071" s="4"/>
      <c r="T1071">
        <v>7</v>
      </c>
      <c r="U1071">
        <v>17</v>
      </c>
      <c r="V1071">
        <v>2025</v>
      </c>
      <c r="W1071" s="1">
        <f t="shared" ref="W1071:W1134" si="2">DATE(V1071,T1071,U1071)</f>
        <v>45855</v>
      </c>
      <c r="AB1071" t="str">
        <v>RES-101069</v>
      </c>
      <c r="AC1071">
        <v>46028</v>
      </c>
      <c r="AD1071">
        <v>0.48819444444444443</v>
      </c>
      <c r="AE1071" t="str">
        <v>Poblado</v>
      </c>
      <c r="AF1071" t="str">
        <v>Domicilio</v>
      </c>
      <c r="AG1071" t="str">
        <v>Bebidas</v>
      </c>
      <c r="AH1071">
        <v>6</v>
      </c>
      <c r="AI1071">
        <v>29030.99</v>
      </c>
      <c r="AJ1071">
        <v>2114.66</v>
      </c>
      <c r="AK1071">
        <v>19</v>
      </c>
      <c r="AL1071">
        <v>46</v>
      </c>
      <c r="AM1071" t="str">
        <v>Efectivo</v>
      </c>
      <c r="AN1071" t="str">
        <v>Cancelada</v>
      </c>
      <c r="AO1071">
        <v>5</v>
      </c>
    </row>
    <row r="1072" spans="1:41" x14ac:dyDescent="0.3">
      <c r="A1072" t="s">
        <v>1110</v>
      </c>
      <c r="B1072" s="8">
        <v>46204</v>
      </c>
      <c r="C1072" s="2">
        <v>0.53472222222222221</v>
      </c>
      <c r="D1072" t="s">
        <v>27</v>
      </c>
      <c r="E1072" t="s">
        <v>28</v>
      </c>
      <c r="F1072" t="s">
        <v>17</v>
      </c>
      <c r="G1072">
        <v>3</v>
      </c>
      <c r="H1072" s="6">
        <v>45911.42</v>
      </c>
      <c r="I1072" s="6">
        <v>6808.52</v>
      </c>
      <c r="J1072">
        <v>20</v>
      </c>
      <c r="K1072">
        <v>41</v>
      </c>
      <c r="L1072" t="s">
        <v>30</v>
      </c>
      <c r="M1072" t="s">
        <v>31</v>
      </c>
      <c r="N1072">
        <v>3</v>
      </c>
      <c r="O1072" s="4"/>
      <c r="P1072" s="4" t="str">
        <f>IF(Data_Set_2[[#This Row],[valor_bruto]]&gt;$W$13,"OUTLIER+","")</f>
        <v/>
      </c>
      <c r="Q1072" s="4" t="str">
        <f>IF(Data_Set_2[[#This Row],[valor_bruto]]&lt;$W$14,"OUTLIER-","")</f>
        <v/>
      </c>
      <c r="R1072" s="4"/>
      <c r="S1072" s="4"/>
      <c r="T1072">
        <v>7</v>
      </c>
      <c r="U1072">
        <v>18</v>
      </c>
      <c r="V1072">
        <v>2025</v>
      </c>
      <c r="W1072" s="1">
        <f t="shared" si="2"/>
        <v>45856</v>
      </c>
      <c r="AB1072" t="str">
        <v>RES-101070</v>
      </c>
      <c r="AC1072">
        <v>46204</v>
      </c>
      <c r="AD1072">
        <v>0.53472222222222221</v>
      </c>
      <c r="AE1072" t="str">
        <v>Centro</v>
      </c>
      <c r="AF1072" t="str">
        <v>Recoge</v>
      </c>
      <c r="AG1072" t="str">
        <v>Comida rapida</v>
      </c>
      <c r="AH1072">
        <v>3</v>
      </c>
      <c r="AI1072">
        <v>45911.42</v>
      </c>
      <c r="AJ1072">
        <v>6808.52</v>
      </c>
      <c r="AK1072">
        <v>20</v>
      </c>
      <c r="AL1072">
        <v>41</v>
      </c>
      <c r="AM1072" t="str">
        <v>App</v>
      </c>
      <c r="AN1072" t="str">
        <v>Reembolsada</v>
      </c>
      <c r="AO1072">
        <v>3</v>
      </c>
    </row>
    <row r="1073" spans="1:41" x14ac:dyDescent="0.3">
      <c r="A1073" t="s">
        <v>1111</v>
      </c>
      <c r="B1073" s="8">
        <v>46030</v>
      </c>
      <c r="C1073" s="2">
        <v>0.58125000000000004</v>
      </c>
      <c r="D1073" t="s">
        <v>33</v>
      </c>
      <c r="E1073" t="s">
        <v>16</v>
      </c>
      <c r="F1073" t="s">
        <v>23</v>
      </c>
      <c r="G1073">
        <v>6</v>
      </c>
      <c r="H1073" s="6">
        <v>11948.79</v>
      </c>
      <c r="I1073" s="6">
        <v>8395</v>
      </c>
      <c r="J1073">
        <v>27</v>
      </c>
      <c r="K1073">
        <v>42</v>
      </c>
      <c r="L1073" t="s">
        <v>18</v>
      </c>
      <c r="M1073" t="s">
        <v>19</v>
      </c>
      <c r="N1073">
        <v>3</v>
      </c>
      <c r="O1073" s="4"/>
      <c r="P1073" s="4" t="str">
        <f>IF(Data_Set_2[[#This Row],[valor_bruto]]&gt;$W$13,"OUTLIER+","")</f>
        <v/>
      </c>
      <c r="Q1073" s="4" t="str">
        <f>IF(Data_Set_2[[#This Row],[valor_bruto]]&lt;$W$14,"OUTLIER-","")</f>
        <v>OUTLIER-</v>
      </c>
      <c r="R1073" s="4"/>
      <c r="S1073" s="4"/>
      <c r="T1073">
        <v>7</v>
      </c>
      <c r="U1073">
        <v>19</v>
      </c>
      <c r="V1073">
        <v>2025</v>
      </c>
      <c r="W1073" s="1">
        <f t="shared" si="2"/>
        <v>45857</v>
      </c>
      <c r="AB1073" t="str">
        <v>RES-101071</v>
      </c>
      <c r="AC1073">
        <v>46030</v>
      </c>
      <c r="AD1073">
        <v>0.58125000000000004</v>
      </c>
      <c r="AE1073" t="str">
        <v>Envigado</v>
      </c>
      <c r="AF1073" t="str">
        <v>Mesa</v>
      </c>
      <c r="AG1073" t="str">
        <v>Pasta</v>
      </c>
      <c r="AH1073">
        <v>6</v>
      </c>
      <c r="AI1073">
        <v>11948.79</v>
      </c>
      <c r="AJ1073">
        <v>8395</v>
      </c>
      <c r="AK1073">
        <v>27</v>
      </c>
      <c r="AL1073">
        <v>42</v>
      </c>
      <c r="AM1073" t="str">
        <v>Tarjeta</v>
      </c>
      <c r="AN1073" t="str">
        <v>Entregada</v>
      </c>
      <c r="AO1073">
        <v>3</v>
      </c>
    </row>
    <row r="1074" spans="1:41" x14ac:dyDescent="0.3">
      <c r="A1074" t="s">
        <v>1112</v>
      </c>
      <c r="B1074" s="8">
        <v>46031</v>
      </c>
      <c r="C1074" s="2">
        <v>0.58611111111111114</v>
      </c>
      <c r="D1074" t="s">
        <v>15</v>
      </c>
      <c r="E1074" t="s">
        <v>22</v>
      </c>
      <c r="F1074" t="s">
        <v>29</v>
      </c>
      <c r="G1074">
        <v>4</v>
      </c>
      <c r="H1074" s="6">
        <v>30107.61</v>
      </c>
      <c r="I1074" s="6">
        <v>4219.03</v>
      </c>
      <c r="J1074">
        <v>30</v>
      </c>
      <c r="K1074">
        <v>27</v>
      </c>
      <c r="L1074" t="s">
        <v>24</v>
      </c>
      <c r="M1074" t="s">
        <v>25</v>
      </c>
      <c r="N1074">
        <v>5</v>
      </c>
      <c r="O1074" s="4"/>
      <c r="P1074" s="4" t="str">
        <f>IF(Data_Set_2[[#This Row],[valor_bruto]]&gt;$W$13,"OUTLIER+","")</f>
        <v/>
      </c>
      <c r="Q1074" s="4" t="str">
        <f>IF(Data_Set_2[[#This Row],[valor_bruto]]&lt;$W$14,"OUTLIER-","")</f>
        <v/>
      </c>
      <c r="R1074" s="4"/>
      <c r="S1074" s="4"/>
      <c r="T1074">
        <v>7</v>
      </c>
      <c r="U1074">
        <v>20</v>
      </c>
      <c r="V1074">
        <v>2025</v>
      </c>
      <c r="W1074" s="1">
        <f t="shared" si="2"/>
        <v>45858</v>
      </c>
      <c r="AB1074" t="str">
        <v>RES-101072</v>
      </c>
      <c r="AC1074">
        <v>46031</v>
      </c>
      <c r="AD1074">
        <v>0.58611111111111114</v>
      </c>
      <c r="AE1074" t="str">
        <v>Laureles</v>
      </c>
      <c r="AF1074" t="str">
        <v>Domicilio</v>
      </c>
      <c r="AG1074" t="str">
        <v>Parrilla</v>
      </c>
      <c r="AH1074">
        <v>4</v>
      </c>
      <c r="AI1074">
        <v>30107.61</v>
      </c>
      <c r="AJ1074">
        <v>4219.03</v>
      </c>
      <c r="AK1074">
        <v>30</v>
      </c>
      <c r="AL1074">
        <v>27</v>
      </c>
      <c r="AM1074" t="str">
        <v>Efectivo</v>
      </c>
      <c r="AN1074" t="str">
        <v>Cancelada</v>
      </c>
      <c r="AO1074">
        <v>5</v>
      </c>
    </row>
    <row r="1075" spans="1:41" x14ac:dyDescent="0.3">
      <c r="A1075" t="s">
        <v>1113</v>
      </c>
      <c r="B1075" s="8">
        <v>46296</v>
      </c>
      <c r="C1075" s="2">
        <v>0.63263888888888886</v>
      </c>
      <c r="D1075" t="s">
        <v>21</v>
      </c>
      <c r="E1075" t="s">
        <v>28</v>
      </c>
      <c r="F1075" t="s">
        <v>34</v>
      </c>
      <c r="G1075">
        <v>6</v>
      </c>
      <c r="H1075" s="6">
        <v>49548.07</v>
      </c>
      <c r="I1075" s="6">
        <v>4529.8863157894739</v>
      </c>
      <c r="J1075">
        <v>24</v>
      </c>
      <c r="K1075">
        <v>40</v>
      </c>
      <c r="L1075" t="s">
        <v>30</v>
      </c>
      <c r="M1075" t="s">
        <v>31</v>
      </c>
      <c r="N1075">
        <v>3</v>
      </c>
      <c r="O1075" s="4"/>
      <c r="P1075" s="4" t="str">
        <f>IF(Data_Set_2[[#This Row],[valor_bruto]]&gt;$W$13,"OUTLIER+","")</f>
        <v/>
      </c>
      <c r="Q1075" s="4" t="str">
        <f>IF(Data_Set_2[[#This Row],[valor_bruto]]&lt;$W$14,"OUTLIER-","")</f>
        <v/>
      </c>
      <c r="R1075" s="4"/>
      <c r="S1075" s="4"/>
      <c r="T1075">
        <v>7</v>
      </c>
      <c r="U1075">
        <v>21</v>
      </c>
      <c r="V1075">
        <v>2025</v>
      </c>
      <c r="W1075" s="1">
        <f t="shared" si="2"/>
        <v>45859</v>
      </c>
      <c r="AB1075" t="str">
        <v>RES-101073</v>
      </c>
      <c r="AC1075">
        <v>46296</v>
      </c>
      <c r="AD1075">
        <v>0.63263888888888886</v>
      </c>
      <c r="AE1075" t="str">
        <v>Poblado</v>
      </c>
      <c r="AF1075" t="str">
        <v>Recoge</v>
      </c>
      <c r="AG1075" t="str">
        <v>Vegano</v>
      </c>
      <c r="AH1075">
        <v>6</v>
      </c>
      <c r="AI1075">
        <v>49548.07</v>
      </c>
      <c r="AJ1075">
        <v>4529.8863157894739</v>
      </c>
      <c r="AK1075">
        <v>24</v>
      </c>
      <c r="AL1075">
        <v>40</v>
      </c>
      <c r="AM1075" t="str">
        <v>App</v>
      </c>
      <c r="AN1075" t="str">
        <v>Reembolsada</v>
      </c>
      <c r="AO1075">
        <v>3</v>
      </c>
    </row>
    <row r="1076" spans="1:41" x14ac:dyDescent="0.3">
      <c r="A1076" t="s">
        <v>1114</v>
      </c>
      <c r="B1076" s="8">
        <v>46033</v>
      </c>
      <c r="C1076" s="2">
        <v>0.6791666666666667</v>
      </c>
      <c r="D1076" t="s">
        <v>27</v>
      </c>
      <c r="E1076" t="s">
        <v>16</v>
      </c>
      <c r="F1076" t="s">
        <v>36</v>
      </c>
      <c r="G1076">
        <v>2</v>
      </c>
      <c r="H1076" s="6">
        <v>52139.93</v>
      </c>
      <c r="I1076" s="6">
        <v>4430.6899999999996</v>
      </c>
      <c r="J1076">
        <v>20</v>
      </c>
      <c r="K1076">
        <v>53</v>
      </c>
      <c r="L1076" t="s">
        <v>18</v>
      </c>
      <c r="M1076" t="s">
        <v>19</v>
      </c>
      <c r="N1076">
        <v>4</v>
      </c>
      <c r="O1076" s="4"/>
      <c r="P1076" s="4" t="str">
        <f>IF(Data_Set_2[[#This Row],[valor_bruto]]&gt;$W$13,"OUTLIER+","")</f>
        <v/>
      </c>
      <c r="Q1076" s="4" t="str">
        <f>IF(Data_Set_2[[#This Row],[valor_bruto]]&lt;$W$14,"OUTLIER-","")</f>
        <v/>
      </c>
      <c r="R1076" s="4"/>
      <c r="S1076" s="4"/>
      <c r="T1076">
        <v>7</v>
      </c>
      <c r="U1076">
        <v>22</v>
      </c>
      <c r="V1076">
        <v>2025</v>
      </c>
      <c r="W1076" s="1">
        <f t="shared" si="2"/>
        <v>45860</v>
      </c>
      <c r="AB1076" t="str">
        <v>RES-101074</v>
      </c>
      <c r="AC1076">
        <v>46033</v>
      </c>
      <c r="AD1076">
        <v>0.6791666666666667</v>
      </c>
      <c r="AE1076" t="str">
        <v>Centro</v>
      </c>
      <c r="AF1076" t="str">
        <v>Mesa</v>
      </c>
      <c r="AG1076" t="str">
        <v>Bebidas</v>
      </c>
      <c r="AH1076">
        <v>2</v>
      </c>
      <c r="AI1076">
        <v>52139.93</v>
      </c>
      <c r="AJ1076">
        <v>4430.6899999999996</v>
      </c>
      <c r="AK1076">
        <v>20</v>
      </c>
      <c r="AL1076">
        <v>53</v>
      </c>
      <c r="AM1076" t="str">
        <v>Tarjeta</v>
      </c>
      <c r="AN1076" t="str">
        <v>Entregada</v>
      </c>
      <c r="AO1076">
        <v>4</v>
      </c>
    </row>
    <row r="1077" spans="1:41" x14ac:dyDescent="0.3">
      <c r="A1077" t="s">
        <v>1115</v>
      </c>
      <c r="B1077" s="8">
        <v>46034</v>
      </c>
      <c r="C1077" s="2">
        <v>0.72569444444444442</v>
      </c>
      <c r="D1077" t="s">
        <v>33</v>
      </c>
      <c r="E1077" t="s">
        <v>22</v>
      </c>
      <c r="F1077" t="s">
        <v>17</v>
      </c>
      <c r="G1077">
        <v>3</v>
      </c>
      <c r="H1077" s="6">
        <v>30271.46</v>
      </c>
      <c r="I1077" s="6">
        <v>5198.3900000000003</v>
      </c>
      <c r="J1077">
        <v>31</v>
      </c>
      <c r="K1077">
        <v>43</v>
      </c>
      <c r="L1077" t="s">
        <v>24</v>
      </c>
      <c r="M1077" t="s">
        <v>25</v>
      </c>
      <c r="N1077">
        <v>4</v>
      </c>
      <c r="O1077" s="4"/>
      <c r="P1077" s="4" t="str">
        <f>IF(Data_Set_2[[#This Row],[valor_bruto]]&gt;$W$13,"OUTLIER+","")</f>
        <v/>
      </c>
      <c r="Q1077" s="4" t="str">
        <f>IF(Data_Set_2[[#This Row],[valor_bruto]]&lt;$W$14,"OUTLIER-","")</f>
        <v/>
      </c>
      <c r="R1077" s="4"/>
      <c r="S1077" s="4"/>
      <c r="T1077">
        <v>7</v>
      </c>
      <c r="U1077">
        <v>23</v>
      </c>
      <c r="V1077">
        <v>2025</v>
      </c>
      <c r="W1077" s="1">
        <f t="shared" si="2"/>
        <v>45861</v>
      </c>
      <c r="AB1077" t="str">
        <v>RES-101075</v>
      </c>
      <c r="AC1077">
        <v>46034</v>
      </c>
      <c r="AD1077">
        <v>0.72569444444444442</v>
      </c>
      <c r="AE1077" t="str">
        <v>Envigado</v>
      </c>
      <c r="AF1077" t="str">
        <v>Domicilio</v>
      </c>
      <c r="AG1077" t="str">
        <v>Comida rapida</v>
      </c>
      <c r="AH1077">
        <v>3</v>
      </c>
      <c r="AI1077">
        <v>30271.46</v>
      </c>
      <c r="AJ1077">
        <v>5198.3900000000003</v>
      </c>
      <c r="AK1077">
        <v>31</v>
      </c>
      <c r="AL1077">
        <v>43</v>
      </c>
      <c r="AM1077" t="str">
        <v>Efectivo</v>
      </c>
      <c r="AN1077" t="str">
        <v>Cancelada</v>
      </c>
      <c r="AO1077">
        <v>4</v>
      </c>
    </row>
    <row r="1078" spans="1:41" x14ac:dyDescent="0.3">
      <c r="A1078" t="s">
        <v>1116</v>
      </c>
      <c r="B1078" s="8">
        <v>46035</v>
      </c>
      <c r="C1078" s="2">
        <v>0.77222222222222225</v>
      </c>
      <c r="D1078" t="s">
        <v>15</v>
      </c>
      <c r="E1078" t="s">
        <v>28</v>
      </c>
      <c r="F1078" t="s">
        <v>23</v>
      </c>
      <c r="G1078">
        <v>4</v>
      </c>
      <c r="H1078" s="6">
        <v>47552.41</v>
      </c>
      <c r="I1078" s="6">
        <v>5356.54</v>
      </c>
      <c r="J1078">
        <v>27</v>
      </c>
      <c r="K1078">
        <v>29</v>
      </c>
      <c r="L1078" t="s">
        <v>30</v>
      </c>
      <c r="M1078" t="s">
        <v>31</v>
      </c>
      <c r="N1078">
        <v>5</v>
      </c>
      <c r="O1078" s="4"/>
      <c r="P1078" s="4" t="str">
        <f>IF(Data_Set_2[[#This Row],[valor_bruto]]&gt;$W$13,"OUTLIER+","")</f>
        <v/>
      </c>
      <c r="Q1078" s="4" t="str">
        <f>IF(Data_Set_2[[#This Row],[valor_bruto]]&lt;$W$14,"OUTLIER-","")</f>
        <v/>
      </c>
      <c r="R1078" s="4"/>
      <c r="S1078" s="4"/>
      <c r="T1078">
        <v>7</v>
      </c>
      <c r="U1078">
        <v>24</v>
      </c>
      <c r="V1078">
        <v>2025</v>
      </c>
      <c r="W1078" s="1">
        <f t="shared" si="2"/>
        <v>45862</v>
      </c>
      <c r="AB1078" t="str">
        <v>RES-101076</v>
      </c>
      <c r="AC1078">
        <v>46035</v>
      </c>
      <c r="AD1078">
        <v>0.77222222222222225</v>
      </c>
      <c r="AE1078" t="str">
        <v>Laureles</v>
      </c>
      <c r="AF1078" t="str">
        <v>Recoge</v>
      </c>
      <c r="AG1078" t="str">
        <v>Pasta</v>
      </c>
      <c r="AH1078">
        <v>4</v>
      </c>
      <c r="AI1078">
        <v>47552.41</v>
      </c>
      <c r="AJ1078">
        <v>5356.54</v>
      </c>
      <c r="AK1078">
        <v>27</v>
      </c>
      <c r="AL1078">
        <v>29</v>
      </c>
      <c r="AM1078" t="str">
        <v>App</v>
      </c>
      <c r="AN1078" t="str">
        <v>Reembolsada</v>
      </c>
      <c r="AO1078">
        <v>5</v>
      </c>
    </row>
    <row r="1079" spans="1:41" x14ac:dyDescent="0.3">
      <c r="A1079" t="s">
        <v>1117</v>
      </c>
      <c r="B1079" s="8">
        <v>46036</v>
      </c>
      <c r="C1079" s="2">
        <v>0.81874999999999998</v>
      </c>
      <c r="D1079" t="s">
        <v>21</v>
      </c>
      <c r="E1079" t="s">
        <v>16</v>
      </c>
      <c r="F1079" t="s">
        <v>29</v>
      </c>
      <c r="G1079">
        <v>3</v>
      </c>
      <c r="H1079" s="6">
        <v>67443.11</v>
      </c>
      <c r="I1079" s="6">
        <v>4009.47</v>
      </c>
      <c r="J1079">
        <v>22</v>
      </c>
      <c r="K1079">
        <v>49</v>
      </c>
      <c r="L1079" t="s">
        <v>18</v>
      </c>
      <c r="M1079" t="s">
        <v>19</v>
      </c>
      <c r="N1079">
        <v>3</v>
      </c>
      <c r="O1079" s="4"/>
      <c r="P1079" s="4" t="str">
        <f>IF(Data_Set_2[[#This Row],[valor_bruto]]&gt;$W$13,"OUTLIER+","")</f>
        <v/>
      </c>
      <c r="Q1079" s="4" t="str">
        <f>IF(Data_Set_2[[#This Row],[valor_bruto]]&lt;$W$14,"OUTLIER-","")</f>
        <v/>
      </c>
      <c r="R1079" s="4"/>
      <c r="S1079" s="4"/>
      <c r="T1079">
        <v>7</v>
      </c>
      <c r="U1079">
        <v>25</v>
      </c>
      <c r="V1079">
        <v>2025</v>
      </c>
      <c r="W1079" s="1">
        <f t="shared" si="2"/>
        <v>45863</v>
      </c>
      <c r="AB1079" t="str">
        <v>RES-101077</v>
      </c>
      <c r="AC1079">
        <v>46036</v>
      </c>
      <c r="AD1079">
        <v>0.81874999999999998</v>
      </c>
      <c r="AE1079" t="str">
        <v>Poblado</v>
      </c>
      <c r="AF1079" t="str">
        <v>Mesa</v>
      </c>
      <c r="AG1079" t="str">
        <v>Parrilla</v>
      </c>
      <c r="AH1079">
        <v>3</v>
      </c>
      <c r="AI1079">
        <v>67443.11</v>
      </c>
      <c r="AJ1079">
        <v>4009.47</v>
      </c>
      <c r="AK1079">
        <v>22</v>
      </c>
      <c r="AL1079">
        <v>49</v>
      </c>
      <c r="AM1079" t="str">
        <v>Tarjeta</v>
      </c>
      <c r="AN1079" t="str">
        <v>Entregada</v>
      </c>
      <c r="AO1079">
        <v>3</v>
      </c>
    </row>
    <row r="1080" spans="1:41" x14ac:dyDescent="0.3">
      <c r="A1080" t="s">
        <v>1118</v>
      </c>
      <c r="B1080" s="8">
        <v>46037</v>
      </c>
      <c r="C1080" s="2">
        <v>0.86527777777777781</v>
      </c>
      <c r="D1080" t="s">
        <v>27</v>
      </c>
      <c r="E1080" t="s">
        <v>22</v>
      </c>
      <c r="F1080" t="s">
        <v>34</v>
      </c>
      <c r="G1080">
        <v>5</v>
      </c>
      <c r="H1080" s="6">
        <v>31413.77</v>
      </c>
      <c r="I1080" s="6">
        <v>7047.89</v>
      </c>
      <c r="J1080">
        <v>29</v>
      </c>
      <c r="K1080">
        <v>37</v>
      </c>
      <c r="L1080" t="s">
        <v>24</v>
      </c>
      <c r="M1080" t="s">
        <v>25</v>
      </c>
      <c r="N1080">
        <v>4</v>
      </c>
      <c r="O1080" s="4"/>
      <c r="P1080" s="4" t="str">
        <f>IF(Data_Set_2[[#This Row],[valor_bruto]]&gt;$W$13,"OUTLIER+","")</f>
        <v/>
      </c>
      <c r="Q1080" s="4" t="str">
        <f>IF(Data_Set_2[[#This Row],[valor_bruto]]&lt;$W$14,"OUTLIER-","")</f>
        <v/>
      </c>
      <c r="R1080" s="4"/>
      <c r="S1080" s="4"/>
      <c r="T1080">
        <v>7</v>
      </c>
      <c r="U1080">
        <v>26</v>
      </c>
      <c r="V1080">
        <v>2025</v>
      </c>
      <c r="W1080" s="1">
        <f t="shared" si="2"/>
        <v>45864</v>
      </c>
      <c r="AB1080" t="str">
        <v>RES-101078</v>
      </c>
      <c r="AC1080">
        <v>46037</v>
      </c>
      <c r="AD1080">
        <v>0.86527777777777781</v>
      </c>
      <c r="AE1080" t="str">
        <v>Centro</v>
      </c>
      <c r="AF1080" t="str">
        <v>Domicilio</v>
      </c>
      <c r="AG1080" t="str">
        <v>Vegano</v>
      </c>
      <c r="AH1080">
        <v>5</v>
      </c>
      <c r="AI1080">
        <v>31413.77</v>
      </c>
      <c r="AJ1080">
        <v>7047.89</v>
      </c>
      <c r="AK1080">
        <v>29</v>
      </c>
      <c r="AL1080">
        <v>37</v>
      </c>
      <c r="AM1080" t="str">
        <v>Efectivo</v>
      </c>
      <c r="AN1080" t="str">
        <v>Cancelada</v>
      </c>
      <c r="AO1080">
        <v>4</v>
      </c>
    </row>
    <row r="1081" spans="1:41" x14ac:dyDescent="0.3">
      <c r="A1081" t="s">
        <v>1119</v>
      </c>
      <c r="B1081" s="8">
        <v>46038</v>
      </c>
      <c r="C1081" s="2">
        <v>0.91180555555555554</v>
      </c>
      <c r="D1081" t="s">
        <v>33</v>
      </c>
      <c r="E1081" t="s">
        <v>28</v>
      </c>
      <c r="F1081" t="s">
        <v>36</v>
      </c>
      <c r="G1081">
        <v>6</v>
      </c>
      <c r="H1081" s="6">
        <v>46653.97</v>
      </c>
      <c r="I1081" s="6">
        <v>6446.2</v>
      </c>
      <c r="J1081">
        <v>26</v>
      </c>
      <c r="K1081">
        <v>46</v>
      </c>
      <c r="L1081" t="s">
        <v>30</v>
      </c>
      <c r="M1081" t="s">
        <v>31</v>
      </c>
      <c r="N1081">
        <v>4</v>
      </c>
      <c r="O1081" s="4"/>
      <c r="P1081" s="4" t="str">
        <f>IF(Data_Set_2[[#This Row],[valor_bruto]]&gt;$W$13,"OUTLIER+","")</f>
        <v/>
      </c>
      <c r="Q1081" s="4" t="str">
        <f>IF(Data_Set_2[[#This Row],[valor_bruto]]&lt;$W$14,"OUTLIER-","")</f>
        <v/>
      </c>
      <c r="R1081" s="4"/>
      <c r="S1081" s="4"/>
      <c r="T1081">
        <v>7</v>
      </c>
      <c r="U1081">
        <v>27</v>
      </c>
      <c r="V1081">
        <v>2025</v>
      </c>
      <c r="W1081" s="1">
        <f t="shared" si="2"/>
        <v>45865</v>
      </c>
      <c r="AB1081" t="str">
        <v>RES-101079</v>
      </c>
      <c r="AC1081">
        <v>46038</v>
      </c>
      <c r="AD1081">
        <v>0.91180555555555554</v>
      </c>
      <c r="AE1081" t="str">
        <v>Envigado</v>
      </c>
      <c r="AF1081" t="str">
        <v>Recoge</v>
      </c>
      <c r="AG1081" t="str">
        <v>Bebidas</v>
      </c>
      <c r="AH1081">
        <v>6</v>
      </c>
      <c r="AI1081">
        <v>46653.97</v>
      </c>
      <c r="AJ1081">
        <v>6446.2</v>
      </c>
      <c r="AK1081">
        <v>26</v>
      </c>
      <c r="AL1081">
        <v>46</v>
      </c>
      <c r="AM1081" t="str">
        <v>App</v>
      </c>
      <c r="AN1081" t="str">
        <v>Reembolsada</v>
      </c>
      <c r="AO1081">
        <v>4</v>
      </c>
    </row>
    <row r="1082" spans="1:41" x14ac:dyDescent="0.3">
      <c r="A1082" t="s">
        <v>1120</v>
      </c>
      <c r="B1082" s="8">
        <v>46039</v>
      </c>
      <c r="C1082" s="2">
        <v>0.41666666666666669</v>
      </c>
      <c r="D1082" t="s">
        <v>15</v>
      </c>
      <c r="E1082" t="s">
        <v>16</v>
      </c>
      <c r="F1082" t="s">
        <v>17</v>
      </c>
      <c r="G1082">
        <v>5</v>
      </c>
      <c r="H1082" s="6">
        <v>49398.62</v>
      </c>
      <c r="I1082" s="6">
        <v>7431.78</v>
      </c>
      <c r="J1082">
        <v>24</v>
      </c>
      <c r="K1082">
        <v>51</v>
      </c>
      <c r="L1082" t="s">
        <v>18</v>
      </c>
      <c r="M1082" t="s">
        <v>19</v>
      </c>
      <c r="N1082">
        <v>5</v>
      </c>
      <c r="O1082" s="4"/>
      <c r="P1082" s="4" t="str">
        <f>IF(Data_Set_2[[#This Row],[valor_bruto]]&gt;$W$13,"OUTLIER+","")</f>
        <v/>
      </c>
      <c r="Q1082" s="4" t="str">
        <f>IF(Data_Set_2[[#This Row],[valor_bruto]]&lt;$W$14,"OUTLIER-","")</f>
        <v/>
      </c>
      <c r="R1082" s="4"/>
      <c r="S1082" s="4"/>
      <c r="T1082">
        <v>7</v>
      </c>
      <c r="U1082">
        <v>28</v>
      </c>
      <c r="V1082">
        <v>2025</v>
      </c>
      <c r="W1082" s="1">
        <f t="shared" si="2"/>
        <v>45866</v>
      </c>
      <c r="AB1082" t="str">
        <v>RES-101080</v>
      </c>
      <c r="AC1082">
        <v>46039</v>
      </c>
      <c r="AD1082">
        <v>0.41666666666666669</v>
      </c>
      <c r="AE1082" t="str">
        <v>Laureles</v>
      </c>
      <c r="AF1082" t="str">
        <v>Mesa</v>
      </c>
      <c r="AG1082" t="str">
        <v>Comida rapida</v>
      </c>
      <c r="AH1082">
        <v>5</v>
      </c>
      <c r="AI1082">
        <v>49398.62</v>
      </c>
      <c r="AJ1082">
        <v>7431.78</v>
      </c>
      <c r="AK1082">
        <v>24</v>
      </c>
      <c r="AL1082">
        <v>51</v>
      </c>
      <c r="AM1082" t="str">
        <v>Tarjeta</v>
      </c>
      <c r="AN1082" t="str">
        <v>Entregada</v>
      </c>
      <c r="AO1082">
        <v>5</v>
      </c>
    </row>
    <row r="1083" spans="1:41" x14ac:dyDescent="0.3">
      <c r="A1083" t="s">
        <v>1121</v>
      </c>
      <c r="B1083" s="8">
        <v>46040</v>
      </c>
      <c r="C1083" s="2">
        <v>0.46319444444444446</v>
      </c>
      <c r="D1083" t="s">
        <v>21</v>
      </c>
      <c r="E1083" t="s">
        <v>22</v>
      </c>
      <c r="F1083" t="s">
        <v>23</v>
      </c>
      <c r="G1083">
        <v>4</v>
      </c>
      <c r="H1083" s="6">
        <v>63159</v>
      </c>
      <c r="I1083" s="6">
        <v>1125.56</v>
      </c>
      <c r="J1083">
        <v>23</v>
      </c>
      <c r="K1083">
        <v>47</v>
      </c>
      <c r="L1083" t="s">
        <v>24</v>
      </c>
      <c r="M1083" t="s">
        <v>25</v>
      </c>
      <c r="N1083">
        <v>4</v>
      </c>
      <c r="O1083" s="4"/>
      <c r="P1083" s="4" t="str">
        <f>IF(Data_Set_2[[#This Row],[valor_bruto]]&gt;$W$13,"OUTLIER+","")</f>
        <v/>
      </c>
      <c r="Q1083" s="4" t="str">
        <f>IF(Data_Set_2[[#This Row],[valor_bruto]]&lt;$W$14,"OUTLIER-","")</f>
        <v/>
      </c>
      <c r="R1083" s="4"/>
      <c r="S1083" s="4"/>
      <c r="T1083">
        <v>7</v>
      </c>
      <c r="U1083">
        <v>29</v>
      </c>
      <c r="V1083">
        <v>2025</v>
      </c>
      <c r="W1083" s="1">
        <f t="shared" si="2"/>
        <v>45867</v>
      </c>
      <c r="AB1083" t="str">
        <v>RES-101081</v>
      </c>
      <c r="AC1083">
        <v>46040</v>
      </c>
      <c r="AD1083">
        <v>0.46319444444444446</v>
      </c>
      <c r="AE1083" t="str">
        <v>Poblado</v>
      </c>
      <c r="AF1083" t="str">
        <v>Domicilio</v>
      </c>
      <c r="AG1083" t="str">
        <v>Pasta</v>
      </c>
      <c r="AH1083">
        <v>4</v>
      </c>
      <c r="AI1083">
        <v>63159</v>
      </c>
      <c r="AJ1083">
        <v>1125.56</v>
      </c>
      <c r="AK1083">
        <v>23</v>
      </c>
      <c r="AL1083">
        <v>47</v>
      </c>
      <c r="AM1083" t="str">
        <v>Efectivo</v>
      </c>
      <c r="AN1083" t="str">
        <v>Cancelada</v>
      </c>
      <c r="AO1083">
        <v>4</v>
      </c>
    </row>
    <row r="1084" spans="1:41" x14ac:dyDescent="0.3">
      <c r="A1084" t="s">
        <v>1122</v>
      </c>
      <c r="B1084" s="8">
        <v>46041</v>
      </c>
      <c r="C1084" s="2">
        <v>0.50972222222222219</v>
      </c>
      <c r="D1084" t="s">
        <v>27</v>
      </c>
      <c r="E1084" t="s">
        <v>28</v>
      </c>
      <c r="F1084" t="s">
        <v>29</v>
      </c>
      <c r="G1084">
        <v>6</v>
      </c>
      <c r="H1084" s="6">
        <v>53777.73</v>
      </c>
      <c r="I1084" s="6">
        <v>7192.93</v>
      </c>
      <c r="J1084">
        <v>22</v>
      </c>
      <c r="K1084">
        <v>29</v>
      </c>
      <c r="L1084" t="s">
        <v>30</v>
      </c>
      <c r="M1084" t="s">
        <v>31</v>
      </c>
      <c r="N1084">
        <v>4</v>
      </c>
      <c r="O1084" s="4"/>
      <c r="P1084" s="4" t="str">
        <f>IF(Data_Set_2[[#This Row],[valor_bruto]]&gt;$W$13,"OUTLIER+","")</f>
        <v/>
      </c>
      <c r="Q1084" s="4" t="str">
        <f>IF(Data_Set_2[[#This Row],[valor_bruto]]&lt;$W$14,"OUTLIER-","")</f>
        <v/>
      </c>
      <c r="R1084" s="4"/>
      <c r="S1084" s="4"/>
      <c r="T1084">
        <v>7</v>
      </c>
      <c r="U1084">
        <v>30</v>
      </c>
      <c r="V1084">
        <v>2025</v>
      </c>
      <c r="W1084" s="1">
        <f t="shared" si="2"/>
        <v>45868</v>
      </c>
      <c r="AB1084" t="str">
        <v>RES-101082</v>
      </c>
      <c r="AC1084">
        <v>46041</v>
      </c>
      <c r="AD1084">
        <v>0.50972222222222219</v>
      </c>
      <c r="AE1084" t="str">
        <v>Centro</v>
      </c>
      <c r="AF1084" t="str">
        <v>Recoge</v>
      </c>
      <c r="AG1084" t="str">
        <v>Parrilla</v>
      </c>
      <c r="AH1084">
        <v>6</v>
      </c>
      <c r="AI1084">
        <v>53777.73</v>
      </c>
      <c r="AJ1084">
        <v>7192.93</v>
      </c>
      <c r="AK1084">
        <v>22</v>
      </c>
      <c r="AL1084">
        <v>29</v>
      </c>
      <c r="AM1084" t="str">
        <v>App</v>
      </c>
      <c r="AN1084" t="str">
        <v>Reembolsada</v>
      </c>
      <c r="AO1084">
        <v>4</v>
      </c>
    </row>
    <row r="1085" spans="1:41" x14ac:dyDescent="0.3">
      <c r="A1085" t="s">
        <v>1123</v>
      </c>
      <c r="B1085" s="8">
        <v>46042</v>
      </c>
      <c r="C1085" s="2">
        <v>0.55625000000000002</v>
      </c>
      <c r="D1085" t="s">
        <v>33</v>
      </c>
      <c r="E1085" t="s">
        <v>16</v>
      </c>
      <c r="F1085" t="s">
        <v>34</v>
      </c>
      <c r="G1085">
        <v>5</v>
      </c>
      <c r="H1085" s="6">
        <v>48464.38</v>
      </c>
      <c r="I1085" s="6">
        <v>4390.932777777778</v>
      </c>
      <c r="J1085">
        <v>21</v>
      </c>
      <c r="K1085">
        <v>49</v>
      </c>
      <c r="L1085" t="s">
        <v>18</v>
      </c>
      <c r="M1085" t="s">
        <v>19</v>
      </c>
      <c r="N1085">
        <v>3</v>
      </c>
      <c r="O1085" s="4"/>
      <c r="P1085" s="4" t="str">
        <f>IF(Data_Set_2[[#This Row],[valor_bruto]]&gt;$W$13,"OUTLIER+","")</f>
        <v/>
      </c>
      <c r="Q1085" s="4" t="str">
        <f>IF(Data_Set_2[[#This Row],[valor_bruto]]&lt;$W$14,"OUTLIER-","")</f>
        <v/>
      </c>
      <c r="R1085" s="4"/>
      <c r="S1085" s="4"/>
      <c r="T1085">
        <v>7</v>
      </c>
      <c r="U1085">
        <v>31</v>
      </c>
      <c r="V1085">
        <v>2025</v>
      </c>
      <c r="W1085" s="1">
        <f t="shared" si="2"/>
        <v>45869</v>
      </c>
      <c r="AB1085" t="str">
        <v>RES-101083</v>
      </c>
      <c r="AC1085">
        <v>46042</v>
      </c>
      <c r="AD1085">
        <v>0.55625000000000002</v>
      </c>
      <c r="AE1085" t="str">
        <v>Envigado</v>
      </c>
      <c r="AF1085" t="str">
        <v>Mesa</v>
      </c>
      <c r="AG1085" t="str">
        <v>Vegano</v>
      </c>
      <c r="AH1085">
        <v>5</v>
      </c>
      <c r="AI1085">
        <v>48464.38</v>
      </c>
      <c r="AJ1085">
        <v>4390.932777777778</v>
      </c>
      <c r="AK1085">
        <v>21</v>
      </c>
      <c r="AL1085">
        <v>49</v>
      </c>
      <c r="AM1085" t="str">
        <v>Tarjeta</v>
      </c>
      <c r="AN1085" t="str">
        <v>Entregada</v>
      </c>
      <c r="AO1085">
        <v>3</v>
      </c>
    </row>
    <row r="1086" spans="1:41" x14ac:dyDescent="0.3">
      <c r="A1086" t="s">
        <v>1124</v>
      </c>
      <c r="B1086" s="8">
        <v>46043</v>
      </c>
      <c r="C1086" s="2">
        <v>0.60277777777777775</v>
      </c>
      <c r="D1086" t="s">
        <v>15</v>
      </c>
      <c r="E1086" t="s">
        <v>22</v>
      </c>
      <c r="F1086" t="s">
        <v>36</v>
      </c>
      <c r="G1086">
        <v>3</v>
      </c>
      <c r="H1086" s="6">
        <v>43241.83</v>
      </c>
      <c r="I1086" s="6">
        <v>5810.25</v>
      </c>
      <c r="J1086">
        <v>25</v>
      </c>
      <c r="K1086">
        <v>45</v>
      </c>
      <c r="L1086" t="s">
        <v>24</v>
      </c>
      <c r="M1086" t="s">
        <v>25</v>
      </c>
      <c r="N1086">
        <v>3</v>
      </c>
      <c r="O1086" s="4"/>
      <c r="P1086" s="4" t="str">
        <f>IF(Data_Set_2[[#This Row],[valor_bruto]]&gt;$W$13,"OUTLIER+","")</f>
        <v/>
      </c>
      <c r="Q1086" s="4" t="str">
        <f>IF(Data_Set_2[[#This Row],[valor_bruto]]&lt;$W$14,"OUTLIER-","")</f>
        <v/>
      </c>
      <c r="R1086" s="4"/>
      <c r="S1086" s="4"/>
      <c r="T1086">
        <v>8</v>
      </c>
      <c r="U1086">
        <v>13</v>
      </c>
      <c r="V1086">
        <v>2025</v>
      </c>
      <c r="W1086" s="1">
        <f t="shared" si="2"/>
        <v>45882</v>
      </c>
      <c r="AB1086" t="str">
        <v>RES-101084</v>
      </c>
      <c r="AC1086">
        <v>46043</v>
      </c>
      <c r="AD1086">
        <v>0.60277777777777775</v>
      </c>
      <c r="AE1086" t="str">
        <v>Laureles</v>
      </c>
      <c r="AF1086" t="str">
        <v>Domicilio</v>
      </c>
      <c r="AG1086" t="str">
        <v>Bebidas</v>
      </c>
      <c r="AH1086">
        <v>3</v>
      </c>
      <c r="AI1086">
        <v>43241.83</v>
      </c>
      <c r="AJ1086">
        <v>5810.25</v>
      </c>
      <c r="AK1086">
        <v>25</v>
      </c>
      <c r="AL1086">
        <v>45</v>
      </c>
      <c r="AM1086" t="str">
        <v>Efectivo</v>
      </c>
      <c r="AN1086" t="str">
        <v>Cancelada</v>
      </c>
      <c r="AO1086">
        <v>3</v>
      </c>
    </row>
    <row r="1087" spans="1:41" x14ac:dyDescent="0.3">
      <c r="A1087" t="s">
        <v>1125</v>
      </c>
      <c r="B1087" s="8">
        <v>46044</v>
      </c>
      <c r="C1087" s="2">
        <v>0.64930555555555558</v>
      </c>
      <c r="D1087" t="s">
        <v>21</v>
      </c>
      <c r="E1087" t="s">
        <v>28</v>
      </c>
      <c r="F1087" t="s">
        <v>17</v>
      </c>
      <c r="G1087">
        <v>2</v>
      </c>
      <c r="H1087" s="6">
        <v>36975.65</v>
      </c>
      <c r="I1087" s="6">
        <v>1696.69</v>
      </c>
      <c r="J1087">
        <v>18</v>
      </c>
      <c r="K1087">
        <v>37</v>
      </c>
      <c r="L1087" t="s">
        <v>30</v>
      </c>
      <c r="M1087" t="s">
        <v>31</v>
      </c>
      <c r="N1087">
        <v>5</v>
      </c>
      <c r="O1087" s="4"/>
      <c r="P1087" s="4" t="str">
        <f>IF(Data_Set_2[[#This Row],[valor_bruto]]&gt;$W$13,"OUTLIER+","")</f>
        <v/>
      </c>
      <c r="Q1087" s="4" t="str">
        <f>IF(Data_Set_2[[#This Row],[valor_bruto]]&lt;$W$14,"OUTLIER-","")</f>
        <v/>
      </c>
      <c r="R1087" s="4"/>
      <c r="S1087" s="4"/>
      <c r="T1087">
        <v>8</v>
      </c>
      <c r="U1087">
        <v>14</v>
      </c>
      <c r="V1087">
        <v>2025</v>
      </c>
      <c r="W1087" s="1">
        <f t="shared" si="2"/>
        <v>45883</v>
      </c>
      <c r="AB1087" t="str">
        <v>RES-101085</v>
      </c>
      <c r="AC1087">
        <v>46044</v>
      </c>
      <c r="AD1087">
        <v>0.64930555555555558</v>
      </c>
      <c r="AE1087" t="str">
        <v>Poblado</v>
      </c>
      <c r="AF1087" t="str">
        <v>Recoge</v>
      </c>
      <c r="AG1087" t="str">
        <v>Comida rapida</v>
      </c>
      <c r="AH1087">
        <v>2</v>
      </c>
      <c r="AI1087">
        <v>36975.65</v>
      </c>
      <c r="AJ1087">
        <v>1696.69</v>
      </c>
      <c r="AK1087">
        <v>18</v>
      </c>
      <c r="AL1087">
        <v>37</v>
      </c>
      <c r="AM1087" t="str">
        <v>App</v>
      </c>
      <c r="AN1087" t="str">
        <v>Reembolsada</v>
      </c>
      <c r="AO1087">
        <v>5</v>
      </c>
    </row>
    <row r="1088" spans="1:41" x14ac:dyDescent="0.3">
      <c r="A1088" t="s">
        <v>1126</v>
      </c>
      <c r="B1088" s="8">
        <v>46045</v>
      </c>
      <c r="C1088" s="2">
        <v>0.6958333333333333</v>
      </c>
      <c r="D1088" t="s">
        <v>27</v>
      </c>
      <c r="E1088" t="s">
        <v>16</v>
      </c>
      <c r="F1088" t="s">
        <v>23</v>
      </c>
      <c r="G1088">
        <v>4</v>
      </c>
      <c r="H1088" s="6">
        <v>37118.44</v>
      </c>
      <c r="I1088" s="6">
        <v>6058.84</v>
      </c>
      <c r="J1088">
        <v>28</v>
      </c>
      <c r="K1088">
        <v>25</v>
      </c>
      <c r="L1088" t="s">
        <v>18</v>
      </c>
      <c r="M1088" t="s">
        <v>19</v>
      </c>
      <c r="N1088">
        <v>5</v>
      </c>
      <c r="O1088" s="4"/>
      <c r="P1088" s="4" t="str">
        <f>IF(Data_Set_2[[#This Row],[valor_bruto]]&gt;$W$13,"OUTLIER+","")</f>
        <v/>
      </c>
      <c r="Q1088" s="4" t="str">
        <f>IF(Data_Set_2[[#This Row],[valor_bruto]]&lt;$W$14,"OUTLIER-","")</f>
        <v/>
      </c>
      <c r="R1088" s="4"/>
      <c r="S1088" s="4"/>
      <c r="T1088">
        <v>8</v>
      </c>
      <c r="U1088">
        <v>15</v>
      </c>
      <c r="V1088">
        <v>2025</v>
      </c>
      <c r="W1088" s="1">
        <f t="shared" si="2"/>
        <v>45884</v>
      </c>
      <c r="AB1088" t="str">
        <v>RES-101086</v>
      </c>
      <c r="AC1088">
        <v>46045</v>
      </c>
      <c r="AD1088">
        <v>0.6958333333333333</v>
      </c>
      <c r="AE1088" t="str">
        <v>Centro</v>
      </c>
      <c r="AF1088" t="str">
        <v>Mesa</v>
      </c>
      <c r="AG1088" t="str">
        <v>Pasta</v>
      </c>
      <c r="AH1088">
        <v>4</v>
      </c>
      <c r="AI1088">
        <v>37118.44</v>
      </c>
      <c r="AJ1088">
        <v>6058.84</v>
      </c>
      <c r="AK1088">
        <v>28</v>
      </c>
      <c r="AL1088">
        <v>25</v>
      </c>
      <c r="AM1088" t="str">
        <v>Tarjeta</v>
      </c>
      <c r="AN1088" t="str">
        <v>Entregada</v>
      </c>
      <c r="AO1088">
        <v>5</v>
      </c>
    </row>
    <row r="1089" spans="1:41" x14ac:dyDescent="0.3">
      <c r="A1089" t="s">
        <v>1127</v>
      </c>
      <c r="B1089" s="8">
        <v>46046</v>
      </c>
      <c r="C1089" s="2">
        <v>0.74236111111111114</v>
      </c>
      <c r="D1089" t="s">
        <v>33</v>
      </c>
      <c r="E1089" t="s">
        <v>22</v>
      </c>
      <c r="F1089" t="s">
        <v>29</v>
      </c>
      <c r="G1089">
        <v>3</v>
      </c>
      <c r="H1089" s="6">
        <v>61962.86</v>
      </c>
      <c r="I1089" s="6">
        <v>8136.64</v>
      </c>
      <c r="J1089">
        <v>28</v>
      </c>
      <c r="K1089">
        <v>41</v>
      </c>
      <c r="L1089" t="s">
        <v>24</v>
      </c>
      <c r="M1089" t="s">
        <v>25</v>
      </c>
      <c r="N1089">
        <v>4</v>
      </c>
      <c r="O1089" s="4"/>
      <c r="P1089" s="4" t="str">
        <f>IF(Data_Set_2[[#This Row],[valor_bruto]]&gt;$W$13,"OUTLIER+","")</f>
        <v/>
      </c>
      <c r="Q1089" s="4" t="str">
        <f>IF(Data_Set_2[[#This Row],[valor_bruto]]&lt;$W$14,"OUTLIER-","")</f>
        <v/>
      </c>
      <c r="R1089" s="4"/>
      <c r="S1089" s="4"/>
      <c r="T1089">
        <v>8</v>
      </c>
      <c r="U1089">
        <v>16</v>
      </c>
      <c r="V1089">
        <v>2025</v>
      </c>
      <c r="W1089" s="1">
        <f t="shared" si="2"/>
        <v>45885</v>
      </c>
      <c r="AB1089" t="str">
        <v>RES-101087</v>
      </c>
      <c r="AC1089">
        <v>46046</v>
      </c>
      <c r="AD1089">
        <v>0.74236111111111114</v>
      </c>
      <c r="AE1089" t="str">
        <v>Envigado</v>
      </c>
      <c r="AF1089" t="str">
        <v>Domicilio</v>
      </c>
      <c r="AG1089" t="str">
        <v>Parrilla</v>
      </c>
      <c r="AH1089">
        <v>3</v>
      </c>
      <c r="AI1089">
        <v>61962.86</v>
      </c>
      <c r="AJ1089">
        <v>8136.64</v>
      </c>
      <c r="AK1089">
        <v>28</v>
      </c>
      <c r="AL1089">
        <v>41</v>
      </c>
      <c r="AM1089" t="str">
        <v>Efectivo</v>
      </c>
      <c r="AN1089" t="str">
        <v>Cancelada</v>
      </c>
      <c r="AO1089">
        <v>4</v>
      </c>
    </row>
    <row r="1090" spans="1:41" x14ac:dyDescent="0.3">
      <c r="A1090" t="s">
        <v>1128</v>
      </c>
      <c r="B1090" s="8">
        <v>46047</v>
      </c>
      <c r="C1090" s="2">
        <v>0.78888888888888886</v>
      </c>
      <c r="D1090" t="s">
        <v>15</v>
      </c>
      <c r="E1090" t="s">
        <v>28</v>
      </c>
      <c r="F1090" t="s">
        <v>34</v>
      </c>
      <c r="G1090">
        <v>3</v>
      </c>
      <c r="H1090" s="6">
        <v>35379.94</v>
      </c>
      <c r="I1090" s="6">
        <v>5633.65</v>
      </c>
      <c r="J1090">
        <v>13</v>
      </c>
      <c r="K1090">
        <v>43</v>
      </c>
      <c r="L1090" t="s">
        <v>30</v>
      </c>
      <c r="M1090" t="s">
        <v>31</v>
      </c>
      <c r="N1090">
        <v>3</v>
      </c>
      <c r="O1090" s="4"/>
      <c r="P1090" s="4" t="str">
        <f>IF(Data_Set_2[[#This Row],[valor_bruto]]&gt;$W$13,"OUTLIER+","")</f>
        <v/>
      </c>
      <c r="Q1090" s="4" t="str">
        <f>IF(Data_Set_2[[#This Row],[valor_bruto]]&lt;$W$14,"OUTLIER-","")</f>
        <v/>
      </c>
      <c r="R1090" s="4"/>
      <c r="S1090" s="4"/>
      <c r="T1090">
        <v>8</v>
      </c>
      <c r="U1090">
        <v>17</v>
      </c>
      <c r="V1090">
        <v>2025</v>
      </c>
      <c r="W1090" s="1">
        <f t="shared" si="2"/>
        <v>45886</v>
      </c>
      <c r="AB1090" t="str">
        <v>RES-101088</v>
      </c>
      <c r="AC1090">
        <v>46047</v>
      </c>
      <c r="AD1090">
        <v>0.78888888888888886</v>
      </c>
      <c r="AE1090" t="str">
        <v>Laureles</v>
      </c>
      <c r="AF1090" t="str">
        <v>Recoge</v>
      </c>
      <c r="AG1090" t="str">
        <v>Vegano</v>
      </c>
      <c r="AH1090">
        <v>3</v>
      </c>
      <c r="AI1090">
        <v>35379.94</v>
      </c>
      <c r="AJ1090">
        <v>5633.65</v>
      </c>
      <c r="AK1090">
        <v>13</v>
      </c>
      <c r="AL1090">
        <v>43</v>
      </c>
      <c r="AM1090" t="str">
        <v>App</v>
      </c>
      <c r="AN1090" t="str">
        <v>Reembolsada</v>
      </c>
      <c r="AO1090">
        <v>3</v>
      </c>
    </row>
    <row r="1091" spans="1:41" x14ac:dyDescent="0.3">
      <c r="A1091" t="s">
        <v>1129</v>
      </c>
      <c r="B1091" s="8">
        <v>46048</v>
      </c>
      <c r="C1091" s="2">
        <v>0.79374999999999996</v>
      </c>
      <c r="D1091" t="s">
        <v>21</v>
      </c>
      <c r="E1091" t="s">
        <v>16</v>
      </c>
      <c r="F1091" t="s">
        <v>36</v>
      </c>
      <c r="G1091">
        <v>4</v>
      </c>
      <c r="H1091" s="6">
        <v>49250.07</v>
      </c>
      <c r="I1091" s="6">
        <v>3571.56</v>
      </c>
      <c r="J1091">
        <v>20</v>
      </c>
      <c r="K1091">
        <v>40</v>
      </c>
      <c r="L1091" t="s">
        <v>18</v>
      </c>
      <c r="M1091" t="s">
        <v>19</v>
      </c>
      <c r="N1091">
        <v>3</v>
      </c>
      <c r="O1091" s="4"/>
      <c r="P1091" s="4" t="str">
        <f>IF(Data_Set_2[[#This Row],[valor_bruto]]&gt;$W$13,"OUTLIER+","")</f>
        <v/>
      </c>
      <c r="Q1091" s="4" t="str">
        <f>IF(Data_Set_2[[#This Row],[valor_bruto]]&lt;$W$14,"OUTLIER-","")</f>
        <v/>
      </c>
      <c r="R1091" s="4"/>
      <c r="S1091" s="4"/>
      <c r="T1091">
        <v>8</v>
      </c>
      <c r="U1091">
        <v>18</v>
      </c>
      <c r="V1091">
        <v>2025</v>
      </c>
      <c r="W1091" s="1">
        <f t="shared" si="2"/>
        <v>45887</v>
      </c>
      <c r="AB1091" t="str">
        <v>RES-101089</v>
      </c>
      <c r="AC1091">
        <v>46048</v>
      </c>
      <c r="AD1091">
        <v>0.79374999999999996</v>
      </c>
      <c r="AE1091" t="str">
        <v>Poblado</v>
      </c>
      <c r="AF1091" t="str">
        <v>Mesa</v>
      </c>
      <c r="AG1091" t="str">
        <v>Bebidas</v>
      </c>
      <c r="AH1091">
        <v>4</v>
      </c>
      <c r="AI1091">
        <v>49250.07</v>
      </c>
      <c r="AJ1091">
        <v>3571.56</v>
      </c>
      <c r="AK1091">
        <v>20</v>
      </c>
      <c r="AL1091">
        <v>40</v>
      </c>
      <c r="AM1091" t="str">
        <v>Tarjeta</v>
      </c>
      <c r="AN1091" t="str">
        <v>Entregada</v>
      </c>
      <c r="AO1091">
        <v>3</v>
      </c>
    </row>
    <row r="1092" spans="1:41" x14ac:dyDescent="0.3">
      <c r="A1092" t="s">
        <v>1130</v>
      </c>
      <c r="B1092" s="8">
        <v>46049</v>
      </c>
      <c r="C1092" s="2">
        <v>0.84027777777777779</v>
      </c>
      <c r="D1092" t="s">
        <v>27</v>
      </c>
      <c r="E1092" t="s">
        <v>22</v>
      </c>
      <c r="F1092" t="s">
        <v>17</v>
      </c>
      <c r="G1092">
        <v>4</v>
      </c>
      <c r="H1092" s="6">
        <v>56542.12</v>
      </c>
      <c r="I1092" s="6">
        <v>3157.38</v>
      </c>
      <c r="J1092">
        <v>19</v>
      </c>
      <c r="K1092">
        <v>27</v>
      </c>
      <c r="L1092" t="s">
        <v>24</v>
      </c>
      <c r="M1092" t="s">
        <v>25</v>
      </c>
      <c r="N1092">
        <v>5</v>
      </c>
      <c r="O1092" s="4"/>
      <c r="P1092" s="4" t="str">
        <f>IF(Data_Set_2[[#This Row],[valor_bruto]]&gt;$W$13,"OUTLIER+","")</f>
        <v/>
      </c>
      <c r="Q1092" s="4" t="str">
        <f>IF(Data_Set_2[[#This Row],[valor_bruto]]&lt;$W$14,"OUTLIER-","")</f>
        <v/>
      </c>
      <c r="R1092" s="4"/>
      <c r="S1092" s="4"/>
      <c r="T1092">
        <v>8</v>
      </c>
      <c r="U1092">
        <v>18</v>
      </c>
      <c r="V1092">
        <v>2025</v>
      </c>
      <c r="W1092" s="1">
        <f t="shared" si="2"/>
        <v>45887</v>
      </c>
      <c r="AB1092" t="str">
        <v>RES-101090</v>
      </c>
      <c r="AC1092">
        <v>46049</v>
      </c>
      <c r="AD1092">
        <v>0.84027777777777779</v>
      </c>
      <c r="AE1092" t="str">
        <v>Centro</v>
      </c>
      <c r="AF1092" t="str">
        <v>Domicilio</v>
      </c>
      <c r="AG1092" t="str">
        <v>Comida rapida</v>
      </c>
      <c r="AH1092">
        <v>4</v>
      </c>
      <c r="AI1092">
        <v>56542.12</v>
      </c>
      <c r="AJ1092">
        <v>3157.38</v>
      </c>
      <c r="AK1092">
        <v>19</v>
      </c>
      <c r="AL1092">
        <v>27</v>
      </c>
      <c r="AM1092" t="str">
        <v>Efectivo</v>
      </c>
      <c r="AN1092" t="str">
        <v>Cancelada</v>
      </c>
      <c r="AO1092">
        <v>5</v>
      </c>
    </row>
    <row r="1093" spans="1:41" x14ac:dyDescent="0.3">
      <c r="A1093" t="s">
        <v>1131</v>
      </c>
      <c r="B1093" s="8">
        <v>46050</v>
      </c>
      <c r="C1093" s="2">
        <v>0.88680555555555551</v>
      </c>
      <c r="D1093" t="s">
        <v>33</v>
      </c>
      <c r="E1093" t="s">
        <v>28</v>
      </c>
      <c r="F1093" t="s">
        <v>23</v>
      </c>
      <c r="G1093">
        <v>2</v>
      </c>
      <c r="H1093" s="6">
        <v>50665.29</v>
      </c>
      <c r="I1093" s="6">
        <v>6193.48</v>
      </c>
      <c r="J1093">
        <v>26</v>
      </c>
      <c r="K1093">
        <v>36</v>
      </c>
      <c r="L1093" t="s">
        <v>30</v>
      </c>
      <c r="M1093" t="s">
        <v>31</v>
      </c>
      <c r="N1093">
        <v>3</v>
      </c>
      <c r="O1093" s="4"/>
      <c r="P1093" s="4" t="str">
        <f>IF(Data_Set_2[[#This Row],[valor_bruto]]&gt;$W$13,"OUTLIER+","")</f>
        <v/>
      </c>
      <c r="Q1093" s="4" t="str">
        <f>IF(Data_Set_2[[#This Row],[valor_bruto]]&lt;$W$14,"OUTLIER-","")</f>
        <v/>
      </c>
      <c r="R1093" s="4"/>
      <c r="S1093" s="4"/>
      <c r="T1093">
        <v>8</v>
      </c>
      <c r="U1093">
        <v>19</v>
      </c>
      <c r="V1093">
        <v>2025</v>
      </c>
      <c r="W1093" s="1">
        <f t="shared" si="2"/>
        <v>45888</v>
      </c>
      <c r="AB1093" t="str">
        <v>RES-101091</v>
      </c>
      <c r="AC1093">
        <v>46050</v>
      </c>
      <c r="AD1093">
        <v>0.88680555555555551</v>
      </c>
      <c r="AE1093" t="str">
        <v>Envigado</v>
      </c>
      <c r="AF1093" t="str">
        <v>Recoge</v>
      </c>
      <c r="AG1093" t="str">
        <v>Pasta</v>
      </c>
      <c r="AH1093">
        <v>2</v>
      </c>
      <c r="AI1093">
        <v>50665.29</v>
      </c>
      <c r="AJ1093">
        <v>6193.48</v>
      </c>
      <c r="AK1093">
        <v>26</v>
      </c>
      <c r="AL1093">
        <v>36</v>
      </c>
      <c r="AM1093" t="str">
        <v>App</v>
      </c>
      <c r="AN1093" t="str">
        <v>Reembolsada</v>
      </c>
      <c r="AO1093">
        <v>3</v>
      </c>
    </row>
    <row r="1094" spans="1:41" x14ac:dyDescent="0.3">
      <c r="A1094" t="s">
        <v>1132</v>
      </c>
      <c r="B1094" s="8">
        <v>46051</v>
      </c>
      <c r="C1094" s="2">
        <v>0.43333333333333335</v>
      </c>
      <c r="D1094" t="s">
        <v>15</v>
      </c>
      <c r="E1094" t="s">
        <v>16</v>
      </c>
      <c r="F1094" t="s">
        <v>29</v>
      </c>
      <c r="G1094">
        <v>6</v>
      </c>
      <c r="H1094" s="6">
        <v>33431.32</v>
      </c>
      <c r="I1094" s="6">
        <v>4112.58</v>
      </c>
      <c r="J1094">
        <v>13</v>
      </c>
      <c r="K1094">
        <v>47</v>
      </c>
      <c r="L1094" t="s">
        <v>18</v>
      </c>
      <c r="M1094" t="s">
        <v>19</v>
      </c>
      <c r="N1094">
        <v>5</v>
      </c>
      <c r="O1094" s="4"/>
      <c r="P1094" s="4" t="str">
        <f>IF(Data_Set_2[[#This Row],[valor_bruto]]&gt;$W$13,"OUTLIER+","")</f>
        <v/>
      </c>
      <c r="Q1094" s="4" t="str">
        <f>IF(Data_Set_2[[#This Row],[valor_bruto]]&lt;$W$14,"OUTLIER-","")</f>
        <v/>
      </c>
      <c r="R1094" s="4"/>
      <c r="S1094" s="4"/>
      <c r="T1094">
        <v>8</v>
      </c>
      <c r="U1094">
        <v>20</v>
      </c>
      <c r="V1094">
        <v>2025</v>
      </c>
      <c r="W1094" s="1">
        <f t="shared" si="2"/>
        <v>45889</v>
      </c>
      <c r="AB1094" t="str">
        <v>RES-101092</v>
      </c>
      <c r="AC1094">
        <v>46051</v>
      </c>
      <c r="AD1094">
        <v>0.43333333333333335</v>
      </c>
      <c r="AE1094" t="str">
        <v>Laureles</v>
      </c>
      <c r="AF1094" t="str">
        <v>Mesa</v>
      </c>
      <c r="AG1094" t="str">
        <v>Parrilla</v>
      </c>
      <c r="AH1094">
        <v>6</v>
      </c>
      <c r="AI1094">
        <v>33431.32</v>
      </c>
      <c r="AJ1094">
        <v>4112.58</v>
      </c>
      <c r="AK1094">
        <v>13</v>
      </c>
      <c r="AL1094">
        <v>47</v>
      </c>
      <c r="AM1094" t="str">
        <v>Tarjeta</v>
      </c>
      <c r="AN1094" t="str">
        <v>Entregada</v>
      </c>
      <c r="AO1094">
        <v>5</v>
      </c>
    </row>
    <row r="1095" spans="1:41" x14ac:dyDescent="0.3">
      <c r="A1095" t="s">
        <v>1133</v>
      </c>
      <c r="B1095" s="8">
        <v>46052</v>
      </c>
      <c r="C1095" s="2">
        <v>0.47986111111111113</v>
      </c>
      <c r="D1095" t="s">
        <v>21</v>
      </c>
      <c r="E1095" t="s">
        <v>22</v>
      </c>
      <c r="F1095" t="s">
        <v>34</v>
      </c>
      <c r="G1095">
        <v>2</v>
      </c>
      <c r="H1095" s="6">
        <v>26637.24</v>
      </c>
      <c r="I1095" s="6">
        <v>3422.38</v>
      </c>
      <c r="J1095">
        <v>20</v>
      </c>
      <c r="K1095">
        <v>42</v>
      </c>
      <c r="L1095" t="s">
        <v>24</v>
      </c>
      <c r="M1095" t="s">
        <v>25</v>
      </c>
      <c r="N1095">
        <v>3</v>
      </c>
      <c r="O1095" s="4"/>
      <c r="P1095" s="4" t="str">
        <f>IF(Data_Set_2[[#This Row],[valor_bruto]]&gt;$W$13,"OUTLIER+","")</f>
        <v/>
      </c>
      <c r="Q1095" s="4" t="str">
        <f>IF(Data_Set_2[[#This Row],[valor_bruto]]&lt;$W$14,"OUTLIER-","")</f>
        <v/>
      </c>
      <c r="R1095" s="4"/>
      <c r="S1095" s="4"/>
      <c r="T1095">
        <v>8</v>
      </c>
      <c r="U1095">
        <v>21</v>
      </c>
      <c r="V1095">
        <v>2025</v>
      </c>
      <c r="W1095" s="1">
        <f t="shared" si="2"/>
        <v>45890</v>
      </c>
      <c r="AB1095" t="str">
        <v>RES-101093</v>
      </c>
      <c r="AC1095">
        <v>46052</v>
      </c>
      <c r="AD1095">
        <v>0.47986111111111113</v>
      </c>
      <c r="AE1095" t="str">
        <v>Poblado</v>
      </c>
      <c r="AF1095" t="str">
        <v>Domicilio</v>
      </c>
      <c r="AG1095" t="str">
        <v>Vegano</v>
      </c>
      <c r="AH1095">
        <v>2</v>
      </c>
      <c r="AI1095">
        <v>26637.24</v>
      </c>
      <c r="AJ1095">
        <v>3422.38</v>
      </c>
      <c r="AK1095">
        <v>20</v>
      </c>
      <c r="AL1095">
        <v>42</v>
      </c>
      <c r="AM1095" t="str">
        <v>Efectivo</v>
      </c>
      <c r="AN1095" t="str">
        <v>Cancelada</v>
      </c>
      <c r="AO1095">
        <v>3</v>
      </c>
    </row>
    <row r="1096" spans="1:41" x14ac:dyDescent="0.3">
      <c r="A1096" t="s">
        <v>1134</v>
      </c>
      <c r="B1096" s="8">
        <v>46053</v>
      </c>
      <c r="C1096" s="2">
        <v>0.52638888888888891</v>
      </c>
      <c r="D1096" t="s">
        <v>27</v>
      </c>
      <c r="E1096" t="s">
        <v>28</v>
      </c>
      <c r="F1096" t="s">
        <v>36</v>
      </c>
      <c r="G1096">
        <v>3</v>
      </c>
      <c r="H1096" s="6">
        <v>37065.160000000003</v>
      </c>
      <c r="I1096" s="6">
        <v>7049.09</v>
      </c>
      <c r="J1096">
        <v>15</v>
      </c>
      <c r="K1096">
        <v>52</v>
      </c>
      <c r="L1096" t="s">
        <v>30</v>
      </c>
      <c r="M1096" t="s">
        <v>31</v>
      </c>
      <c r="N1096">
        <v>4</v>
      </c>
      <c r="O1096" s="4"/>
      <c r="P1096" s="4" t="str">
        <f>IF(Data_Set_2[[#This Row],[valor_bruto]]&gt;$W$13,"OUTLIER+","")</f>
        <v/>
      </c>
      <c r="Q1096" s="4" t="str">
        <f>IF(Data_Set_2[[#This Row],[valor_bruto]]&lt;$W$14,"OUTLIER-","")</f>
        <v/>
      </c>
      <c r="R1096" s="4"/>
      <c r="S1096" s="4"/>
      <c r="T1096">
        <v>8</v>
      </c>
      <c r="U1096">
        <v>22</v>
      </c>
      <c r="V1096">
        <v>2025</v>
      </c>
      <c r="W1096" s="1">
        <f t="shared" si="2"/>
        <v>45891</v>
      </c>
      <c r="AB1096" t="str">
        <v>RES-101094</v>
      </c>
      <c r="AC1096">
        <v>46053</v>
      </c>
      <c r="AD1096">
        <v>0.52638888888888891</v>
      </c>
      <c r="AE1096" t="str">
        <v>Centro</v>
      </c>
      <c r="AF1096" t="str">
        <v>Recoge</v>
      </c>
      <c r="AG1096" t="str">
        <v>Bebidas</v>
      </c>
      <c r="AH1096">
        <v>3</v>
      </c>
      <c r="AI1096">
        <v>37065.160000000003</v>
      </c>
      <c r="AJ1096">
        <v>7049.09</v>
      </c>
      <c r="AK1096">
        <v>15</v>
      </c>
      <c r="AL1096">
        <v>52</v>
      </c>
      <c r="AM1096" t="str">
        <v>App</v>
      </c>
      <c r="AN1096" t="str">
        <v>Reembolsada</v>
      </c>
      <c r="AO1096">
        <v>4</v>
      </c>
    </row>
    <row r="1097" spans="1:41" x14ac:dyDescent="0.3">
      <c r="A1097" t="s">
        <v>1135</v>
      </c>
      <c r="B1097" s="8">
        <v>45689</v>
      </c>
      <c r="C1097" s="2">
        <v>0.57291666666666663</v>
      </c>
      <c r="D1097" t="s">
        <v>33</v>
      </c>
      <c r="E1097" t="s">
        <v>16</v>
      </c>
      <c r="F1097" t="s">
        <v>17</v>
      </c>
      <c r="G1097">
        <v>6</v>
      </c>
      <c r="H1097" s="6">
        <v>61053.03</v>
      </c>
      <c r="I1097" s="6">
        <v>6152.03</v>
      </c>
      <c r="J1097">
        <v>18</v>
      </c>
      <c r="K1097">
        <v>48</v>
      </c>
      <c r="L1097" t="s">
        <v>18</v>
      </c>
      <c r="M1097" t="s">
        <v>19</v>
      </c>
      <c r="N1097">
        <v>4</v>
      </c>
      <c r="O1097" s="4"/>
      <c r="P1097" s="4" t="str">
        <f>IF(Data_Set_2[[#This Row],[valor_bruto]]&gt;$W$13,"OUTLIER+","")</f>
        <v/>
      </c>
      <c r="Q1097" s="4" t="str">
        <f>IF(Data_Set_2[[#This Row],[valor_bruto]]&lt;$W$14,"OUTLIER-","")</f>
        <v/>
      </c>
      <c r="R1097" s="4"/>
      <c r="S1097" s="4"/>
      <c r="T1097">
        <v>8</v>
      </c>
      <c r="U1097">
        <v>23</v>
      </c>
      <c r="V1097">
        <v>2025</v>
      </c>
      <c r="W1097" s="1">
        <f t="shared" si="2"/>
        <v>45892</v>
      </c>
      <c r="AB1097" t="str">
        <v>RES-101095</v>
      </c>
      <c r="AC1097">
        <v>45689</v>
      </c>
      <c r="AD1097">
        <v>0.57291666666666663</v>
      </c>
      <c r="AE1097" t="str">
        <v>Envigado</v>
      </c>
      <c r="AF1097" t="str">
        <v>Mesa</v>
      </c>
      <c r="AG1097" t="str">
        <v>Comida rapida</v>
      </c>
      <c r="AH1097">
        <v>6</v>
      </c>
      <c r="AI1097">
        <v>61053.03</v>
      </c>
      <c r="AJ1097">
        <v>6152.03</v>
      </c>
      <c r="AK1097">
        <v>18</v>
      </c>
      <c r="AL1097">
        <v>48</v>
      </c>
      <c r="AM1097" t="str">
        <v>Tarjeta</v>
      </c>
      <c r="AN1097" t="str">
        <v>Entregada</v>
      </c>
      <c r="AO1097">
        <v>4</v>
      </c>
    </row>
    <row r="1098" spans="1:41" x14ac:dyDescent="0.3">
      <c r="A1098" t="s">
        <v>1136</v>
      </c>
      <c r="B1098" s="8">
        <v>45690</v>
      </c>
      <c r="C1098" s="2">
        <v>0.61944444444444446</v>
      </c>
      <c r="D1098" t="s">
        <v>15</v>
      </c>
      <c r="E1098" t="s">
        <v>22</v>
      </c>
      <c r="F1098" t="s">
        <v>23</v>
      </c>
      <c r="G1098">
        <v>2</v>
      </c>
      <c r="H1098" s="6">
        <v>58369.279999999999</v>
      </c>
      <c r="I1098" s="6">
        <v>7280.07</v>
      </c>
      <c r="J1098">
        <v>21</v>
      </c>
      <c r="K1098">
        <v>32</v>
      </c>
      <c r="L1098" t="s">
        <v>24</v>
      </c>
      <c r="M1098" t="s">
        <v>25</v>
      </c>
      <c r="N1098">
        <v>3</v>
      </c>
      <c r="O1098" s="4"/>
      <c r="P1098" s="4" t="str">
        <f>IF(Data_Set_2[[#This Row],[valor_bruto]]&gt;$W$13,"OUTLIER+","")</f>
        <v/>
      </c>
      <c r="Q1098" s="4" t="str">
        <f>IF(Data_Set_2[[#This Row],[valor_bruto]]&lt;$W$14,"OUTLIER-","")</f>
        <v/>
      </c>
      <c r="R1098" s="4"/>
      <c r="S1098" s="4"/>
      <c r="T1098">
        <v>8</v>
      </c>
      <c r="U1098">
        <v>24</v>
      </c>
      <c r="V1098">
        <v>2025</v>
      </c>
      <c r="W1098" s="1">
        <f t="shared" si="2"/>
        <v>45893</v>
      </c>
      <c r="AB1098" t="str">
        <v>RES-101096</v>
      </c>
      <c r="AC1098">
        <v>45690</v>
      </c>
      <c r="AD1098">
        <v>0.61944444444444446</v>
      </c>
      <c r="AE1098" t="str">
        <v>Laureles</v>
      </c>
      <c r="AF1098" t="str">
        <v>Domicilio</v>
      </c>
      <c r="AG1098" t="str">
        <v>Pasta</v>
      </c>
      <c r="AH1098">
        <v>2</v>
      </c>
      <c r="AI1098">
        <v>58369.279999999999</v>
      </c>
      <c r="AJ1098">
        <v>7280.07</v>
      </c>
      <c r="AK1098">
        <v>21</v>
      </c>
      <c r="AL1098">
        <v>32</v>
      </c>
      <c r="AM1098" t="str">
        <v>Efectivo</v>
      </c>
      <c r="AN1098" t="str">
        <v>Cancelada</v>
      </c>
      <c r="AO1098">
        <v>3</v>
      </c>
    </row>
    <row r="1099" spans="1:41" x14ac:dyDescent="0.3">
      <c r="A1099" t="s">
        <v>1137</v>
      </c>
      <c r="B1099" s="8">
        <v>45718</v>
      </c>
      <c r="C1099" s="2">
        <v>0.66597222222222219</v>
      </c>
      <c r="D1099" t="s">
        <v>21</v>
      </c>
      <c r="E1099" t="s">
        <v>28</v>
      </c>
      <c r="F1099" t="s">
        <v>29</v>
      </c>
      <c r="G1099">
        <v>4</v>
      </c>
      <c r="H1099" s="6">
        <v>63471.01</v>
      </c>
      <c r="I1099" s="6">
        <v>3252.1</v>
      </c>
      <c r="J1099">
        <v>13</v>
      </c>
      <c r="K1099">
        <v>50</v>
      </c>
      <c r="L1099" t="s">
        <v>30</v>
      </c>
      <c r="M1099" t="s">
        <v>31</v>
      </c>
      <c r="N1099">
        <v>4</v>
      </c>
      <c r="O1099" s="4"/>
      <c r="P1099" s="4" t="str">
        <f>IF(Data_Set_2[[#This Row],[valor_bruto]]&gt;$W$13,"OUTLIER+","")</f>
        <v/>
      </c>
      <c r="Q1099" s="4" t="str">
        <f>IF(Data_Set_2[[#This Row],[valor_bruto]]&lt;$W$14,"OUTLIER-","")</f>
        <v/>
      </c>
      <c r="R1099" s="4"/>
      <c r="S1099" s="4"/>
      <c r="T1099">
        <v>8</v>
      </c>
      <c r="U1099">
        <v>25</v>
      </c>
      <c r="V1099">
        <v>2025</v>
      </c>
      <c r="W1099" s="1">
        <f t="shared" si="2"/>
        <v>45894</v>
      </c>
      <c r="AB1099" t="str">
        <v>RES-101097</v>
      </c>
      <c r="AC1099">
        <v>45718</v>
      </c>
      <c r="AD1099">
        <v>0.66597222222222219</v>
      </c>
      <c r="AE1099" t="str">
        <v>Poblado</v>
      </c>
      <c r="AF1099" t="str">
        <v>Recoge</v>
      </c>
      <c r="AG1099" t="str">
        <v>Parrilla</v>
      </c>
      <c r="AH1099">
        <v>4</v>
      </c>
      <c r="AI1099">
        <v>63471.01</v>
      </c>
      <c r="AJ1099">
        <v>3252.1</v>
      </c>
      <c r="AK1099">
        <v>13</v>
      </c>
      <c r="AL1099">
        <v>50</v>
      </c>
      <c r="AM1099" t="str">
        <v>App</v>
      </c>
      <c r="AN1099" t="str">
        <v>Reembolsada</v>
      </c>
      <c r="AO1099">
        <v>4</v>
      </c>
    </row>
    <row r="1100" spans="1:41" x14ac:dyDescent="0.3">
      <c r="A1100" t="s">
        <v>1138</v>
      </c>
      <c r="B1100" s="8">
        <v>45692</v>
      </c>
      <c r="C1100" s="2">
        <v>0.67083333333333328</v>
      </c>
      <c r="D1100" t="s">
        <v>27</v>
      </c>
      <c r="E1100" t="s">
        <v>16</v>
      </c>
      <c r="F1100" t="s">
        <v>34</v>
      </c>
      <c r="G1100">
        <v>3</v>
      </c>
      <c r="H1100" s="6">
        <v>67935.199999999997</v>
      </c>
      <c r="I1100" s="6">
        <v>7894.07</v>
      </c>
      <c r="J1100">
        <v>29</v>
      </c>
      <c r="K1100">
        <v>52</v>
      </c>
      <c r="L1100" t="s">
        <v>18</v>
      </c>
      <c r="M1100" t="s">
        <v>19</v>
      </c>
      <c r="N1100">
        <v>4</v>
      </c>
      <c r="O1100" s="4"/>
      <c r="P1100" s="4" t="str">
        <f>IF(Data_Set_2[[#This Row],[valor_bruto]]&gt;$W$13,"OUTLIER+","")</f>
        <v/>
      </c>
      <c r="Q1100" s="4" t="str">
        <f>IF(Data_Set_2[[#This Row],[valor_bruto]]&lt;$W$14,"OUTLIER-","")</f>
        <v/>
      </c>
      <c r="R1100" s="4"/>
      <c r="S1100" s="4"/>
      <c r="T1100">
        <v>8</v>
      </c>
      <c r="U1100">
        <v>26</v>
      </c>
      <c r="V1100">
        <v>2025</v>
      </c>
      <c r="W1100" s="1">
        <f t="shared" si="2"/>
        <v>45895</v>
      </c>
      <c r="AB1100" t="str">
        <v>RES-101098</v>
      </c>
      <c r="AC1100">
        <v>45692</v>
      </c>
      <c r="AD1100">
        <v>0.67083333333333328</v>
      </c>
      <c r="AE1100" t="str">
        <v>Centro</v>
      </c>
      <c r="AF1100" t="str">
        <v>Mesa</v>
      </c>
      <c r="AG1100" t="str">
        <v>Vegano</v>
      </c>
      <c r="AH1100">
        <v>3</v>
      </c>
      <c r="AI1100">
        <v>67935.199999999997</v>
      </c>
      <c r="AJ1100">
        <v>7894.07</v>
      </c>
      <c r="AK1100">
        <v>29</v>
      </c>
      <c r="AL1100">
        <v>52</v>
      </c>
      <c r="AM1100" t="str">
        <v>Tarjeta</v>
      </c>
      <c r="AN1100" t="str">
        <v>Entregada</v>
      </c>
      <c r="AO1100">
        <v>4</v>
      </c>
    </row>
    <row r="1101" spans="1:41" x14ac:dyDescent="0.3">
      <c r="A1101" t="s">
        <v>1139</v>
      </c>
      <c r="B1101" s="8">
        <v>45693</v>
      </c>
      <c r="C1101" s="2">
        <v>0.71736111111111112</v>
      </c>
      <c r="D1101" t="s">
        <v>33</v>
      </c>
      <c r="E1101" t="s">
        <v>22</v>
      </c>
      <c r="F1101" t="s">
        <v>36</v>
      </c>
      <c r="G1101">
        <v>5</v>
      </c>
      <c r="H1101" s="6">
        <v>32676.41</v>
      </c>
      <c r="I1101" s="6">
        <v>671.36</v>
      </c>
      <c r="J1101">
        <v>19</v>
      </c>
      <c r="K1101">
        <v>38</v>
      </c>
      <c r="L1101" t="s">
        <v>24</v>
      </c>
      <c r="M1101" t="s">
        <v>25</v>
      </c>
      <c r="N1101">
        <v>3</v>
      </c>
      <c r="O1101" s="4"/>
      <c r="P1101" s="4" t="str">
        <f>IF(Data_Set_2[[#This Row],[valor_bruto]]&gt;$W$13,"OUTLIER+","")</f>
        <v/>
      </c>
      <c r="Q1101" s="4" t="str">
        <f>IF(Data_Set_2[[#This Row],[valor_bruto]]&lt;$W$14,"OUTLIER-","")</f>
        <v/>
      </c>
      <c r="R1101" s="4"/>
      <c r="S1101" s="4"/>
      <c r="T1101">
        <v>8</v>
      </c>
      <c r="U1101">
        <v>27</v>
      </c>
      <c r="V1101">
        <v>2025</v>
      </c>
      <c r="W1101" s="1">
        <f t="shared" si="2"/>
        <v>45896</v>
      </c>
      <c r="AB1101" t="str">
        <v>RES-101099</v>
      </c>
      <c r="AC1101">
        <v>45693</v>
      </c>
      <c r="AD1101">
        <v>0.71736111111111112</v>
      </c>
      <c r="AE1101" t="str">
        <v>Envigado</v>
      </c>
      <c r="AF1101" t="str">
        <v>Domicilio</v>
      </c>
      <c r="AG1101" t="str">
        <v>Bebidas</v>
      </c>
      <c r="AH1101">
        <v>5</v>
      </c>
      <c r="AI1101">
        <v>32676.41</v>
      </c>
      <c r="AJ1101">
        <v>671.36</v>
      </c>
      <c r="AK1101">
        <v>19</v>
      </c>
      <c r="AL1101">
        <v>38</v>
      </c>
      <c r="AM1101" t="str">
        <v>Efectivo</v>
      </c>
      <c r="AN1101" t="str">
        <v>Cancelada</v>
      </c>
      <c r="AO1101">
        <v>3</v>
      </c>
    </row>
    <row r="1102" spans="1:41" x14ac:dyDescent="0.3">
      <c r="A1102" t="s">
        <v>1140</v>
      </c>
      <c r="B1102" s="8">
        <v>45810</v>
      </c>
      <c r="C1102" s="2">
        <v>0.76388888888888884</v>
      </c>
      <c r="D1102" t="s">
        <v>15</v>
      </c>
      <c r="E1102" t="s">
        <v>28</v>
      </c>
      <c r="F1102" t="s">
        <v>17</v>
      </c>
      <c r="G1102">
        <v>6</v>
      </c>
      <c r="H1102" s="6">
        <v>38125.58</v>
      </c>
      <c r="I1102" s="6">
        <v>5247.72</v>
      </c>
      <c r="J1102">
        <v>13</v>
      </c>
      <c r="K1102">
        <v>38</v>
      </c>
      <c r="L1102" t="s">
        <v>30</v>
      </c>
      <c r="M1102" t="s">
        <v>31</v>
      </c>
      <c r="N1102">
        <v>4</v>
      </c>
      <c r="O1102" s="4"/>
      <c r="P1102" s="4" t="str">
        <f>IF(Data_Set_2[[#This Row],[valor_bruto]]&gt;$W$13,"OUTLIER+","")</f>
        <v/>
      </c>
      <c r="Q1102" s="4" t="str">
        <f>IF(Data_Set_2[[#This Row],[valor_bruto]]&lt;$W$14,"OUTLIER-","")</f>
        <v/>
      </c>
      <c r="R1102" s="4"/>
      <c r="S1102" s="4"/>
      <c r="T1102">
        <v>8</v>
      </c>
      <c r="U1102">
        <v>28</v>
      </c>
      <c r="V1102">
        <v>2025</v>
      </c>
      <c r="W1102" s="1">
        <f t="shared" si="2"/>
        <v>45897</v>
      </c>
      <c r="AB1102" t="str">
        <v>RES-101100</v>
      </c>
      <c r="AC1102">
        <v>45810</v>
      </c>
      <c r="AD1102">
        <v>0.76388888888888884</v>
      </c>
      <c r="AE1102" t="str">
        <v>Laureles</v>
      </c>
      <c r="AF1102" t="str">
        <v>Recoge</v>
      </c>
      <c r="AG1102" t="str">
        <v>Comida rapida</v>
      </c>
      <c r="AH1102">
        <v>6</v>
      </c>
      <c r="AI1102">
        <v>38125.58</v>
      </c>
      <c r="AJ1102">
        <v>5247.72</v>
      </c>
      <c r="AK1102">
        <v>13</v>
      </c>
      <c r="AL1102">
        <v>38</v>
      </c>
      <c r="AM1102" t="str">
        <v>App</v>
      </c>
      <c r="AN1102" t="str">
        <v>Reembolsada</v>
      </c>
      <c r="AO1102">
        <v>4</v>
      </c>
    </row>
    <row r="1103" spans="1:41" x14ac:dyDescent="0.3">
      <c r="A1103" t="s">
        <v>1141</v>
      </c>
      <c r="B1103" s="8">
        <v>45695</v>
      </c>
      <c r="C1103" s="2">
        <v>0.81041666666666667</v>
      </c>
      <c r="D1103" t="s">
        <v>21</v>
      </c>
      <c r="E1103" t="s">
        <v>16</v>
      </c>
      <c r="F1103" t="s">
        <v>23</v>
      </c>
      <c r="G1103">
        <v>3</v>
      </c>
      <c r="H1103" s="6">
        <v>28365.13</v>
      </c>
      <c r="I1103" s="6">
        <v>6442.9</v>
      </c>
      <c r="J1103">
        <v>20</v>
      </c>
      <c r="K1103">
        <v>26</v>
      </c>
      <c r="L1103" t="s">
        <v>18</v>
      </c>
      <c r="M1103" t="s">
        <v>19</v>
      </c>
      <c r="N1103">
        <v>3</v>
      </c>
      <c r="O1103" s="4"/>
      <c r="P1103" s="4" t="str">
        <f>IF(Data_Set_2[[#This Row],[valor_bruto]]&gt;$W$13,"OUTLIER+","")</f>
        <v/>
      </c>
      <c r="Q1103" s="4" t="str">
        <f>IF(Data_Set_2[[#This Row],[valor_bruto]]&lt;$W$14,"OUTLIER-","")</f>
        <v/>
      </c>
      <c r="R1103" s="4"/>
      <c r="S1103" s="4"/>
      <c r="T1103">
        <v>8</v>
      </c>
      <c r="U1103">
        <v>29</v>
      </c>
      <c r="V1103">
        <v>2025</v>
      </c>
      <c r="W1103" s="1">
        <f t="shared" si="2"/>
        <v>45898</v>
      </c>
      <c r="AB1103" t="str">
        <v>RES-101101</v>
      </c>
      <c r="AC1103">
        <v>45695</v>
      </c>
      <c r="AD1103">
        <v>0.81041666666666667</v>
      </c>
      <c r="AE1103" t="str">
        <v>Poblado</v>
      </c>
      <c r="AF1103" t="str">
        <v>Mesa</v>
      </c>
      <c r="AG1103" t="str">
        <v>Pasta</v>
      </c>
      <c r="AH1103">
        <v>3</v>
      </c>
      <c r="AI1103">
        <v>28365.13</v>
      </c>
      <c r="AJ1103">
        <v>6442.9</v>
      </c>
      <c r="AK1103">
        <v>20</v>
      </c>
      <c r="AL1103">
        <v>26</v>
      </c>
      <c r="AM1103" t="str">
        <v>Tarjeta</v>
      </c>
      <c r="AN1103" t="str">
        <v>Entregada</v>
      </c>
      <c r="AO1103">
        <v>3</v>
      </c>
    </row>
    <row r="1104" spans="1:41" x14ac:dyDescent="0.3">
      <c r="A1104" t="s">
        <v>1142</v>
      </c>
      <c r="B1104" s="8">
        <v>45696</v>
      </c>
      <c r="C1104" s="2">
        <v>0.8569444444444444</v>
      </c>
      <c r="D1104" t="s">
        <v>27</v>
      </c>
      <c r="E1104" t="s">
        <v>22</v>
      </c>
      <c r="F1104" t="s">
        <v>29</v>
      </c>
      <c r="G1104">
        <v>5</v>
      </c>
      <c r="H1104" s="6">
        <v>49266.726966101662</v>
      </c>
      <c r="I1104" s="6">
        <v>1823.43</v>
      </c>
      <c r="J1104">
        <v>22</v>
      </c>
      <c r="K1104">
        <v>24</v>
      </c>
      <c r="L1104" t="s">
        <v>24</v>
      </c>
      <c r="M1104" t="s">
        <v>25</v>
      </c>
      <c r="N1104">
        <v>3</v>
      </c>
      <c r="O1104" s="4"/>
      <c r="P1104" s="4" t="str">
        <f>IF(Data_Set_2[[#This Row],[valor_bruto]]&gt;$W$13,"OUTLIER+","")</f>
        <v/>
      </c>
      <c r="Q1104" s="4" t="str">
        <f>IF(Data_Set_2[[#This Row],[valor_bruto]]&lt;$W$14,"OUTLIER-","")</f>
        <v/>
      </c>
      <c r="R1104" s="4"/>
      <c r="S1104" s="4"/>
      <c r="T1104">
        <v>8</v>
      </c>
      <c r="U1104">
        <v>30</v>
      </c>
      <c r="V1104">
        <v>2025</v>
      </c>
      <c r="W1104" s="1">
        <f t="shared" si="2"/>
        <v>45899</v>
      </c>
      <c r="AB1104" t="str">
        <v>RES-101102</v>
      </c>
      <c r="AC1104">
        <v>45696</v>
      </c>
      <c r="AD1104">
        <v>0.8569444444444444</v>
      </c>
      <c r="AE1104" t="str">
        <v>Centro</v>
      </c>
      <c r="AF1104" t="str">
        <v>Domicilio</v>
      </c>
      <c r="AG1104" t="str">
        <v>Parrilla</v>
      </c>
      <c r="AH1104">
        <v>5</v>
      </c>
      <c r="AI1104">
        <v>49266.726966101662</v>
      </c>
      <c r="AJ1104">
        <v>1823.43</v>
      </c>
      <c r="AK1104">
        <v>22</v>
      </c>
      <c r="AL1104">
        <v>24</v>
      </c>
      <c r="AM1104" t="str">
        <v>Efectivo</v>
      </c>
      <c r="AN1104" t="str">
        <v>Cancelada</v>
      </c>
      <c r="AO1104">
        <v>3</v>
      </c>
    </row>
    <row r="1105" spans="1:41" x14ac:dyDescent="0.3">
      <c r="A1105" t="s">
        <v>1143</v>
      </c>
      <c r="B1105" s="8">
        <v>45902</v>
      </c>
      <c r="C1105" s="2">
        <v>0.90347222222222223</v>
      </c>
      <c r="D1105" t="s">
        <v>33</v>
      </c>
      <c r="E1105" t="s">
        <v>28</v>
      </c>
      <c r="F1105" t="s">
        <v>34</v>
      </c>
      <c r="G1105">
        <v>2</v>
      </c>
      <c r="H1105" s="6">
        <v>62512.85</v>
      </c>
      <c r="I1105" s="6">
        <v>6675.49</v>
      </c>
      <c r="J1105">
        <v>17</v>
      </c>
      <c r="K1105">
        <v>40</v>
      </c>
      <c r="L1105" t="s">
        <v>30</v>
      </c>
      <c r="M1105" t="s">
        <v>31</v>
      </c>
      <c r="N1105">
        <v>4</v>
      </c>
      <c r="O1105" s="4"/>
      <c r="P1105" s="4" t="str">
        <f>IF(Data_Set_2[[#This Row],[valor_bruto]]&gt;$W$13,"OUTLIER+","")</f>
        <v/>
      </c>
      <c r="Q1105" s="4" t="str">
        <f>IF(Data_Set_2[[#This Row],[valor_bruto]]&lt;$W$14,"OUTLIER-","")</f>
        <v/>
      </c>
      <c r="R1105" s="4"/>
      <c r="S1105" s="4"/>
      <c r="T1105">
        <v>8</v>
      </c>
      <c r="U1105">
        <v>31</v>
      </c>
      <c r="V1105">
        <v>2025</v>
      </c>
      <c r="W1105" s="1">
        <f t="shared" si="2"/>
        <v>45900</v>
      </c>
      <c r="AB1105" t="str">
        <v>RES-101103</v>
      </c>
      <c r="AC1105">
        <v>45902</v>
      </c>
      <c r="AD1105">
        <v>0.90347222222222223</v>
      </c>
      <c r="AE1105" t="str">
        <v>Envigado</v>
      </c>
      <c r="AF1105" t="str">
        <v>Recoge</v>
      </c>
      <c r="AG1105" t="str">
        <v>Vegano</v>
      </c>
      <c r="AH1105">
        <v>2</v>
      </c>
      <c r="AI1105">
        <v>62512.85</v>
      </c>
      <c r="AJ1105">
        <v>6675.49</v>
      </c>
      <c r="AK1105">
        <v>17</v>
      </c>
      <c r="AL1105">
        <v>40</v>
      </c>
      <c r="AM1105" t="str">
        <v>App</v>
      </c>
      <c r="AN1105" t="str">
        <v>Reembolsada</v>
      </c>
      <c r="AO1105">
        <v>4</v>
      </c>
    </row>
    <row r="1106" spans="1:41" x14ac:dyDescent="0.3">
      <c r="A1106" t="s">
        <v>1144</v>
      </c>
      <c r="B1106" s="8">
        <v>45698</v>
      </c>
      <c r="C1106" s="2">
        <v>0.45</v>
      </c>
      <c r="D1106" t="s">
        <v>15</v>
      </c>
      <c r="E1106" t="s">
        <v>16</v>
      </c>
      <c r="F1106" t="s">
        <v>36</v>
      </c>
      <c r="G1106">
        <v>3</v>
      </c>
      <c r="H1106" s="6">
        <v>36343.83</v>
      </c>
      <c r="I1106" s="6">
        <v>6686.41</v>
      </c>
      <c r="J1106">
        <v>28</v>
      </c>
      <c r="K1106">
        <v>48</v>
      </c>
      <c r="L1106" t="s">
        <v>18</v>
      </c>
      <c r="M1106" t="s">
        <v>19</v>
      </c>
      <c r="N1106">
        <v>3</v>
      </c>
      <c r="O1106" s="4"/>
      <c r="P1106" s="4" t="str">
        <f>IF(Data_Set_2[[#This Row],[valor_bruto]]&gt;$W$13,"OUTLIER+","")</f>
        <v/>
      </c>
      <c r="Q1106" s="4" t="str">
        <f>IF(Data_Set_2[[#This Row],[valor_bruto]]&lt;$W$14,"OUTLIER-","")</f>
        <v/>
      </c>
      <c r="R1106" s="4"/>
      <c r="S1106" s="4"/>
      <c r="T1106">
        <v>9</v>
      </c>
      <c r="U1106">
        <v>13</v>
      </c>
      <c r="V1106">
        <v>2025</v>
      </c>
      <c r="W1106" s="1">
        <f t="shared" si="2"/>
        <v>45913</v>
      </c>
      <c r="AB1106" t="str">
        <v>RES-101104</v>
      </c>
      <c r="AC1106">
        <v>45698</v>
      </c>
      <c r="AD1106">
        <v>0.45</v>
      </c>
      <c r="AE1106" t="str">
        <v>Laureles</v>
      </c>
      <c r="AF1106" t="str">
        <v>Mesa</v>
      </c>
      <c r="AG1106" t="str">
        <v>Bebidas</v>
      </c>
      <c r="AH1106">
        <v>3</v>
      </c>
      <c r="AI1106">
        <v>36343.83</v>
      </c>
      <c r="AJ1106">
        <v>6686.41</v>
      </c>
      <c r="AK1106">
        <v>28</v>
      </c>
      <c r="AL1106">
        <v>48</v>
      </c>
      <c r="AM1106" t="str">
        <v>Tarjeta</v>
      </c>
      <c r="AN1106" t="str">
        <v>Entregada</v>
      </c>
      <c r="AO1106">
        <v>3</v>
      </c>
    </row>
    <row r="1107" spans="1:41" x14ac:dyDescent="0.3">
      <c r="A1107" t="s">
        <v>1145</v>
      </c>
      <c r="B1107" s="8">
        <v>45699</v>
      </c>
      <c r="C1107" s="2">
        <v>0.49652777777777779</v>
      </c>
      <c r="D1107" t="s">
        <v>21</v>
      </c>
      <c r="E1107" t="s">
        <v>22</v>
      </c>
      <c r="F1107" t="s">
        <v>17</v>
      </c>
      <c r="G1107">
        <v>5</v>
      </c>
      <c r="H1107" s="6">
        <v>57464</v>
      </c>
      <c r="I1107" s="6">
        <v>4574.08</v>
      </c>
      <c r="J1107">
        <v>16</v>
      </c>
      <c r="K1107">
        <v>29</v>
      </c>
      <c r="L1107" t="s">
        <v>24</v>
      </c>
      <c r="M1107" t="s">
        <v>25</v>
      </c>
      <c r="N1107">
        <v>4</v>
      </c>
      <c r="O1107" s="4"/>
      <c r="P1107" s="4" t="str">
        <f>IF(Data_Set_2[[#This Row],[valor_bruto]]&gt;$W$13,"OUTLIER+","")</f>
        <v/>
      </c>
      <c r="Q1107" s="4" t="str">
        <f>IF(Data_Set_2[[#This Row],[valor_bruto]]&lt;$W$14,"OUTLIER-","")</f>
        <v/>
      </c>
      <c r="R1107" s="4"/>
      <c r="S1107" s="4"/>
      <c r="T1107">
        <v>9</v>
      </c>
      <c r="U1107">
        <v>14</v>
      </c>
      <c r="V1107">
        <v>2025</v>
      </c>
      <c r="W1107" s="1">
        <f t="shared" si="2"/>
        <v>45914</v>
      </c>
      <c r="AB1107" t="str">
        <v>RES-101105</v>
      </c>
      <c r="AC1107">
        <v>45699</v>
      </c>
      <c r="AD1107">
        <v>0.49652777777777779</v>
      </c>
      <c r="AE1107" t="str">
        <v>Poblado</v>
      </c>
      <c r="AF1107" t="str">
        <v>Domicilio</v>
      </c>
      <c r="AG1107" t="str">
        <v>Comida rapida</v>
      </c>
      <c r="AH1107">
        <v>5</v>
      </c>
      <c r="AI1107">
        <v>57464</v>
      </c>
      <c r="AJ1107">
        <v>4574.08</v>
      </c>
      <c r="AK1107">
        <v>16</v>
      </c>
      <c r="AL1107">
        <v>29</v>
      </c>
      <c r="AM1107" t="str">
        <v>Efectivo</v>
      </c>
      <c r="AN1107" t="str">
        <v>Cancelada</v>
      </c>
      <c r="AO1107">
        <v>4</v>
      </c>
    </row>
    <row r="1108" spans="1:41" x14ac:dyDescent="0.3">
      <c r="A1108" t="s">
        <v>1146</v>
      </c>
      <c r="B1108" s="8">
        <v>45993</v>
      </c>
      <c r="C1108" s="2">
        <v>0.50138888888888888</v>
      </c>
      <c r="D1108" t="s">
        <v>27</v>
      </c>
      <c r="E1108" t="s">
        <v>28</v>
      </c>
      <c r="F1108" t="s">
        <v>23</v>
      </c>
      <c r="G1108">
        <v>3</v>
      </c>
      <c r="H1108" s="6">
        <v>63426.98</v>
      </c>
      <c r="I1108" s="6">
        <v>2347.75</v>
      </c>
      <c r="J1108">
        <v>21</v>
      </c>
      <c r="K1108">
        <v>39</v>
      </c>
      <c r="L1108" t="s">
        <v>30</v>
      </c>
      <c r="M1108" t="s">
        <v>31</v>
      </c>
      <c r="N1108">
        <v>3</v>
      </c>
      <c r="O1108" s="4"/>
      <c r="P1108" s="4" t="str">
        <f>IF(Data_Set_2[[#This Row],[valor_bruto]]&gt;$W$13,"OUTLIER+","")</f>
        <v/>
      </c>
      <c r="Q1108" s="4" t="str">
        <f>IF(Data_Set_2[[#This Row],[valor_bruto]]&lt;$W$14,"OUTLIER-","")</f>
        <v/>
      </c>
      <c r="R1108" s="4"/>
      <c r="S1108" s="4"/>
      <c r="T1108">
        <v>9</v>
      </c>
      <c r="U1108">
        <v>15</v>
      </c>
      <c r="V1108">
        <v>2025</v>
      </c>
      <c r="W1108" s="1">
        <f t="shared" si="2"/>
        <v>45915</v>
      </c>
      <c r="AB1108" t="str">
        <v>RES-101106</v>
      </c>
      <c r="AC1108">
        <v>45993</v>
      </c>
      <c r="AD1108">
        <v>0.50138888888888888</v>
      </c>
      <c r="AE1108" t="str">
        <v>Centro</v>
      </c>
      <c r="AF1108" t="str">
        <v>Recoge</v>
      </c>
      <c r="AG1108" t="str">
        <v>Pasta</v>
      </c>
      <c r="AH1108">
        <v>3</v>
      </c>
      <c r="AI1108">
        <v>63426.98</v>
      </c>
      <c r="AJ1108">
        <v>2347.75</v>
      </c>
      <c r="AK1108">
        <v>21</v>
      </c>
      <c r="AL1108">
        <v>39</v>
      </c>
      <c r="AM1108" t="str">
        <v>App</v>
      </c>
      <c r="AN1108" t="str">
        <v>Reembolsada</v>
      </c>
      <c r="AO1108">
        <v>3</v>
      </c>
    </row>
    <row r="1109" spans="1:41" x14ac:dyDescent="0.3">
      <c r="A1109" t="s">
        <v>1147</v>
      </c>
      <c r="B1109" s="8">
        <v>45701</v>
      </c>
      <c r="C1109" s="2">
        <v>0.54791666666666672</v>
      </c>
      <c r="D1109" t="s">
        <v>33</v>
      </c>
      <c r="E1109" t="s">
        <v>16</v>
      </c>
      <c r="F1109" t="s">
        <v>29</v>
      </c>
      <c r="G1109">
        <v>5</v>
      </c>
      <c r="H1109" s="6">
        <v>54223.54</v>
      </c>
      <c r="I1109" s="6">
        <v>8004.81</v>
      </c>
      <c r="J1109">
        <v>28</v>
      </c>
      <c r="K1109">
        <v>44</v>
      </c>
      <c r="L1109" t="s">
        <v>18</v>
      </c>
      <c r="M1109" t="s">
        <v>19</v>
      </c>
      <c r="N1109">
        <v>3</v>
      </c>
      <c r="O1109" s="4"/>
      <c r="P1109" s="4" t="str">
        <f>IF(Data_Set_2[[#This Row],[valor_bruto]]&gt;$W$13,"OUTLIER+","")</f>
        <v/>
      </c>
      <c r="Q1109" s="4" t="str">
        <f>IF(Data_Set_2[[#This Row],[valor_bruto]]&lt;$W$14,"OUTLIER-","")</f>
        <v/>
      </c>
      <c r="R1109" s="4"/>
      <c r="S1109" s="4"/>
      <c r="T1109">
        <v>9</v>
      </c>
      <c r="U1109">
        <v>16</v>
      </c>
      <c r="V1109">
        <v>2025</v>
      </c>
      <c r="W1109" s="1">
        <f t="shared" si="2"/>
        <v>45916</v>
      </c>
      <c r="AB1109" t="str">
        <v>RES-101107</v>
      </c>
      <c r="AC1109">
        <v>45701</v>
      </c>
      <c r="AD1109">
        <v>0.54791666666666672</v>
      </c>
      <c r="AE1109" t="str">
        <v>Envigado</v>
      </c>
      <c r="AF1109" t="str">
        <v>Mesa</v>
      </c>
      <c r="AG1109" t="str">
        <v>Parrilla</v>
      </c>
      <c r="AH1109">
        <v>5</v>
      </c>
      <c r="AI1109">
        <v>54223.54</v>
      </c>
      <c r="AJ1109">
        <v>8004.81</v>
      </c>
      <c r="AK1109">
        <v>28</v>
      </c>
      <c r="AL1109">
        <v>44</v>
      </c>
      <c r="AM1109" t="str">
        <v>Tarjeta</v>
      </c>
      <c r="AN1109" t="str">
        <v>Entregada</v>
      </c>
      <c r="AO1109">
        <v>3</v>
      </c>
    </row>
    <row r="1110" spans="1:41" x14ac:dyDescent="0.3">
      <c r="A1110" t="s">
        <v>1148</v>
      </c>
      <c r="B1110" s="8">
        <v>45702</v>
      </c>
      <c r="C1110" s="2">
        <v>0.59444444444444444</v>
      </c>
      <c r="D1110" t="s">
        <v>15</v>
      </c>
      <c r="E1110" t="s">
        <v>22</v>
      </c>
      <c r="F1110" t="s">
        <v>34</v>
      </c>
      <c r="G1110">
        <v>3</v>
      </c>
      <c r="H1110" s="6">
        <v>63269.04</v>
      </c>
      <c r="I1110" s="6">
        <v>8194.4599999999991</v>
      </c>
      <c r="J1110">
        <v>14</v>
      </c>
      <c r="K1110">
        <v>51</v>
      </c>
      <c r="L1110" t="s">
        <v>24</v>
      </c>
      <c r="M1110" t="s">
        <v>25</v>
      </c>
      <c r="N1110">
        <v>5</v>
      </c>
      <c r="O1110" s="4"/>
      <c r="P1110" s="4" t="str">
        <f>IF(Data_Set_2[[#This Row],[valor_bruto]]&gt;$W$13,"OUTLIER+","")</f>
        <v/>
      </c>
      <c r="Q1110" s="4" t="str">
        <f>IF(Data_Set_2[[#This Row],[valor_bruto]]&lt;$W$14,"OUTLIER-","")</f>
        <v/>
      </c>
      <c r="R1110" s="4"/>
      <c r="S1110" s="4"/>
      <c r="T1110">
        <v>9</v>
      </c>
      <c r="U1110">
        <v>17</v>
      </c>
      <c r="V1110">
        <v>2025</v>
      </c>
      <c r="W1110" s="1">
        <f t="shared" si="2"/>
        <v>45917</v>
      </c>
      <c r="AB1110" t="str">
        <v>RES-101108</v>
      </c>
      <c r="AC1110">
        <v>45702</v>
      </c>
      <c r="AD1110">
        <v>0.59444444444444444</v>
      </c>
      <c r="AE1110" t="str">
        <v>Laureles</v>
      </c>
      <c r="AF1110" t="str">
        <v>Domicilio</v>
      </c>
      <c r="AG1110" t="str">
        <v>Vegano</v>
      </c>
      <c r="AH1110">
        <v>3</v>
      </c>
      <c r="AI1110">
        <v>63269.04</v>
      </c>
      <c r="AJ1110">
        <v>8194.4599999999991</v>
      </c>
      <c r="AK1110">
        <v>14</v>
      </c>
      <c r="AL1110">
        <v>51</v>
      </c>
      <c r="AM1110" t="str">
        <v>Efectivo</v>
      </c>
      <c r="AN1110" t="str">
        <v>Cancelada</v>
      </c>
      <c r="AO1110">
        <v>5</v>
      </c>
    </row>
    <row r="1111" spans="1:41" x14ac:dyDescent="0.3">
      <c r="A1111" t="s">
        <v>1149</v>
      </c>
      <c r="B1111" s="8">
        <v>45703</v>
      </c>
      <c r="C1111" s="2">
        <v>0.64097222222222228</v>
      </c>
      <c r="D1111" t="s">
        <v>21</v>
      </c>
      <c r="E1111" t="s">
        <v>28</v>
      </c>
      <c r="F1111" t="s">
        <v>36</v>
      </c>
      <c r="G1111">
        <v>5</v>
      </c>
      <c r="H1111" s="6">
        <v>69452.28</v>
      </c>
      <c r="I1111" s="6">
        <v>2404.33</v>
      </c>
      <c r="J1111">
        <v>28</v>
      </c>
      <c r="K1111">
        <v>29</v>
      </c>
      <c r="L1111" t="s">
        <v>30</v>
      </c>
      <c r="M1111" t="s">
        <v>31</v>
      </c>
      <c r="N1111">
        <v>5</v>
      </c>
      <c r="O1111" s="4"/>
      <c r="P1111" s="4" t="str">
        <f>IF(Data_Set_2[[#This Row],[valor_bruto]]&gt;$W$13,"OUTLIER+","")</f>
        <v/>
      </c>
      <c r="Q1111" s="4" t="str">
        <f>IF(Data_Set_2[[#This Row],[valor_bruto]]&lt;$W$14,"OUTLIER-","")</f>
        <v/>
      </c>
      <c r="R1111" s="4"/>
      <c r="S1111" s="4"/>
      <c r="T1111">
        <v>9</v>
      </c>
      <c r="U1111">
        <v>18</v>
      </c>
      <c r="V1111">
        <v>2025</v>
      </c>
      <c r="W1111" s="1">
        <f t="shared" si="2"/>
        <v>45918</v>
      </c>
      <c r="AB1111" t="str">
        <v>RES-101109</v>
      </c>
      <c r="AC1111">
        <v>45703</v>
      </c>
      <c r="AD1111">
        <v>0.64097222222222228</v>
      </c>
      <c r="AE1111" t="str">
        <v>Poblado</v>
      </c>
      <c r="AF1111" t="str">
        <v>Recoge</v>
      </c>
      <c r="AG1111" t="str">
        <v>Bebidas</v>
      </c>
      <c r="AH1111">
        <v>5</v>
      </c>
      <c r="AI1111">
        <v>69452.28</v>
      </c>
      <c r="AJ1111">
        <v>2404.33</v>
      </c>
      <c r="AK1111">
        <v>28</v>
      </c>
      <c r="AL1111">
        <v>29</v>
      </c>
      <c r="AM1111" t="str">
        <v>App</v>
      </c>
      <c r="AN1111" t="str">
        <v>Reembolsada</v>
      </c>
      <c r="AO1111">
        <v>5</v>
      </c>
    </row>
    <row r="1112" spans="1:41" x14ac:dyDescent="0.3">
      <c r="A1112" t="s">
        <v>1150</v>
      </c>
      <c r="B1112" s="8">
        <v>45704</v>
      </c>
      <c r="C1112" s="2">
        <v>0.6875</v>
      </c>
      <c r="D1112" t="s">
        <v>27</v>
      </c>
      <c r="E1112" t="s">
        <v>16</v>
      </c>
      <c r="F1112" t="s">
        <v>17</v>
      </c>
      <c r="G1112">
        <v>2</v>
      </c>
      <c r="H1112" s="6">
        <v>48607.64</v>
      </c>
      <c r="I1112" s="6">
        <v>7806.51</v>
      </c>
      <c r="J1112">
        <v>22</v>
      </c>
      <c r="K1112">
        <v>45</v>
      </c>
      <c r="L1112" t="s">
        <v>18</v>
      </c>
      <c r="M1112" t="s">
        <v>19</v>
      </c>
      <c r="N1112">
        <v>4</v>
      </c>
      <c r="O1112" s="4"/>
      <c r="P1112" s="4" t="str">
        <f>IF(Data_Set_2[[#This Row],[valor_bruto]]&gt;$W$13,"OUTLIER+","")</f>
        <v/>
      </c>
      <c r="Q1112" s="4" t="str">
        <f>IF(Data_Set_2[[#This Row],[valor_bruto]]&lt;$W$14,"OUTLIER-","")</f>
        <v/>
      </c>
      <c r="R1112" s="4"/>
      <c r="S1112" s="4"/>
      <c r="T1112">
        <v>9</v>
      </c>
      <c r="U1112">
        <v>19</v>
      </c>
      <c r="V1112">
        <v>2025</v>
      </c>
      <c r="W1112" s="1">
        <f t="shared" si="2"/>
        <v>45919</v>
      </c>
      <c r="AB1112" t="str">
        <v>RES-101110</v>
      </c>
      <c r="AC1112">
        <v>45704</v>
      </c>
      <c r="AD1112">
        <v>0.6875</v>
      </c>
      <c r="AE1112" t="str">
        <v>Centro</v>
      </c>
      <c r="AF1112" t="str">
        <v>Mesa</v>
      </c>
      <c r="AG1112" t="str">
        <v>Comida rapida</v>
      </c>
      <c r="AH1112">
        <v>2</v>
      </c>
      <c r="AI1112">
        <v>48607.64</v>
      </c>
      <c r="AJ1112">
        <v>7806.51</v>
      </c>
      <c r="AK1112">
        <v>22</v>
      </c>
      <c r="AL1112">
        <v>45</v>
      </c>
      <c r="AM1112" t="str">
        <v>Tarjeta</v>
      </c>
      <c r="AN1112" t="str">
        <v>Entregada</v>
      </c>
      <c r="AO1112">
        <v>4</v>
      </c>
    </row>
    <row r="1113" spans="1:41" x14ac:dyDescent="0.3">
      <c r="A1113" t="s">
        <v>1151</v>
      </c>
      <c r="B1113" s="8">
        <v>45705</v>
      </c>
      <c r="C1113" s="2">
        <v>0.73402777777777772</v>
      </c>
      <c r="D1113" t="s">
        <v>33</v>
      </c>
      <c r="E1113" t="s">
        <v>22</v>
      </c>
      <c r="F1113" t="s">
        <v>23</v>
      </c>
      <c r="G1113">
        <v>5</v>
      </c>
      <c r="H1113" s="6">
        <v>55548.49</v>
      </c>
      <c r="I1113" s="6">
        <v>899.86</v>
      </c>
      <c r="J1113">
        <v>30</v>
      </c>
      <c r="K1113">
        <v>27</v>
      </c>
      <c r="L1113" t="s">
        <v>24</v>
      </c>
      <c r="M1113" t="s">
        <v>25</v>
      </c>
      <c r="N1113">
        <v>4</v>
      </c>
      <c r="O1113" s="4"/>
      <c r="P1113" s="4" t="str">
        <f>IF(Data_Set_2[[#This Row],[valor_bruto]]&gt;$W$13,"OUTLIER+","")</f>
        <v/>
      </c>
      <c r="Q1113" s="4" t="str">
        <f>IF(Data_Set_2[[#This Row],[valor_bruto]]&lt;$W$14,"OUTLIER-","")</f>
        <v/>
      </c>
      <c r="R1113" s="4"/>
      <c r="S1113" s="4"/>
      <c r="T1113">
        <v>9</v>
      </c>
      <c r="U1113">
        <v>20</v>
      </c>
      <c r="V1113">
        <v>2025</v>
      </c>
      <c r="W1113" s="1">
        <f t="shared" si="2"/>
        <v>45920</v>
      </c>
      <c r="AB1113" t="str">
        <v>RES-101111</v>
      </c>
      <c r="AC1113">
        <v>45705</v>
      </c>
      <c r="AD1113">
        <v>0.73402777777777772</v>
      </c>
      <c r="AE1113" t="str">
        <v>Envigado</v>
      </c>
      <c r="AF1113" t="str">
        <v>Domicilio</v>
      </c>
      <c r="AG1113" t="str">
        <v>Pasta</v>
      </c>
      <c r="AH1113">
        <v>5</v>
      </c>
      <c r="AI1113">
        <v>55548.49</v>
      </c>
      <c r="AJ1113">
        <v>899.86</v>
      </c>
      <c r="AK1113">
        <v>30</v>
      </c>
      <c r="AL1113">
        <v>27</v>
      </c>
      <c r="AM1113" t="str">
        <v>Efectivo</v>
      </c>
      <c r="AN1113" t="str">
        <v>Cancelada</v>
      </c>
      <c r="AO1113">
        <v>4</v>
      </c>
    </row>
    <row r="1114" spans="1:41" x14ac:dyDescent="0.3">
      <c r="A1114" t="s">
        <v>1152</v>
      </c>
      <c r="B1114" s="8">
        <v>45706</v>
      </c>
      <c r="C1114" s="2">
        <v>0.78055555555555556</v>
      </c>
      <c r="D1114" t="s">
        <v>15</v>
      </c>
      <c r="E1114" t="s">
        <v>28</v>
      </c>
      <c r="F1114" t="s">
        <v>29</v>
      </c>
      <c r="G1114">
        <v>3</v>
      </c>
      <c r="H1114" s="6">
        <v>58706.91</v>
      </c>
      <c r="I1114" s="6">
        <v>4017.88</v>
      </c>
      <c r="J1114">
        <v>18</v>
      </c>
      <c r="K1114">
        <v>49</v>
      </c>
      <c r="L1114" t="s">
        <v>30</v>
      </c>
      <c r="M1114" t="s">
        <v>31</v>
      </c>
      <c r="N1114">
        <v>3</v>
      </c>
      <c r="O1114" s="4"/>
      <c r="P1114" s="4" t="str">
        <f>IF(Data_Set_2[[#This Row],[valor_bruto]]&gt;$W$13,"OUTLIER+","")</f>
        <v/>
      </c>
      <c r="Q1114" s="4" t="str">
        <f>IF(Data_Set_2[[#This Row],[valor_bruto]]&lt;$W$14,"OUTLIER-","")</f>
        <v/>
      </c>
      <c r="R1114" s="4"/>
      <c r="S1114" s="4"/>
      <c r="T1114">
        <v>9</v>
      </c>
      <c r="U1114">
        <v>21</v>
      </c>
      <c r="V1114">
        <v>2025</v>
      </c>
      <c r="W1114" s="1">
        <f t="shared" si="2"/>
        <v>45921</v>
      </c>
      <c r="AB1114" t="str">
        <v>RES-101112</v>
      </c>
      <c r="AC1114">
        <v>45706</v>
      </c>
      <c r="AD1114">
        <v>0.78055555555555556</v>
      </c>
      <c r="AE1114" t="str">
        <v>Laureles</v>
      </c>
      <c r="AF1114" t="str">
        <v>Recoge</v>
      </c>
      <c r="AG1114" t="str">
        <v>Parrilla</v>
      </c>
      <c r="AH1114">
        <v>3</v>
      </c>
      <c r="AI1114">
        <v>58706.91</v>
      </c>
      <c r="AJ1114">
        <v>4017.88</v>
      </c>
      <c r="AK1114">
        <v>18</v>
      </c>
      <c r="AL1114">
        <v>49</v>
      </c>
      <c r="AM1114" t="str">
        <v>App</v>
      </c>
      <c r="AN1114" t="str">
        <v>Reembolsada</v>
      </c>
      <c r="AO1114">
        <v>3</v>
      </c>
    </row>
    <row r="1115" spans="1:41" x14ac:dyDescent="0.3">
      <c r="A1115" t="s">
        <v>1153</v>
      </c>
      <c r="B1115" s="8">
        <v>45707</v>
      </c>
      <c r="C1115" s="2">
        <v>0.82708333333333328</v>
      </c>
      <c r="D1115" t="s">
        <v>21</v>
      </c>
      <c r="E1115" t="s">
        <v>16</v>
      </c>
      <c r="F1115" t="s">
        <v>34</v>
      </c>
      <c r="G1115">
        <v>4</v>
      </c>
      <c r="H1115" s="6">
        <v>35073.29</v>
      </c>
      <c r="I1115" s="6">
        <v>5610.24</v>
      </c>
      <c r="J1115">
        <v>16</v>
      </c>
      <c r="K1115">
        <v>28</v>
      </c>
      <c r="L1115" t="s">
        <v>18</v>
      </c>
      <c r="M1115" t="s">
        <v>19</v>
      </c>
      <c r="N1115">
        <v>4</v>
      </c>
      <c r="O1115" s="4"/>
      <c r="P1115" s="4" t="str">
        <f>IF(Data_Set_2[[#This Row],[valor_bruto]]&gt;$W$13,"OUTLIER+","")</f>
        <v/>
      </c>
      <c r="Q1115" s="4" t="str">
        <f>IF(Data_Set_2[[#This Row],[valor_bruto]]&lt;$W$14,"OUTLIER-","")</f>
        <v/>
      </c>
      <c r="R1115" s="4"/>
      <c r="S1115" s="4"/>
      <c r="T1115">
        <v>9</v>
      </c>
      <c r="U1115">
        <v>22</v>
      </c>
      <c r="V1115">
        <v>2025</v>
      </c>
      <c r="W1115" s="1">
        <f t="shared" si="2"/>
        <v>45922</v>
      </c>
      <c r="AB1115" t="str">
        <v>RES-101113</v>
      </c>
      <c r="AC1115">
        <v>45707</v>
      </c>
      <c r="AD1115">
        <v>0.82708333333333328</v>
      </c>
      <c r="AE1115" t="str">
        <v>Poblado</v>
      </c>
      <c r="AF1115" t="str">
        <v>Mesa</v>
      </c>
      <c r="AG1115" t="str">
        <v>Vegano</v>
      </c>
      <c r="AH1115">
        <v>4</v>
      </c>
      <c r="AI1115">
        <v>35073.29</v>
      </c>
      <c r="AJ1115">
        <v>5610.24</v>
      </c>
      <c r="AK1115">
        <v>16</v>
      </c>
      <c r="AL1115">
        <v>28</v>
      </c>
      <c r="AM1115" t="str">
        <v>Tarjeta</v>
      </c>
      <c r="AN1115" t="str">
        <v>Entregada</v>
      </c>
      <c r="AO1115">
        <v>4</v>
      </c>
    </row>
    <row r="1116" spans="1:41" x14ac:dyDescent="0.3">
      <c r="A1116" t="s">
        <v>1154</v>
      </c>
      <c r="B1116" s="8">
        <v>45708</v>
      </c>
      <c r="C1116" s="2">
        <v>0.87361111111111112</v>
      </c>
      <c r="D1116" t="s">
        <v>27</v>
      </c>
      <c r="E1116" t="s">
        <v>22</v>
      </c>
      <c r="F1116" t="s">
        <v>36</v>
      </c>
      <c r="G1116">
        <v>3</v>
      </c>
      <c r="H1116" s="6">
        <v>62696.65</v>
      </c>
      <c r="I1116" s="6">
        <v>1621.62</v>
      </c>
      <c r="J1116">
        <v>31</v>
      </c>
      <c r="K1116">
        <v>35</v>
      </c>
      <c r="L1116" t="s">
        <v>24</v>
      </c>
      <c r="M1116" t="s">
        <v>25</v>
      </c>
      <c r="N1116">
        <v>5</v>
      </c>
      <c r="O1116" s="4"/>
      <c r="P1116" s="4" t="str">
        <f>IF(Data_Set_2[[#This Row],[valor_bruto]]&gt;$W$13,"OUTLIER+","")</f>
        <v/>
      </c>
      <c r="Q1116" s="4" t="str">
        <f>IF(Data_Set_2[[#This Row],[valor_bruto]]&lt;$W$14,"OUTLIER-","")</f>
        <v/>
      </c>
      <c r="R1116" s="4"/>
      <c r="S1116" s="4"/>
      <c r="T1116">
        <v>9</v>
      </c>
      <c r="U1116">
        <v>23</v>
      </c>
      <c r="V1116">
        <v>2025</v>
      </c>
      <c r="W1116" s="1">
        <f t="shared" si="2"/>
        <v>45923</v>
      </c>
      <c r="AB1116" t="str">
        <v>RES-101114</v>
      </c>
      <c r="AC1116">
        <v>45708</v>
      </c>
      <c r="AD1116">
        <v>0.87361111111111112</v>
      </c>
      <c r="AE1116" t="str">
        <v>Centro</v>
      </c>
      <c r="AF1116" t="str">
        <v>Domicilio</v>
      </c>
      <c r="AG1116" t="str">
        <v>Bebidas</v>
      </c>
      <c r="AH1116">
        <v>3</v>
      </c>
      <c r="AI1116">
        <v>62696.65</v>
      </c>
      <c r="AJ1116">
        <v>1621.62</v>
      </c>
      <c r="AK1116">
        <v>31</v>
      </c>
      <c r="AL1116">
        <v>35</v>
      </c>
      <c r="AM1116" t="str">
        <v>Efectivo</v>
      </c>
      <c r="AN1116" t="str">
        <v>Cancelada</v>
      </c>
      <c r="AO1116">
        <v>5</v>
      </c>
    </row>
    <row r="1117" spans="1:41" x14ac:dyDescent="0.3">
      <c r="A1117" t="s">
        <v>1155</v>
      </c>
      <c r="B1117" s="8">
        <v>45709</v>
      </c>
      <c r="C1117" s="2">
        <v>0.87847222222222221</v>
      </c>
      <c r="D1117" t="s">
        <v>33</v>
      </c>
      <c r="E1117" t="s">
        <v>28</v>
      </c>
      <c r="F1117" t="s">
        <v>17</v>
      </c>
      <c r="G1117">
        <v>4</v>
      </c>
      <c r="H1117" s="6">
        <v>60336.11</v>
      </c>
      <c r="I1117" s="6">
        <v>6128.66</v>
      </c>
      <c r="J1117">
        <v>27</v>
      </c>
      <c r="K1117">
        <v>33</v>
      </c>
      <c r="L1117" t="s">
        <v>30</v>
      </c>
      <c r="M1117" t="s">
        <v>31</v>
      </c>
      <c r="N1117">
        <v>5</v>
      </c>
      <c r="O1117" s="4"/>
      <c r="P1117" s="4" t="str">
        <f>IF(Data_Set_2[[#This Row],[valor_bruto]]&gt;$W$13,"OUTLIER+","")</f>
        <v/>
      </c>
      <c r="Q1117" s="4" t="str">
        <f>IF(Data_Set_2[[#This Row],[valor_bruto]]&lt;$W$14,"OUTLIER-","")</f>
        <v/>
      </c>
      <c r="R1117" s="4"/>
      <c r="S1117" s="4"/>
      <c r="T1117">
        <v>9</v>
      </c>
      <c r="U1117">
        <v>24</v>
      </c>
      <c r="V1117">
        <v>2025</v>
      </c>
      <c r="W1117" s="1">
        <f t="shared" si="2"/>
        <v>45924</v>
      </c>
      <c r="AB1117" t="str">
        <v>RES-101115</v>
      </c>
      <c r="AC1117">
        <v>45709</v>
      </c>
      <c r="AD1117">
        <v>0.87847222222222221</v>
      </c>
      <c r="AE1117" t="str">
        <v>Envigado</v>
      </c>
      <c r="AF1117" t="str">
        <v>Recoge</v>
      </c>
      <c r="AG1117" t="str">
        <v>Comida rapida</v>
      </c>
      <c r="AH1117">
        <v>4</v>
      </c>
      <c r="AI1117">
        <v>60336.11</v>
      </c>
      <c r="AJ1117">
        <v>6128.66</v>
      </c>
      <c r="AK1117">
        <v>27</v>
      </c>
      <c r="AL1117">
        <v>33</v>
      </c>
      <c r="AM1117" t="str">
        <v>App</v>
      </c>
      <c r="AN1117" t="str">
        <v>Reembolsada</v>
      </c>
      <c r="AO1117">
        <v>5</v>
      </c>
    </row>
    <row r="1118" spans="1:41" x14ac:dyDescent="0.3">
      <c r="A1118" t="s">
        <v>1156</v>
      </c>
      <c r="B1118" s="8">
        <v>45710</v>
      </c>
      <c r="C1118" s="2">
        <v>0.42499999999999999</v>
      </c>
      <c r="D1118" t="s">
        <v>15</v>
      </c>
      <c r="E1118" t="s">
        <v>16</v>
      </c>
      <c r="F1118" t="s">
        <v>23</v>
      </c>
      <c r="G1118">
        <v>5</v>
      </c>
      <c r="H1118" s="6">
        <v>41466.050000000003</v>
      </c>
      <c r="I1118" s="6">
        <v>889.59</v>
      </c>
      <c r="J1118">
        <v>22</v>
      </c>
      <c r="K1118">
        <v>49</v>
      </c>
      <c r="L1118" t="s">
        <v>18</v>
      </c>
      <c r="M1118" t="s">
        <v>19</v>
      </c>
      <c r="N1118">
        <v>5</v>
      </c>
      <c r="O1118" s="4"/>
      <c r="P1118" s="4" t="str">
        <f>IF(Data_Set_2[[#This Row],[valor_bruto]]&gt;$W$13,"OUTLIER+","")</f>
        <v/>
      </c>
      <c r="Q1118" s="4" t="str">
        <f>IF(Data_Set_2[[#This Row],[valor_bruto]]&lt;$W$14,"OUTLIER-","")</f>
        <v/>
      </c>
      <c r="R1118" s="4"/>
      <c r="S1118" s="4"/>
      <c r="T1118">
        <v>9</v>
      </c>
      <c r="U1118">
        <v>25</v>
      </c>
      <c r="V1118">
        <v>2025</v>
      </c>
      <c r="W1118" s="1">
        <f t="shared" si="2"/>
        <v>45925</v>
      </c>
      <c r="AB1118" t="str">
        <v>RES-101116</v>
      </c>
      <c r="AC1118">
        <v>45710</v>
      </c>
      <c r="AD1118">
        <v>0.42499999999999999</v>
      </c>
      <c r="AE1118" t="str">
        <v>Laureles</v>
      </c>
      <c r="AF1118" t="str">
        <v>Mesa</v>
      </c>
      <c r="AG1118" t="str">
        <v>Pasta</v>
      </c>
      <c r="AH1118">
        <v>5</v>
      </c>
      <c r="AI1118">
        <v>41466.050000000003</v>
      </c>
      <c r="AJ1118">
        <v>889.59</v>
      </c>
      <c r="AK1118">
        <v>22</v>
      </c>
      <c r="AL1118">
        <v>49</v>
      </c>
      <c r="AM1118" t="str">
        <v>Tarjeta</v>
      </c>
      <c r="AN1118" t="str">
        <v>Entregada</v>
      </c>
      <c r="AO1118">
        <v>5</v>
      </c>
    </row>
    <row r="1119" spans="1:41" x14ac:dyDescent="0.3">
      <c r="A1119" t="s">
        <v>1157</v>
      </c>
      <c r="B1119" s="8">
        <v>45711</v>
      </c>
      <c r="C1119" s="2">
        <v>0.47152777777777777</v>
      </c>
      <c r="D1119" t="s">
        <v>21</v>
      </c>
      <c r="E1119" t="s">
        <v>22</v>
      </c>
      <c r="F1119" t="s">
        <v>29</v>
      </c>
      <c r="G1119">
        <v>6</v>
      </c>
      <c r="H1119" s="6">
        <v>36208.589999999997</v>
      </c>
      <c r="I1119" s="6">
        <v>6827.58</v>
      </c>
      <c r="J1119">
        <v>15</v>
      </c>
      <c r="K1119">
        <v>32</v>
      </c>
      <c r="L1119" t="s">
        <v>24</v>
      </c>
      <c r="M1119" t="s">
        <v>25</v>
      </c>
      <c r="N1119">
        <v>5</v>
      </c>
      <c r="O1119" s="4"/>
      <c r="P1119" s="4" t="str">
        <f>IF(Data_Set_2[[#This Row],[valor_bruto]]&gt;$W$13,"OUTLIER+","")</f>
        <v/>
      </c>
      <c r="Q1119" s="4" t="str">
        <f>IF(Data_Set_2[[#This Row],[valor_bruto]]&lt;$W$14,"OUTLIER-","")</f>
        <v/>
      </c>
      <c r="R1119" s="4"/>
      <c r="S1119" s="4"/>
      <c r="T1119">
        <v>9</v>
      </c>
      <c r="U1119">
        <v>26</v>
      </c>
      <c r="V1119">
        <v>2025</v>
      </c>
      <c r="W1119" s="1">
        <f t="shared" si="2"/>
        <v>45926</v>
      </c>
      <c r="AB1119" t="str">
        <v>RES-101117</v>
      </c>
      <c r="AC1119">
        <v>45711</v>
      </c>
      <c r="AD1119">
        <v>0.47152777777777777</v>
      </c>
      <c r="AE1119" t="str">
        <v>Poblado</v>
      </c>
      <c r="AF1119" t="str">
        <v>Domicilio</v>
      </c>
      <c r="AG1119" t="str">
        <v>Parrilla</v>
      </c>
      <c r="AH1119">
        <v>6</v>
      </c>
      <c r="AI1119">
        <v>36208.589999999997</v>
      </c>
      <c r="AJ1119">
        <v>6827.58</v>
      </c>
      <c r="AK1119">
        <v>15</v>
      </c>
      <c r="AL1119">
        <v>32</v>
      </c>
      <c r="AM1119" t="str">
        <v>Efectivo</v>
      </c>
      <c r="AN1119" t="str">
        <v>Cancelada</v>
      </c>
      <c r="AO1119">
        <v>5</v>
      </c>
    </row>
    <row r="1120" spans="1:41" x14ac:dyDescent="0.3">
      <c r="A1120" t="s">
        <v>1158</v>
      </c>
      <c r="B1120" s="8">
        <v>45712</v>
      </c>
      <c r="C1120" s="2">
        <v>0.5180555555555556</v>
      </c>
      <c r="D1120" t="s">
        <v>27</v>
      </c>
      <c r="E1120" t="s">
        <v>28</v>
      </c>
      <c r="F1120" t="s">
        <v>34</v>
      </c>
      <c r="G1120">
        <v>3</v>
      </c>
      <c r="H1120" s="6">
        <v>27555.48</v>
      </c>
      <c r="I1120" s="6">
        <v>3795.31</v>
      </c>
      <c r="J1120">
        <v>19</v>
      </c>
      <c r="K1120">
        <v>46</v>
      </c>
      <c r="L1120" t="s">
        <v>30</v>
      </c>
      <c r="M1120" t="s">
        <v>31</v>
      </c>
      <c r="N1120">
        <v>4</v>
      </c>
      <c r="O1120" s="4"/>
      <c r="P1120" s="4" t="str">
        <f>IF(Data_Set_2[[#This Row],[valor_bruto]]&gt;$W$13,"OUTLIER+","")</f>
        <v/>
      </c>
      <c r="Q1120" s="4" t="str">
        <f>IF(Data_Set_2[[#This Row],[valor_bruto]]&lt;$W$14,"OUTLIER-","")</f>
        <v/>
      </c>
      <c r="R1120" s="4"/>
      <c r="S1120" s="4"/>
      <c r="T1120">
        <v>9</v>
      </c>
      <c r="U1120">
        <v>27</v>
      </c>
      <c r="V1120">
        <v>2025</v>
      </c>
      <c r="W1120" s="1">
        <f t="shared" si="2"/>
        <v>45927</v>
      </c>
      <c r="AB1120" t="str">
        <v>RES-101118</v>
      </c>
      <c r="AC1120">
        <v>45712</v>
      </c>
      <c r="AD1120">
        <v>0.5180555555555556</v>
      </c>
      <c r="AE1120" t="str">
        <v>Centro</v>
      </c>
      <c r="AF1120" t="str">
        <v>Recoge</v>
      </c>
      <c r="AG1120" t="str">
        <v>Vegano</v>
      </c>
      <c r="AH1120">
        <v>3</v>
      </c>
      <c r="AI1120">
        <v>27555.48</v>
      </c>
      <c r="AJ1120">
        <v>3795.31</v>
      </c>
      <c r="AK1120">
        <v>19</v>
      </c>
      <c r="AL1120">
        <v>46</v>
      </c>
      <c r="AM1120" t="str">
        <v>App</v>
      </c>
      <c r="AN1120" t="str">
        <v>Reembolsada</v>
      </c>
      <c r="AO1120">
        <v>4</v>
      </c>
    </row>
    <row r="1121" spans="1:41" x14ac:dyDescent="0.3">
      <c r="A1121" t="s">
        <v>1159</v>
      </c>
      <c r="B1121" s="8">
        <v>45713</v>
      </c>
      <c r="C1121" s="2">
        <v>0.56458333333333333</v>
      </c>
      <c r="D1121" t="s">
        <v>33</v>
      </c>
      <c r="E1121" t="s">
        <v>16</v>
      </c>
      <c r="F1121" t="s">
        <v>36</v>
      </c>
      <c r="G1121">
        <v>6</v>
      </c>
      <c r="H1121" s="6">
        <v>64518.06</v>
      </c>
      <c r="I1121" s="6">
        <v>4476.1099999999997</v>
      </c>
      <c r="J1121">
        <v>23</v>
      </c>
      <c r="K1121">
        <v>44</v>
      </c>
      <c r="L1121" t="s">
        <v>18</v>
      </c>
      <c r="M1121" t="s">
        <v>19</v>
      </c>
      <c r="N1121">
        <v>4</v>
      </c>
      <c r="O1121" s="4"/>
      <c r="P1121" s="4" t="str">
        <f>IF(Data_Set_2[[#This Row],[valor_bruto]]&gt;$W$13,"OUTLIER+","")</f>
        <v/>
      </c>
      <c r="Q1121" s="4" t="str">
        <f>IF(Data_Set_2[[#This Row],[valor_bruto]]&lt;$W$14,"OUTLIER-","")</f>
        <v/>
      </c>
      <c r="R1121" s="4"/>
      <c r="S1121" s="4"/>
      <c r="T1121">
        <v>9</v>
      </c>
      <c r="U1121">
        <v>28</v>
      </c>
      <c r="V1121">
        <v>2025</v>
      </c>
      <c r="W1121" s="1">
        <f t="shared" si="2"/>
        <v>45928</v>
      </c>
      <c r="AB1121" t="str">
        <v>RES-101119</v>
      </c>
      <c r="AC1121">
        <v>45713</v>
      </c>
      <c r="AD1121">
        <v>0.56458333333333333</v>
      </c>
      <c r="AE1121" t="str">
        <v>Envigado</v>
      </c>
      <c r="AF1121" t="str">
        <v>Mesa</v>
      </c>
      <c r="AG1121" t="str">
        <v>Bebidas</v>
      </c>
      <c r="AH1121">
        <v>6</v>
      </c>
      <c r="AI1121">
        <v>64518.06</v>
      </c>
      <c r="AJ1121">
        <v>4476.1099999999997</v>
      </c>
      <c r="AK1121">
        <v>23</v>
      </c>
      <c r="AL1121">
        <v>44</v>
      </c>
      <c r="AM1121" t="str">
        <v>Tarjeta</v>
      </c>
      <c r="AN1121" t="str">
        <v>Entregada</v>
      </c>
      <c r="AO1121">
        <v>4</v>
      </c>
    </row>
    <row r="1122" spans="1:41" x14ac:dyDescent="0.3">
      <c r="A1122" t="s">
        <v>1160</v>
      </c>
      <c r="B1122" s="8">
        <v>45714</v>
      </c>
      <c r="C1122" s="2">
        <v>0.61111111111111116</v>
      </c>
      <c r="D1122" t="s">
        <v>15</v>
      </c>
      <c r="E1122" t="s">
        <v>22</v>
      </c>
      <c r="F1122" t="s">
        <v>17</v>
      </c>
      <c r="G1122">
        <v>5</v>
      </c>
      <c r="H1122" s="6">
        <v>41572.120000000003</v>
      </c>
      <c r="I1122" s="6">
        <v>4802.74</v>
      </c>
      <c r="J1122">
        <v>20</v>
      </c>
      <c r="K1122">
        <v>40</v>
      </c>
      <c r="L1122" t="s">
        <v>24</v>
      </c>
      <c r="M1122" t="s">
        <v>25</v>
      </c>
      <c r="N1122">
        <v>4</v>
      </c>
      <c r="O1122" s="4"/>
      <c r="P1122" s="4" t="str">
        <f>IF(Data_Set_2[[#This Row],[valor_bruto]]&gt;$W$13,"OUTLIER+","")</f>
        <v/>
      </c>
      <c r="Q1122" s="4" t="str">
        <f>IF(Data_Set_2[[#This Row],[valor_bruto]]&lt;$W$14,"OUTLIER-","")</f>
        <v/>
      </c>
      <c r="R1122" s="4"/>
      <c r="S1122" s="4"/>
      <c r="T1122">
        <v>9</v>
      </c>
      <c r="U1122">
        <v>29</v>
      </c>
      <c r="V1122">
        <v>2025</v>
      </c>
      <c r="W1122" s="1">
        <f t="shared" si="2"/>
        <v>45929</v>
      </c>
      <c r="AB1122" t="str">
        <v>RES-101120</v>
      </c>
      <c r="AC1122">
        <v>45714</v>
      </c>
      <c r="AD1122">
        <v>0.61111111111111116</v>
      </c>
      <c r="AE1122" t="str">
        <v>Laureles</v>
      </c>
      <c r="AF1122" t="str">
        <v>Domicilio</v>
      </c>
      <c r="AG1122" t="str">
        <v>Comida rapida</v>
      </c>
      <c r="AH1122">
        <v>5</v>
      </c>
      <c r="AI1122">
        <v>41572.120000000003</v>
      </c>
      <c r="AJ1122">
        <v>4802.74</v>
      </c>
      <c r="AK1122">
        <v>20</v>
      </c>
      <c r="AL1122">
        <v>40</v>
      </c>
      <c r="AM1122" t="str">
        <v>Efectivo</v>
      </c>
      <c r="AN1122" t="str">
        <v>Cancelada</v>
      </c>
      <c r="AO1122">
        <v>4</v>
      </c>
    </row>
    <row r="1123" spans="1:41" x14ac:dyDescent="0.3">
      <c r="A1123" t="s">
        <v>1161</v>
      </c>
      <c r="B1123" s="8">
        <v>45715</v>
      </c>
      <c r="C1123" s="2">
        <v>0.65763888888888888</v>
      </c>
      <c r="D1123" t="s">
        <v>21</v>
      </c>
      <c r="E1123" t="s">
        <v>28</v>
      </c>
      <c r="F1123" t="s">
        <v>23</v>
      </c>
      <c r="G1123">
        <v>6</v>
      </c>
      <c r="H1123" s="6">
        <v>34758.620000000003</v>
      </c>
      <c r="I1123" s="6">
        <v>4546.58</v>
      </c>
      <c r="J1123">
        <v>22</v>
      </c>
      <c r="K1123">
        <v>46</v>
      </c>
      <c r="L1123" t="s">
        <v>30</v>
      </c>
      <c r="M1123" t="s">
        <v>31</v>
      </c>
      <c r="N1123">
        <v>4</v>
      </c>
      <c r="O1123" s="4"/>
      <c r="P1123" s="4" t="str">
        <f>IF(Data_Set_2[[#This Row],[valor_bruto]]&gt;$W$13,"OUTLIER+","")</f>
        <v/>
      </c>
      <c r="Q1123" s="4" t="str">
        <f>IF(Data_Set_2[[#This Row],[valor_bruto]]&lt;$W$14,"OUTLIER-","")</f>
        <v/>
      </c>
      <c r="R1123" s="4"/>
      <c r="S1123" s="4"/>
      <c r="T1123">
        <v>9</v>
      </c>
      <c r="U1123">
        <v>30</v>
      </c>
      <c r="V1123">
        <v>2025</v>
      </c>
      <c r="W1123" s="1">
        <f t="shared" si="2"/>
        <v>45930</v>
      </c>
      <c r="AB1123" t="str">
        <v>RES-101121</v>
      </c>
      <c r="AC1123">
        <v>45715</v>
      </c>
      <c r="AD1123">
        <v>0.65763888888888888</v>
      </c>
      <c r="AE1123" t="str">
        <v>Poblado</v>
      </c>
      <c r="AF1123" t="str">
        <v>Recoge</v>
      </c>
      <c r="AG1123" t="str">
        <v>Pasta</v>
      </c>
      <c r="AH1123">
        <v>6</v>
      </c>
      <c r="AI1123">
        <v>34758.620000000003</v>
      </c>
      <c r="AJ1123">
        <v>4546.58</v>
      </c>
      <c r="AK1123">
        <v>22</v>
      </c>
      <c r="AL1123">
        <v>46</v>
      </c>
      <c r="AM1123" t="str">
        <v>App</v>
      </c>
      <c r="AN1123" t="str">
        <v>Reembolsada</v>
      </c>
      <c r="AO1123">
        <v>4</v>
      </c>
    </row>
    <row r="1124" spans="1:41" x14ac:dyDescent="0.3">
      <c r="A1124" t="s">
        <v>1162</v>
      </c>
      <c r="B1124" s="8">
        <v>45716</v>
      </c>
      <c r="C1124" s="2">
        <v>0.70416666666666672</v>
      </c>
      <c r="D1124" t="s">
        <v>27</v>
      </c>
      <c r="E1124" t="s">
        <v>16</v>
      </c>
      <c r="F1124" t="s">
        <v>29</v>
      </c>
      <c r="G1124">
        <v>6</v>
      </c>
      <c r="H1124" s="6">
        <v>63940.53</v>
      </c>
      <c r="I1124" s="6">
        <v>6357.16</v>
      </c>
      <c r="J1124">
        <v>25</v>
      </c>
      <c r="K1124">
        <v>37</v>
      </c>
      <c r="L1124" t="s">
        <v>18</v>
      </c>
      <c r="M1124" t="s">
        <v>19</v>
      </c>
      <c r="N1124">
        <v>3</v>
      </c>
      <c r="O1124" s="4"/>
      <c r="P1124" s="4" t="str">
        <f>IF(Data_Set_2[[#This Row],[valor_bruto]]&gt;$W$13,"OUTLIER+","")</f>
        <v/>
      </c>
      <c r="Q1124" s="4" t="str">
        <f>IF(Data_Set_2[[#This Row],[valor_bruto]]&lt;$W$14,"OUTLIER-","")</f>
        <v/>
      </c>
      <c r="R1124" s="4"/>
      <c r="S1124" s="4"/>
      <c r="T1124">
        <v>10</v>
      </c>
      <c r="U1124">
        <v>13</v>
      </c>
      <c r="V1124">
        <v>2025</v>
      </c>
      <c r="W1124" s="1">
        <f t="shared" si="2"/>
        <v>45943</v>
      </c>
      <c r="AB1124" t="str">
        <v>RES-101122</v>
      </c>
      <c r="AC1124">
        <v>45716</v>
      </c>
      <c r="AD1124">
        <v>0.70416666666666672</v>
      </c>
      <c r="AE1124" t="str">
        <v>Centro</v>
      </c>
      <c r="AF1124" t="str">
        <v>Mesa</v>
      </c>
      <c r="AG1124" t="str">
        <v>Parrilla</v>
      </c>
      <c r="AH1124">
        <v>6</v>
      </c>
      <c r="AI1124">
        <v>63940.53</v>
      </c>
      <c r="AJ1124">
        <v>6357.16</v>
      </c>
      <c r="AK1124">
        <v>25</v>
      </c>
      <c r="AL1124">
        <v>37</v>
      </c>
      <c r="AM1124" t="str">
        <v>Tarjeta</v>
      </c>
      <c r="AN1124" t="str">
        <v>Entregada</v>
      </c>
      <c r="AO1124">
        <v>3</v>
      </c>
    </row>
    <row r="1125" spans="1:41" x14ac:dyDescent="0.3">
      <c r="A1125" t="s">
        <v>1163</v>
      </c>
      <c r="B1125" s="8">
        <v>45717</v>
      </c>
      <c r="C1125" s="2">
        <v>0.70902777777777781</v>
      </c>
      <c r="D1125" t="s">
        <v>33</v>
      </c>
      <c r="E1125" t="s">
        <v>22</v>
      </c>
      <c r="F1125" t="s">
        <v>34</v>
      </c>
      <c r="G1125">
        <v>3</v>
      </c>
      <c r="H1125" s="6">
        <v>46174.6</v>
      </c>
      <c r="I1125" s="6">
        <v>7130.04</v>
      </c>
      <c r="J1125">
        <v>22</v>
      </c>
      <c r="K1125">
        <v>31</v>
      </c>
      <c r="L1125" t="s">
        <v>24</v>
      </c>
      <c r="M1125" t="s">
        <v>25</v>
      </c>
      <c r="N1125">
        <v>3</v>
      </c>
      <c r="O1125" s="4"/>
      <c r="P1125" s="4" t="str">
        <f>IF(Data_Set_2[[#This Row],[valor_bruto]]&gt;$W$13,"OUTLIER+","")</f>
        <v/>
      </c>
      <c r="Q1125" s="4" t="str">
        <f>IF(Data_Set_2[[#This Row],[valor_bruto]]&lt;$W$14,"OUTLIER-","")</f>
        <v/>
      </c>
      <c r="R1125" s="4"/>
      <c r="S1125" s="4"/>
      <c r="T1125">
        <v>10</v>
      </c>
      <c r="U1125">
        <v>14</v>
      </c>
      <c r="V1125">
        <v>2025</v>
      </c>
      <c r="W1125" s="1">
        <f t="shared" si="2"/>
        <v>45944</v>
      </c>
      <c r="AB1125" t="str">
        <v>RES-101123</v>
      </c>
      <c r="AC1125">
        <v>45717</v>
      </c>
      <c r="AD1125">
        <v>0.70902777777777781</v>
      </c>
      <c r="AE1125" t="str">
        <v>Envigado</v>
      </c>
      <c r="AF1125" t="str">
        <v>Domicilio</v>
      </c>
      <c r="AG1125" t="str">
        <v>Vegano</v>
      </c>
      <c r="AH1125">
        <v>3</v>
      </c>
      <c r="AI1125">
        <v>46174.6</v>
      </c>
      <c r="AJ1125">
        <v>7130.04</v>
      </c>
      <c r="AK1125">
        <v>22</v>
      </c>
      <c r="AL1125">
        <v>31</v>
      </c>
      <c r="AM1125" t="str">
        <v>Efectivo</v>
      </c>
      <c r="AN1125" t="str">
        <v>Cancelada</v>
      </c>
      <c r="AO1125">
        <v>3</v>
      </c>
    </row>
    <row r="1126" spans="1:41" x14ac:dyDescent="0.3">
      <c r="A1126" t="s">
        <v>1164</v>
      </c>
      <c r="B1126" s="8">
        <v>45691</v>
      </c>
      <c r="C1126" s="2">
        <v>0.75555555555555554</v>
      </c>
      <c r="D1126" t="s">
        <v>15</v>
      </c>
      <c r="E1126" t="s">
        <v>28</v>
      </c>
      <c r="F1126" t="s">
        <v>36</v>
      </c>
      <c r="G1126">
        <v>6</v>
      </c>
      <c r="H1126" s="6">
        <v>47472.65</v>
      </c>
      <c r="I1126" s="6">
        <v>5024.2</v>
      </c>
      <c r="J1126">
        <v>25</v>
      </c>
      <c r="K1126">
        <v>39</v>
      </c>
      <c r="L1126" t="s">
        <v>30</v>
      </c>
      <c r="M1126" t="s">
        <v>31</v>
      </c>
      <c r="N1126">
        <v>4</v>
      </c>
      <c r="O1126" s="4"/>
      <c r="P1126" s="4" t="str">
        <f>IF(Data_Set_2[[#This Row],[valor_bruto]]&gt;$W$13,"OUTLIER+","")</f>
        <v/>
      </c>
      <c r="Q1126" s="4" t="str">
        <f>IF(Data_Set_2[[#This Row],[valor_bruto]]&lt;$W$14,"OUTLIER-","")</f>
        <v/>
      </c>
      <c r="R1126" s="4"/>
      <c r="S1126" s="4"/>
      <c r="T1126">
        <v>10</v>
      </c>
      <c r="U1126">
        <v>15</v>
      </c>
      <c r="V1126">
        <v>2025</v>
      </c>
      <c r="W1126" s="1">
        <f t="shared" si="2"/>
        <v>45945</v>
      </c>
      <c r="AB1126" t="str">
        <v>RES-101124</v>
      </c>
      <c r="AC1126">
        <v>45691</v>
      </c>
      <c r="AD1126">
        <v>0.75555555555555554</v>
      </c>
      <c r="AE1126" t="str">
        <v>Laureles</v>
      </c>
      <c r="AF1126" t="str">
        <v>Recoge</v>
      </c>
      <c r="AG1126" t="str">
        <v>Bebidas</v>
      </c>
      <c r="AH1126">
        <v>6</v>
      </c>
      <c r="AI1126">
        <v>47472.65</v>
      </c>
      <c r="AJ1126">
        <v>5024.2</v>
      </c>
      <c r="AK1126">
        <v>25</v>
      </c>
      <c r="AL1126">
        <v>39</v>
      </c>
      <c r="AM1126" t="str">
        <v>App</v>
      </c>
      <c r="AN1126" t="str">
        <v>Reembolsada</v>
      </c>
      <c r="AO1126">
        <v>4</v>
      </c>
    </row>
    <row r="1127" spans="1:41" x14ac:dyDescent="0.3">
      <c r="A1127" t="s">
        <v>1165</v>
      </c>
      <c r="B1127" s="8">
        <v>45719</v>
      </c>
      <c r="C1127" s="2">
        <v>0.80208333333333337</v>
      </c>
      <c r="D1127" t="s">
        <v>21</v>
      </c>
      <c r="E1127" t="s">
        <v>16</v>
      </c>
      <c r="F1127" t="s">
        <v>17</v>
      </c>
      <c r="G1127">
        <v>2</v>
      </c>
      <c r="H1127" s="6">
        <v>48435</v>
      </c>
      <c r="I1127" s="6">
        <v>825.01</v>
      </c>
      <c r="J1127">
        <v>21</v>
      </c>
      <c r="K1127">
        <v>32</v>
      </c>
      <c r="L1127" t="s">
        <v>18</v>
      </c>
      <c r="M1127" t="s">
        <v>19</v>
      </c>
      <c r="N1127">
        <v>3</v>
      </c>
      <c r="O1127" s="4"/>
      <c r="P1127" s="4" t="str">
        <f>IF(Data_Set_2[[#This Row],[valor_bruto]]&gt;$W$13,"OUTLIER+","")</f>
        <v/>
      </c>
      <c r="Q1127" s="4" t="str">
        <f>IF(Data_Set_2[[#This Row],[valor_bruto]]&lt;$W$14,"OUTLIER-","")</f>
        <v/>
      </c>
      <c r="R1127" s="4"/>
      <c r="S1127" s="4"/>
      <c r="T1127">
        <v>10</v>
      </c>
      <c r="U1127">
        <v>16</v>
      </c>
      <c r="V1127">
        <v>2025</v>
      </c>
      <c r="W1127" s="1">
        <f t="shared" si="2"/>
        <v>45946</v>
      </c>
      <c r="AB1127" t="str">
        <v>RES-101125</v>
      </c>
      <c r="AC1127">
        <v>45719</v>
      </c>
      <c r="AD1127">
        <v>0.80208333333333337</v>
      </c>
      <c r="AE1127" t="str">
        <v>Poblado</v>
      </c>
      <c r="AF1127" t="str">
        <v>Mesa</v>
      </c>
      <c r="AG1127" t="str">
        <v>Comida rapida</v>
      </c>
      <c r="AH1127">
        <v>2</v>
      </c>
      <c r="AI1127">
        <v>48435</v>
      </c>
      <c r="AJ1127">
        <v>825.01</v>
      </c>
      <c r="AK1127">
        <v>21</v>
      </c>
      <c r="AL1127">
        <v>32</v>
      </c>
      <c r="AM1127" t="str">
        <v>Tarjeta</v>
      </c>
      <c r="AN1127" t="str">
        <v>Entregada</v>
      </c>
      <c r="AO1127">
        <v>3</v>
      </c>
    </row>
    <row r="1128" spans="1:41" x14ac:dyDescent="0.3">
      <c r="A1128" t="s">
        <v>1166</v>
      </c>
      <c r="B1128" s="8">
        <v>45720</v>
      </c>
      <c r="C1128" s="2">
        <v>0.84861111111111109</v>
      </c>
      <c r="D1128" t="s">
        <v>27</v>
      </c>
      <c r="E1128" t="s">
        <v>22</v>
      </c>
      <c r="F1128" t="s">
        <v>23</v>
      </c>
      <c r="G1128">
        <v>6</v>
      </c>
      <c r="H1128" s="6">
        <v>59864.53</v>
      </c>
      <c r="I1128" s="6">
        <v>4899.43</v>
      </c>
      <c r="J1128">
        <v>30</v>
      </c>
      <c r="K1128">
        <v>51</v>
      </c>
      <c r="L1128" t="s">
        <v>24</v>
      </c>
      <c r="M1128" t="s">
        <v>25</v>
      </c>
      <c r="N1128">
        <v>5</v>
      </c>
      <c r="O1128" s="4"/>
      <c r="P1128" s="4" t="str">
        <f>IF(Data_Set_2[[#This Row],[valor_bruto]]&gt;$W$13,"OUTLIER+","")</f>
        <v/>
      </c>
      <c r="Q1128" s="4" t="str">
        <f>IF(Data_Set_2[[#This Row],[valor_bruto]]&lt;$W$14,"OUTLIER-","")</f>
        <v/>
      </c>
      <c r="R1128" s="4"/>
      <c r="S1128" s="4"/>
      <c r="T1128">
        <v>10</v>
      </c>
      <c r="U1128">
        <v>17</v>
      </c>
      <c r="V1128">
        <v>2025</v>
      </c>
      <c r="W1128" s="1">
        <f t="shared" si="2"/>
        <v>45947</v>
      </c>
      <c r="AB1128" t="str">
        <v>RES-101126</v>
      </c>
      <c r="AC1128">
        <v>45720</v>
      </c>
      <c r="AD1128">
        <v>0.84861111111111109</v>
      </c>
      <c r="AE1128" t="str">
        <v>Centro</v>
      </c>
      <c r="AF1128" t="str">
        <v>Domicilio</v>
      </c>
      <c r="AG1128" t="str">
        <v>Pasta</v>
      </c>
      <c r="AH1128">
        <v>6</v>
      </c>
      <c r="AI1128">
        <v>59864.53</v>
      </c>
      <c r="AJ1128">
        <v>4899.43</v>
      </c>
      <c r="AK1128">
        <v>30</v>
      </c>
      <c r="AL1128">
        <v>51</v>
      </c>
      <c r="AM1128" t="str">
        <v>Efectivo</v>
      </c>
      <c r="AN1128" t="str">
        <v>Cancelada</v>
      </c>
      <c r="AO1128">
        <v>5</v>
      </c>
    </row>
    <row r="1129" spans="1:41" x14ac:dyDescent="0.3">
      <c r="A1129" t="s">
        <v>1167</v>
      </c>
      <c r="B1129" s="8">
        <v>45780</v>
      </c>
      <c r="C1129" s="2">
        <v>0.89513888888888893</v>
      </c>
      <c r="D1129" t="s">
        <v>33</v>
      </c>
      <c r="E1129" t="s">
        <v>28</v>
      </c>
      <c r="F1129" t="s">
        <v>29</v>
      </c>
      <c r="G1129">
        <v>4</v>
      </c>
      <c r="H1129" s="6">
        <v>44361.18</v>
      </c>
      <c r="I1129" s="6">
        <v>2670.62</v>
      </c>
      <c r="J1129">
        <v>19</v>
      </c>
      <c r="K1129">
        <v>38</v>
      </c>
      <c r="L1129" t="s">
        <v>30</v>
      </c>
      <c r="M1129" t="s">
        <v>31</v>
      </c>
      <c r="N1129">
        <v>5</v>
      </c>
      <c r="O1129" s="4"/>
      <c r="P1129" s="4" t="str">
        <f>IF(Data_Set_2[[#This Row],[valor_bruto]]&gt;$W$13,"OUTLIER+","")</f>
        <v/>
      </c>
      <c r="Q1129" s="4" t="str">
        <f>IF(Data_Set_2[[#This Row],[valor_bruto]]&lt;$W$14,"OUTLIER-","")</f>
        <v/>
      </c>
      <c r="R1129" s="4"/>
      <c r="S1129" s="4"/>
      <c r="T1129">
        <v>10</v>
      </c>
      <c r="U1129">
        <v>18</v>
      </c>
      <c r="V1129">
        <v>2025</v>
      </c>
      <c r="W1129" s="1">
        <f t="shared" si="2"/>
        <v>45948</v>
      </c>
      <c r="AB1129" t="str">
        <v>RES-101127</v>
      </c>
      <c r="AC1129">
        <v>45780</v>
      </c>
      <c r="AD1129">
        <v>0.89513888888888893</v>
      </c>
      <c r="AE1129" t="str">
        <v>Envigado</v>
      </c>
      <c r="AF1129" t="str">
        <v>Recoge</v>
      </c>
      <c r="AG1129" t="str">
        <v>Parrilla</v>
      </c>
      <c r="AH1129">
        <v>4</v>
      </c>
      <c r="AI1129">
        <v>44361.18</v>
      </c>
      <c r="AJ1129">
        <v>2670.62</v>
      </c>
      <c r="AK1129">
        <v>19</v>
      </c>
      <c r="AL1129">
        <v>38</v>
      </c>
      <c r="AM1129" t="str">
        <v>App</v>
      </c>
      <c r="AN1129" t="str">
        <v>Reembolsada</v>
      </c>
      <c r="AO1129">
        <v>5</v>
      </c>
    </row>
    <row r="1130" spans="1:41" x14ac:dyDescent="0.3">
      <c r="A1130" t="s">
        <v>1168</v>
      </c>
      <c r="B1130" s="8">
        <v>45722</v>
      </c>
      <c r="C1130" s="2">
        <v>0.44166666666666665</v>
      </c>
      <c r="D1130" t="s">
        <v>15</v>
      </c>
      <c r="E1130" t="s">
        <v>16</v>
      </c>
      <c r="F1130" t="s">
        <v>34</v>
      </c>
      <c r="G1130">
        <v>4</v>
      </c>
      <c r="H1130" s="6">
        <v>54526.36</v>
      </c>
      <c r="I1130" s="6">
        <v>1953.82</v>
      </c>
      <c r="J1130">
        <v>27</v>
      </c>
      <c r="K1130">
        <v>30</v>
      </c>
      <c r="L1130" t="s">
        <v>18</v>
      </c>
      <c r="M1130" t="s">
        <v>19</v>
      </c>
      <c r="N1130">
        <v>3</v>
      </c>
      <c r="O1130" s="4"/>
      <c r="P1130" s="4" t="str">
        <f>IF(Data_Set_2[[#This Row],[valor_bruto]]&gt;$W$13,"OUTLIER+","")</f>
        <v/>
      </c>
      <c r="Q1130" s="4" t="str">
        <f>IF(Data_Set_2[[#This Row],[valor_bruto]]&lt;$W$14,"OUTLIER-","")</f>
        <v/>
      </c>
      <c r="R1130" s="4"/>
      <c r="S1130" s="4"/>
      <c r="T1130">
        <v>10</v>
      </c>
      <c r="U1130">
        <v>19</v>
      </c>
      <c r="V1130">
        <v>2025</v>
      </c>
      <c r="W1130" s="1">
        <f t="shared" si="2"/>
        <v>45949</v>
      </c>
      <c r="AB1130" t="str">
        <v>RES-101128</v>
      </c>
      <c r="AC1130">
        <v>45722</v>
      </c>
      <c r="AD1130">
        <v>0.44166666666666665</v>
      </c>
      <c r="AE1130" t="str">
        <v>Laureles</v>
      </c>
      <c r="AF1130" t="str">
        <v>Mesa</v>
      </c>
      <c r="AG1130" t="str">
        <v>Vegano</v>
      </c>
      <c r="AH1130">
        <v>4</v>
      </c>
      <c r="AI1130">
        <v>54526.36</v>
      </c>
      <c r="AJ1130">
        <v>1953.82</v>
      </c>
      <c r="AK1130">
        <v>27</v>
      </c>
      <c r="AL1130">
        <v>30</v>
      </c>
      <c r="AM1130" t="str">
        <v>Tarjeta</v>
      </c>
      <c r="AN1130" t="str">
        <v>Entregada</v>
      </c>
      <c r="AO1130">
        <v>3</v>
      </c>
    </row>
    <row r="1131" spans="1:41" x14ac:dyDescent="0.3">
      <c r="A1131" t="s">
        <v>1169</v>
      </c>
      <c r="B1131" s="8">
        <v>45723</v>
      </c>
      <c r="C1131" s="2">
        <v>0.48819444444444443</v>
      </c>
      <c r="D1131" t="s">
        <v>21</v>
      </c>
      <c r="E1131" t="s">
        <v>22</v>
      </c>
      <c r="F1131" t="s">
        <v>36</v>
      </c>
      <c r="G1131">
        <v>6</v>
      </c>
      <c r="H1131" s="6">
        <v>41230.58</v>
      </c>
      <c r="I1131" s="6">
        <v>6735.01</v>
      </c>
      <c r="J1131">
        <v>30</v>
      </c>
      <c r="K1131">
        <v>33</v>
      </c>
      <c r="L1131" t="s">
        <v>24</v>
      </c>
      <c r="M1131" t="s">
        <v>25</v>
      </c>
      <c r="N1131">
        <v>3</v>
      </c>
      <c r="O1131" s="4"/>
      <c r="P1131" s="4" t="str">
        <f>IF(Data_Set_2[[#This Row],[valor_bruto]]&gt;$W$13,"OUTLIER+","")</f>
        <v/>
      </c>
      <c r="Q1131" s="4" t="str">
        <f>IF(Data_Set_2[[#This Row],[valor_bruto]]&lt;$W$14,"OUTLIER-","")</f>
        <v/>
      </c>
      <c r="R1131" s="4"/>
      <c r="S1131" s="4"/>
      <c r="T1131">
        <v>10</v>
      </c>
      <c r="U1131">
        <v>20</v>
      </c>
      <c r="V1131">
        <v>2025</v>
      </c>
      <c r="W1131" s="1">
        <f t="shared" si="2"/>
        <v>45950</v>
      </c>
      <c r="AB1131" t="str">
        <v>RES-101129</v>
      </c>
      <c r="AC1131">
        <v>45723</v>
      </c>
      <c r="AD1131">
        <v>0.48819444444444443</v>
      </c>
      <c r="AE1131" t="str">
        <v>Poblado</v>
      </c>
      <c r="AF1131" t="str">
        <v>Domicilio</v>
      </c>
      <c r="AG1131" t="str">
        <v>Bebidas</v>
      </c>
      <c r="AH1131">
        <v>6</v>
      </c>
      <c r="AI1131">
        <v>41230.58</v>
      </c>
      <c r="AJ1131">
        <v>6735.01</v>
      </c>
      <c r="AK1131">
        <v>30</v>
      </c>
      <c r="AL1131">
        <v>33</v>
      </c>
      <c r="AM1131" t="str">
        <v>Efectivo</v>
      </c>
      <c r="AN1131" t="str">
        <v>Cancelada</v>
      </c>
      <c r="AO1131">
        <v>3</v>
      </c>
    </row>
    <row r="1132" spans="1:41" x14ac:dyDescent="0.3">
      <c r="A1132" t="s">
        <v>1170</v>
      </c>
      <c r="B1132" s="8">
        <v>45872</v>
      </c>
      <c r="C1132" s="2">
        <v>0.53472222222222221</v>
      </c>
      <c r="D1132" t="s">
        <v>27</v>
      </c>
      <c r="E1132" t="s">
        <v>28</v>
      </c>
      <c r="F1132" t="s">
        <v>17</v>
      </c>
      <c r="G1132">
        <v>2</v>
      </c>
      <c r="H1132" s="6">
        <v>59390.47</v>
      </c>
      <c r="I1132" s="6">
        <v>4402.88</v>
      </c>
      <c r="J1132">
        <v>14</v>
      </c>
      <c r="K1132" t="s">
        <v>1171</v>
      </c>
      <c r="L1132" t="s">
        <v>30</v>
      </c>
      <c r="M1132" t="s">
        <v>31</v>
      </c>
      <c r="N1132">
        <v>5</v>
      </c>
      <c r="O1132" s="4"/>
      <c r="P1132" s="4" t="str">
        <f>IF(Data_Set_2[[#This Row],[valor_bruto]]&gt;$W$13,"OUTLIER+","")</f>
        <v/>
      </c>
      <c r="Q1132" s="4" t="str">
        <f>IF(Data_Set_2[[#This Row],[valor_bruto]]&lt;$W$14,"OUTLIER-","")</f>
        <v/>
      </c>
      <c r="R1132" s="4"/>
      <c r="S1132" s="4"/>
      <c r="T1132">
        <v>10</v>
      </c>
      <c r="U1132">
        <v>21</v>
      </c>
      <c r="V1132">
        <v>2025</v>
      </c>
      <c r="W1132" s="1">
        <f t="shared" si="2"/>
        <v>45951</v>
      </c>
      <c r="AB1132" t="str">
        <v>RES-101130</v>
      </c>
      <c r="AC1132">
        <v>45872</v>
      </c>
      <c r="AD1132">
        <v>0.53472222222222221</v>
      </c>
      <c r="AE1132" t="str">
        <v>Centro</v>
      </c>
      <c r="AF1132" t="str">
        <v>Recoge</v>
      </c>
      <c r="AG1132" t="str">
        <v>Comida rapida</v>
      </c>
      <c r="AH1132">
        <v>2</v>
      </c>
      <c r="AI1132">
        <v>59390.47</v>
      </c>
      <c r="AJ1132">
        <v>4402.88</v>
      </c>
      <c r="AK1132">
        <v>14</v>
      </c>
      <c r="AL1132" t="str">
        <v>5.4</v>
      </c>
      <c r="AM1132" t="str">
        <v>App</v>
      </c>
      <c r="AN1132" t="str">
        <v>Reembolsada</v>
      </c>
      <c r="AO1132">
        <v>5</v>
      </c>
    </row>
    <row r="1133" spans="1:41" x14ac:dyDescent="0.3">
      <c r="A1133" t="s">
        <v>1172</v>
      </c>
      <c r="B1133" s="8">
        <v>45725</v>
      </c>
      <c r="C1133" s="2">
        <v>0.58125000000000004</v>
      </c>
      <c r="D1133" t="s">
        <v>33</v>
      </c>
      <c r="E1133" t="s">
        <v>16</v>
      </c>
      <c r="F1133" t="s">
        <v>23</v>
      </c>
      <c r="G1133">
        <v>6</v>
      </c>
      <c r="H1133" s="6">
        <v>29332.99</v>
      </c>
      <c r="I1133" s="6">
        <v>1592.73</v>
      </c>
      <c r="J1133">
        <v>22</v>
      </c>
      <c r="K1133">
        <v>33</v>
      </c>
      <c r="L1133" t="s">
        <v>18</v>
      </c>
      <c r="M1133" t="s">
        <v>19</v>
      </c>
      <c r="N1133">
        <v>5</v>
      </c>
      <c r="O1133" s="4"/>
      <c r="P1133" s="4" t="str">
        <f>IF(Data_Set_2[[#This Row],[valor_bruto]]&gt;$W$13,"OUTLIER+","")</f>
        <v/>
      </c>
      <c r="Q1133" s="4" t="str">
        <f>IF(Data_Set_2[[#This Row],[valor_bruto]]&lt;$W$14,"OUTLIER-","")</f>
        <v/>
      </c>
      <c r="R1133" s="4"/>
      <c r="S1133" s="4"/>
      <c r="T1133">
        <v>10</v>
      </c>
      <c r="U1133">
        <v>22</v>
      </c>
      <c r="V1133">
        <v>2025</v>
      </c>
      <c r="W1133" s="1">
        <f t="shared" si="2"/>
        <v>45952</v>
      </c>
      <c r="AB1133" t="str">
        <v>RES-101131</v>
      </c>
      <c r="AC1133">
        <v>45725</v>
      </c>
      <c r="AD1133">
        <v>0.58125000000000004</v>
      </c>
      <c r="AE1133" t="str">
        <v>Envigado</v>
      </c>
      <c r="AF1133" t="str">
        <v>Mesa</v>
      </c>
      <c r="AG1133" t="str">
        <v>Pasta</v>
      </c>
      <c r="AH1133">
        <v>6</v>
      </c>
      <c r="AI1133">
        <v>29332.99</v>
      </c>
      <c r="AJ1133">
        <v>1592.73</v>
      </c>
      <c r="AK1133">
        <v>22</v>
      </c>
      <c r="AL1133">
        <v>33</v>
      </c>
      <c r="AM1133" t="str">
        <v>Tarjeta</v>
      </c>
      <c r="AN1133" t="str">
        <v>Entregada</v>
      </c>
      <c r="AO1133">
        <v>5</v>
      </c>
    </row>
    <row r="1134" spans="1:41" x14ac:dyDescent="0.3">
      <c r="A1134" t="s">
        <v>1173</v>
      </c>
      <c r="B1134" s="8">
        <v>45726</v>
      </c>
      <c r="C1134" s="2">
        <v>0.58611111111111114</v>
      </c>
      <c r="D1134" t="s">
        <v>15</v>
      </c>
      <c r="E1134" t="s">
        <v>22</v>
      </c>
      <c r="F1134" t="s">
        <v>29</v>
      </c>
      <c r="G1134">
        <v>4</v>
      </c>
      <c r="H1134" s="6">
        <v>57276.7</v>
      </c>
      <c r="I1134" s="6">
        <v>6025.68</v>
      </c>
      <c r="J1134">
        <v>16</v>
      </c>
      <c r="K1134">
        <v>43</v>
      </c>
      <c r="L1134" t="s">
        <v>24</v>
      </c>
      <c r="M1134" t="s">
        <v>25</v>
      </c>
      <c r="N1134">
        <v>3</v>
      </c>
      <c r="O1134" s="4"/>
      <c r="P1134" s="4" t="str">
        <f>IF(Data_Set_2[[#This Row],[valor_bruto]]&gt;$W$13,"OUTLIER+","")</f>
        <v/>
      </c>
      <c r="Q1134" s="4" t="str">
        <f>IF(Data_Set_2[[#This Row],[valor_bruto]]&lt;$W$14,"OUTLIER-","")</f>
        <v/>
      </c>
      <c r="R1134" s="4"/>
      <c r="S1134" s="4"/>
      <c r="T1134">
        <v>10</v>
      </c>
      <c r="U1134">
        <v>23</v>
      </c>
      <c r="V1134">
        <v>2025</v>
      </c>
      <c r="W1134" s="1">
        <f t="shared" si="2"/>
        <v>45953</v>
      </c>
      <c r="AB1134" t="str">
        <v>RES-101132</v>
      </c>
      <c r="AC1134">
        <v>45726</v>
      </c>
      <c r="AD1134">
        <v>0.58611111111111114</v>
      </c>
      <c r="AE1134" t="str">
        <v>Laureles</v>
      </c>
      <c r="AF1134" t="str">
        <v>Domicilio</v>
      </c>
      <c r="AG1134" t="str">
        <v>Parrilla</v>
      </c>
      <c r="AH1134">
        <v>4</v>
      </c>
      <c r="AI1134">
        <v>57276.7</v>
      </c>
      <c r="AJ1134">
        <v>6025.68</v>
      </c>
      <c r="AK1134">
        <v>16</v>
      </c>
      <c r="AL1134">
        <v>43</v>
      </c>
      <c r="AM1134" t="str">
        <v>Efectivo</v>
      </c>
      <c r="AN1134" t="str">
        <v>Cancelada</v>
      </c>
      <c r="AO1134">
        <v>3</v>
      </c>
    </row>
    <row r="1135" spans="1:41" x14ac:dyDescent="0.3">
      <c r="A1135" t="s">
        <v>1174</v>
      </c>
      <c r="B1135" s="8">
        <v>45964</v>
      </c>
      <c r="C1135" s="2">
        <v>0.63263888888888886</v>
      </c>
      <c r="D1135" t="s">
        <v>21</v>
      </c>
      <c r="E1135" t="s">
        <v>28</v>
      </c>
      <c r="F1135" t="s">
        <v>34</v>
      </c>
      <c r="G1135">
        <v>4</v>
      </c>
      <c r="H1135" s="6">
        <v>47838.86</v>
      </c>
      <c r="I1135" s="6">
        <v>7041.65</v>
      </c>
      <c r="J1135">
        <v>31</v>
      </c>
      <c r="K1135">
        <v>43</v>
      </c>
      <c r="L1135" t="s">
        <v>30</v>
      </c>
      <c r="M1135" t="s">
        <v>31</v>
      </c>
      <c r="N1135">
        <v>5</v>
      </c>
      <c r="O1135" s="4"/>
      <c r="P1135" s="4" t="str">
        <f>IF(Data_Set_2[[#This Row],[valor_bruto]]&gt;$W$13,"OUTLIER+","")</f>
        <v/>
      </c>
      <c r="Q1135" s="4" t="str">
        <f>IF(Data_Set_2[[#This Row],[valor_bruto]]&lt;$W$14,"OUTLIER-","")</f>
        <v/>
      </c>
      <c r="R1135" s="4"/>
      <c r="S1135" s="4"/>
      <c r="T1135">
        <v>10</v>
      </c>
      <c r="U1135">
        <v>24</v>
      </c>
      <c r="V1135">
        <v>2025</v>
      </c>
      <c r="W1135" s="1">
        <f t="shared" ref="W1135:W1181" si="3">DATE(V1135,T1135,U1135)</f>
        <v>45954</v>
      </c>
      <c r="AB1135" t="str">
        <v>RES-101133</v>
      </c>
      <c r="AC1135">
        <v>45964</v>
      </c>
      <c r="AD1135">
        <v>0.63263888888888886</v>
      </c>
      <c r="AE1135" t="str">
        <v>Poblado</v>
      </c>
      <c r="AF1135" t="str">
        <v>Recoge</v>
      </c>
      <c r="AG1135" t="str">
        <v>Vegano</v>
      </c>
      <c r="AH1135">
        <v>4</v>
      </c>
      <c r="AI1135">
        <v>47838.86</v>
      </c>
      <c r="AJ1135">
        <v>7041.65</v>
      </c>
      <c r="AK1135">
        <v>31</v>
      </c>
      <c r="AL1135">
        <v>43</v>
      </c>
      <c r="AM1135" t="str">
        <v>App</v>
      </c>
      <c r="AN1135" t="str">
        <v>Reembolsada</v>
      </c>
      <c r="AO1135">
        <v>5</v>
      </c>
    </row>
    <row r="1136" spans="1:41" x14ac:dyDescent="0.3">
      <c r="A1136" t="s">
        <v>1175</v>
      </c>
      <c r="B1136" s="8">
        <v>45728</v>
      </c>
      <c r="C1136" s="2">
        <v>0.6791666666666667</v>
      </c>
      <c r="D1136" t="s">
        <v>27</v>
      </c>
      <c r="E1136" t="s">
        <v>16</v>
      </c>
      <c r="F1136" t="s">
        <v>36</v>
      </c>
      <c r="G1136">
        <v>6</v>
      </c>
      <c r="H1136" s="6">
        <v>38798.120000000003</v>
      </c>
      <c r="I1136" s="6">
        <v>5949.21</v>
      </c>
      <c r="J1136">
        <v>21</v>
      </c>
      <c r="K1136">
        <v>26</v>
      </c>
      <c r="L1136" t="s">
        <v>18</v>
      </c>
      <c r="M1136" t="s">
        <v>19</v>
      </c>
      <c r="N1136">
        <v>3</v>
      </c>
      <c r="O1136" s="4"/>
      <c r="P1136" s="4" t="str">
        <f>IF(Data_Set_2[[#This Row],[valor_bruto]]&gt;$W$13,"OUTLIER+","")</f>
        <v/>
      </c>
      <c r="Q1136" s="4" t="str">
        <f>IF(Data_Set_2[[#This Row],[valor_bruto]]&lt;$W$14,"OUTLIER-","")</f>
        <v/>
      </c>
      <c r="R1136" s="4"/>
      <c r="S1136" s="4"/>
      <c r="T1136">
        <v>10</v>
      </c>
      <c r="U1136">
        <v>25</v>
      </c>
      <c r="V1136">
        <v>2025</v>
      </c>
      <c r="W1136" s="1">
        <f t="shared" si="3"/>
        <v>45955</v>
      </c>
      <c r="AB1136" t="str">
        <v>RES-101134</v>
      </c>
      <c r="AC1136">
        <v>45728</v>
      </c>
      <c r="AD1136">
        <v>0.6791666666666667</v>
      </c>
      <c r="AE1136" t="str">
        <v>Centro</v>
      </c>
      <c r="AF1136" t="str">
        <v>Mesa</v>
      </c>
      <c r="AG1136" t="str">
        <v>Bebidas</v>
      </c>
      <c r="AH1136">
        <v>6</v>
      </c>
      <c r="AI1136">
        <v>38798.120000000003</v>
      </c>
      <c r="AJ1136">
        <v>5949.21</v>
      </c>
      <c r="AK1136">
        <v>21</v>
      </c>
      <c r="AL1136">
        <v>26</v>
      </c>
      <c r="AM1136" t="str">
        <v>Tarjeta</v>
      </c>
      <c r="AN1136" t="str">
        <v>Entregada</v>
      </c>
      <c r="AO1136">
        <v>3</v>
      </c>
    </row>
    <row r="1137" spans="1:41" x14ac:dyDescent="0.3">
      <c r="A1137" t="s">
        <v>1176</v>
      </c>
      <c r="B1137" s="8">
        <v>45729</v>
      </c>
      <c r="C1137" s="2">
        <v>0.72569444444444442</v>
      </c>
      <c r="D1137" t="s">
        <v>33</v>
      </c>
      <c r="E1137" t="s">
        <v>22</v>
      </c>
      <c r="F1137" t="s">
        <v>17</v>
      </c>
      <c r="G1137">
        <v>4</v>
      </c>
      <c r="H1137" s="6">
        <v>50803.78</v>
      </c>
      <c r="I1137" s="6">
        <v>2499.59</v>
      </c>
      <c r="J1137">
        <v>29</v>
      </c>
      <c r="K1137">
        <v>45</v>
      </c>
      <c r="L1137" t="s">
        <v>24</v>
      </c>
      <c r="M1137" t="s">
        <v>25</v>
      </c>
      <c r="N1137">
        <v>3</v>
      </c>
      <c r="O1137" s="4"/>
      <c r="P1137" s="4" t="str">
        <f>IF(Data_Set_2[[#This Row],[valor_bruto]]&gt;$W$13,"OUTLIER+","")</f>
        <v/>
      </c>
      <c r="Q1137" s="4" t="str">
        <f>IF(Data_Set_2[[#This Row],[valor_bruto]]&lt;$W$14,"OUTLIER-","")</f>
        <v/>
      </c>
      <c r="R1137" s="4"/>
      <c r="S1137" s="4"/>
      <c r="T1137">
        <v>10</v>
      </c>
      <c r="U1137">
        <v>26</v>
      </c>
      <c r="V1137">
        <v>2025</v>
      </c>
      <c r="W1137" s="1">
        <f t="shared" si="3"/>
        <v>45956</v>
      </c>
      <c r="AB1137" t="str">
        <v>RES-101135</v>
      </c>
      <c r="AC1137">
        <v>45729</v>
      </c>
      <c r="AD1137">
        <v>0.72569444444444442</v>
      </c>
      <c r="AE1137" t="str">
        <v>Envigado</v>
      </c>
      <c r="AF1137" t="str">
        <v>Domicilio</v>
      </c>
      <c r="AG1137" t="str">
        <v>Comida rapida</v>
      </c>
      <c r="AH1137">
        <v>4</v>
      </c>
      <c r="AI1137">
        <v>50803.78</v>
      </c>
      <c r="AJ1137">
        <v>2499.59</v>
      </c>
      <c r="AK1137">
        <v>29</v>
      </c>
      <c r="AL1137">
        <v>45</v>
      </c>
      <c r="AM1137" t="str">
        <v>Efectivo</v>
      </c>
      <c r="AN1137" t="str">
        <v>Cancelada</v>
      </c>
      <c r="AO1137">
        <v>3</v>
      </c>
    </row>
    <row r="1138" spans="1:41" x14ac:dyDescent="0.3">
      <c r="A1138" t="s">
        <v>1177</v>
      </c>
      <c r="B1138" s="8">
        <v>45730</v>
      </c>
      <c r="C1138" s="2">
        <v>0.77222222222222225</v>
      </c>
      <c r="D1138" t="s">
        <v>15</v>
      </c>
      <c r="E1138" t="s">
        <v>28</v>
      </c>
      <c r="F1138" t="s">
        <v>23</v>
      </c>
      <c r="G1138">
        <v>3</v>
      </c>
      <c r="H1138" s="6">
        <v>56173.42</v>
      </c>
      <c r="I1138" s="6">
        <v>4364.0200000000004</v>
      </c>
      <c r="J1138">
        <v>14</v>
      </c>
      <c r="K1138">
        <v>28</v>
      </c>
      <c r="L1138" t="s">
        <v>30</v>
      </c>
      <c r="M1138" t="s">
        <v>31</v>
      </c>
      <c r="N1138">
        <v>4</v>
      </c>
      <c r="O1138" s="4"/>
      <c r="P1138" s="4" t="str">
        <f>IF(Data_Set_2[[#This Row],[valor_bruto]]&gt;$W$13,"OUTLIER+","")</f>
        <v/>
      </c>
      <c r="Q1138" s="4" t="str">
        <f>IF(Data_Set_2[[#This Row],[valor_bruto]]&lt;$W$14,"OUTLIER-","")</f>
        <v/>
      </c>
      <c r="R1138" s="4"/>
      <c r="S1138" s="4"/>
      <c r="T1138">
        <v>10</v>
      </c>
      <c r="U1138">
        <v>27</v>
      </c>
      <c r="V1138">
        <v>2025</v>
      </c>
      <c r="W1138" s="1">
        <f t="shared" si="3"/>
        <v>45957</v>
      </c>
      <c r="AB1138" t="str">
        <v>RES-101136</v>
      </c>
      <c r="AC1138">
        <v>45730</v>
      </c>
      <c r="AD1138">
        <v>0.77222222222222225</v>
      </c>
      <c r="AE1138" t="str">
        <v>Laureles</v>
      </c>
      <c r="AF1138" t="str">
        <v>Recoge</v>
      </c>
      <c r="AG1138" t="str">
        <v>Pasta</v>
      </c>
      <c r="AH1138">
        <v>3</v>
      </c>
      <c r="AI1138">
        <v>56173.42</v>
      </c>
      <c r="AJ1138">
        <v>4364.0200000000004</v>
      </c>
      <c r="AK1138">
        <v>14</v>
      </c>
      <c r="AL1138">
        <v>28</v>
      </c>
      <c r="AM1138" t="str">
        <v>App</v>
      </c>
      <c r="AN1138" t="str">
        <v>Reembolsada</v>
      </c>
      <c r="AO1138">
        <v>4</v>
      </c>
    </row>
    <row r="1139" spans="1:41" x14ac:dyDescent="0.3">
      <c r="A1139" t="s">
        <v>1178</v>
      </c>
      <c r="B1139" s="8">
        <v>45731</v>
      </c>
      <c r="C1139" s="2">
        <v>0.81874999999999998</v>
      </c>
      <c r="D1139" t="s">
        <v>21</v>
      </c>
      <c r="E1139" t="s">
        <v>16</v>
      </c>
      <c r="F1139" t="s">
        <v>29</v>
      </c>
      <c r="G1139">
        <v>6</v>
      </c>
      <c r="H1139" s="6">
        <v>47446.720000000001</v>
      </c>
      <c r="I1139" s="6">
        <v>3766.59</v>
      </c>
      <c r="J1139">
        <v>23</v>
      </c>
      <c r="K1139">
        <v>40</v>
      </c>
      <c r="L1139" t="s">
        <v>18</v>
      </c>
      <c r="M1139" t="s">
        <v>19</v>
      </c>
      <c r="N1139">
        <v>5</v>
      </c>
      <c r="O1139" s="4"/>
      <c r="P1139" s="4" t="str">
        <f>IF(Data_Set_2[[#This Row],[valor_bruto]]&gt;$W$13,"OUTLIER+","")</f>
        <v/>
      </c>
      <c r="Q1139" s="4" t="str">
        <f>IF(Data_Set_2[[#This Row],[valor_bruto]]&lt;$W$14,"OUTLIER-","")</f>
        <v/>
      </c>
      <c r="R1139" s="4"/>
      <c r="S1139" s="4"/>
      <c r="T1139">
        <v>10</v>
      </c>
      <c r="U1139">
        <v>28</v>
      </c>
      <c r="V1139">
        <v>2025</v>
      </c>
      <c r="W1139" s="1">
        <f t="shared" si="3"/>
        <v>45958</v>
      </c>
      <c r="AB1139" t="str">
        <v>RES-101137</v>
      </c>
      <c r="AC1139">
        <v>45731</v>
      </c>
      <c r="AD1139">
        <v>0.81874999999999998</v>
      </c>
      <c r="AE1139" t="str">
        <v>Poblado</v>
      </c>
      <c r="AF1139" t="str">
        <v>Mesa</v>
      </c>
      <c r="AG1139" t="str">
        <v>Parrilla</v>
      </c>
      <c r="AH1139">
        <v>6</v>
      </c>
      <c r="AI1139">
        <v>47446.720000000001</v>
      </c>
      <c r="AJ1139">
        <v>3766.59</v>
      </c>
      <c r="AK1139">
        <v>23</v>
      </c>
      <c r="AL1139">
        <v>40</v>
      </c>
      <c r="AM1139" t="str">
        <v>Tarjeta</v>
      </c>
      <c r="AN1139" t="str">
        <v>Entregada</v>
      </c>
      <c r="AO1139">
        <v>5</v>
      </c>
    </row>
    <row r="1140" spans="1:41" x14ac:dyDescent="0.3">
      <c r="A1140" t="s">
        <v>1179</v>
      </c>
      <c r="B1140" s="8">
        <v>45732</v>
      </c>
      <c r="C1140" s="2">
        <v>0.86527777777777781</v>
      </c>
      <c r="D1140" t="s">
        <v>27</v>
      </c>
      <c r="E1140" t="s">
        <v>22</v>
      </c>
      <c r="F1140" t="s">
        <v>34</v>
      </c>
      <c r="G1140">
        <v>5</v>
      </c>
      <c r="H1140" s="6">
        <v>58680.15</v>
      </c>
      <c r="I1140" s="6">
        <v>5227.3938888888888</v>
      </c>
      <c r="J1140">
        <v>15</v>
      </c>
      <c r="K1140">
        <v>29</v>
      </c>
      <c r="L1140" t="s">
        <v>24</v>
      </c>
      <c r="M1140" t="s">
        <v>25</v>
      </c>
      <c r="N1140">
        <v>4</v>
      </c>
      <c r="O1140" s="4"/>
      <c r="P1140" s="4" t="str">
        <f>IF(Data_Set_2[[#This Row],[valor_bruto]]&gt;$W$13,"OUTLIER+","")</f>
        <v/>
      </c>
      <c r="Q1140" s="4" t="str">
        <f>IF(Data_Set_2[[#This Row],[valor_bruto]]&lt;$W$14,"OUTLIER-","")</f>
        <v/>
      </c>
      <c r="R1140" s="4"/>
      <c r="S1140" s="4"/>
      <c r="T1140">
        <v>10</v>
      </c>
      <c r="U1140">
        <v>29</v>
      </c>
      <c r="V1140">
        <v>2025</v>
      </c>
      <c r="W1140" s="1">
        <f t="shared" si="3"/>
        <v>45959</v>
      </c>
      <c r="AB1140" t="str">
        <v>RES-101138</v>
      </c>
      <c r="AC1140">
        <v>45732</v>
      </c>
      <c r="AD1140">
        <v>0.86527777777777781</v>
      </c>
      <c r="AE1140" t="str">
        <v>Centro</v>
      </c>
      <c r="AF1140" t="str">
        <v>Domicilio</v>
      </c>
      <c r="AG1140" t="str">
        <v>Vegano</v>
      </c>
      <c r="AH1140">
        <v>5</v>
      </c>
      <c r="AI1140">
        <v>58680.15</v>
      </c>
      <c r="AJ1140">
        <v>5227.3938888888888</v>
      </c>
      <c r="AK1140">
        <v>15</v>
      </c>
      <c r="AL1140">
        <v>29</v>
      </c>
      <c r="AM1140" t="str">
        <v>Efectivo</v>
      </c>
      <c r="AN1140" t="str">
        <v>Cancelada</v>
      </c>
      <c r="AO1140">
        <v>4</v>
      </c>
    </row>
    <row r="1141" spans="1:41" x14ac:dyDescent="0.3">
      <c r="A1141" t="s">
        <v>1180</v>
      </c>
      <c r="B1141" s="8">
        <v>45733</v>
      </c>
      <c r="C1141" s="2">
        <v>0.91180555555555554</v>
      </c>
      <c r="D1141" t="s">
        <v>33</v>
      </c>
      <c r="E1141" t="s">
        <v>28</v>
      </c>
      <c r="F1141" t="s">
        <v>36</v>
      </c>
      <c r="G1141">
        <v>6</v>
      </c>
      <c r="H1141" s="6">
        <v>64967.64</v>
      </c>
      <c r="I1141" s="6">
        <v>3015.01</v>
      </c>
      <c r="J1141">
        <v>13</v>
      </c>
      <c r="K1141">
        <v>36</v>
      </c>
      <c r="L1141" t="s">
        <v>30</v>
      </c>
      <c r="M1141" t="s">
        <v>31</v>
      </c>
      <c r="N1141">
        <v>4</v>
      </c>
      <c r="O1141" s="4"/>
      <c r="P1141" s="4" t="str">
        <f>IF(Data_Set_2[[#This Row],[valor_bruto]]&gt;$W$13,"OUTLIER+","")</f>
        <v/>
      </c>
      <c r="Q1141" s="4" t="str">
        <f>IF(Data_Set_2[[#This Row],[valor_bruto]]&lt;$W$14,"OUTLIER-","")</f>
        <v/>
      </c>
      <c r="R1141" s="4"/>
      <c r="S1141" s="4"/>
      <c r="T1141">
        <v>10</v>
      </c>
      <c r="U1141">
        <v>30</v>
      </c>
      <c r="V1141">
        <v>2025</v>
      </c>
      <c r="W1141" s="1">
        <f t="shared" si="3"/>
        <v>45960</v>
      </c>
      <c r="AB1141" t="str">
        <v>RES-101139</v>
      </c>
      <c r="AC1141">
        <v>45733</v>
      </c>
      <c r="AD1141">
        <v>0.91180555555555554</v>
      </c>
      <c r="AE1141" t="str">
        <v>Envigado</v>
      </c>
      <c r="AF1141" t="str">
        <v>Recoge</v>
      </c>
      <c r="AG1141" t="str">
        <v>Bebidas</v>
      </c>
      <c r="AH1141">
        <v>6</v>
      </c>
      <c r="AI1141">
        <v>64967.64</v>
      </c>
      <c r="AJ1141">
        <v>3015.01</v>
      </c>
      <c r="AK1141">
        <v>13</v>
      </c>
      <c r="AL1141">
        <v>36</v>
      </c>
      <c r="AM1141" t="str">
        <v>App</v>
      </c>
      <c r="AN1141" t="str">
        <v>Reembolsada</v>
      </c>
      <c r="AO1141">
        <v>4</v>
      </c>
    </row>
    <row r="1142" spans="1:41" x14ac:dyDescent="0.3">
      <c r="A1142" t="s">
        <v>1181</v>
      </c>
      <c r="B1142" s="8">
        <v>45734</v>
      </c>
      <c r="C1142" s="2">
        <v>0.41666666666666669</v>
      </c>
      <c r="D1142" t="s">
        <v>15</v>
      </c>
      <c r="E1142" t="s">
        <v>16</v>
      </c>
      <c r="F1142" t="s">
        <v>17</v>
      </c>
      <c r="G1142">
        <v>5</v>
      </c>
      <c r="H1142" s="6">
        <v>54965.1</v>
      </c>
      <c r="I1142" s="6">
        <v>5427.56</v>
      </c>
      <c r="J1142">
        <v>28</v>
      </c>
      <c r="K1142">
        <v>36</v>
      </c>
      <c r="L1142" t="s">
        <v>18</v>
      </c>
      <c r="M1142" t="s">
        <v>19</v>
      </c>
      <c r="N1142">
        <v>5</v>
      </c>
      <c r="O1142" s="4"/>
      <c r="P1142" s="4" t="str">
        <f>IF(Data_Set_2[[#This Row],[valor_bruto]]&gt;$W$13,"OUTLIER+","")</f>
        <v/>
      </c>
      <c r="Q1142" s="4" t="str">
        <f>IF(Data_Set_2[[#This Row],[valor_bruto]]&lt;$W$14,"OUTLIER-","")</f>
        <v/>
      </c>
      <c r="R1142" s="4"/>
      <c r="S1142" s="4"/>
      <c r="T1142">
        <v>10</v>
      </c>
      <c r="U1142">
        <v>31</v>
      </c>
      <c r="V1142">
        <v>2025</v>
      </c>
      <c r="W1142" s="1">
        <f t="shared" si="3"/>
        <v>45961</v>
      </c>
      <c r="AB1142" t="str">
        <v>RES-101140</v>
      </c>
      <c r="AC1142">
        <v>45734</v>
      </c>
      <c r="AD1142">
        <v>0.41666666666666669</v>
      </c>
      <c r="AE1142" t="str">
        <v>Laureles</v>
      </c>
      <c r="AF1142" t="str">
        <v>Mesa</v>
      </c>
      <c r="AG1142" t="str">
        <v>Comida rapida</v>
      </c>
      <c r="AH1142">
        <v>5</v>
      </c>
      <c r="AI1142">
        <v>54965.1</v>
      </c>
      <c r="AJ1142">
        <v>5427.56</v>
      </c>
      <c r="AK1142">
        <v>28</v>
      </c>
      <c r="AL1142">
        <v>36</v>
      </c>
      <c r="AM1142" t="str">
        <v>Tarjeta</v>
      </c>
      <c r="AN1142" t="str">
        <v>Entregada</v>
      </c>
      <c r="AO1142">
        <v>5</v>
      </c>
    </row>
    <row r="1143" spans="1:41" x14ac:dyDescent="0.3">
      <c r="A1143" t="s">
        <v>1182</v>
      </c>
      <c r="B1143" s="8">
        <v>45735</v>
      </c>
      <c r="C1143" s="2">
        <v>0.46319444444444446</v>
      </c>
      <c r="D1143" t="s">
        <v>21</v>
      </c>
      <c r="E1143" t="s">
        <v>22</v>
      </c>
      <c r="F1143" t="s">
        <v>23</v>
      </c>
      <c r="G1143">
        <v>6</v>
      </c>
      <c r="H1143" s="6">
        <v>34689.94</v>
      </c>
      <c r="I1143" s="6">
        <v>1534.26</v>
      </c>
      <c r="J1143">
        <v>15</v>
      </c>
      <c r="K1143">
        <v>35</v>
      </c>
      <c r="L1143" t="s">
        <v>24</v>
      </c>
      <c r="M1143" t="s">
        <v>25</v>
      </c>
      <c r="N1143">
        <v>3</v>
      </c>
      <c r="O1143" s="4"/>
      <c r="P1143" s="4" t="str">
        <f>IF(Data_Set_2[[#This Row],[valor_bruto]]&gt;$W$13,"OUTLIER+","")</f>
        <v/>
      </c>
      <c r="Q1143" s="4" t="str">
        <f>IF(Data_Set_2[[#This Row],[valor_bruto]]&lt;$W$14,"OUTLIER-","")</f>
        <v/>
      </c>
      <c r="R1143" s="4"/>
      <c r="S1143" s="4"/>
      <c r="T1143">
        <v>11</v>
      </c>
      <c r="U1143">
        <v>13</v>
      </c>
      <c r="V1143">
        <v>2025</v>
      </c>
      <c r="W1143" s="1">
        <f t="shared" si="3"/>
        <v>45974</v>
      </c>
      <c r="AB1143" t="str">
        <v>RES-101141</v>
      </c>
      <c r="AC1143">
        <v>45735</v>
      </c>
      <c r="AD1143">
        <v>0.46319444444444446</v>
      </c>
      <c r="AE1143" t="str">
        <v>Poblado</v>
      </c>
      <c r="AF1143" t="str">
        <v>Domicilio</v>
      </c>
      <c r="AG1143" t="str">
        <v>Pasta</v>
      </c>
      <c r="AH1143">
        <v>6</v>
      </c>
      <c r="AI1143">
        <v>34689.94</v>
      </c>
      <c r="AJ1143">
        <v>1534.26</v>
      </c>
      <c r="AK1143">
        <v>15</v>
      </c>
      <c r="AL1143">
        <v>35</v>
      </c>
      <c r="AM1143" t="str">
        <v>Efectivo</v>
      </c>
      <c r="AN1143" t="str">
        <v>Cancelada</v>
      </c>
      <c r="AO1143">
        <v>3</v>
      </c>
    </row>
    <row r="1144" spans="1:41" x14ac:dyDescent="0.3">
      <c r="A1144" t="s">
        <v>1183</v>
      </c>
      <c r="B1144" s="8">
        <v>45736</v>
      </c>
      <c r="C1144" s="2">
        <v>0.50972222222222219</v>
      </c>
      <c r="D1144" t="s">
        <v>27</v>
      </c>
      <c r="E1144" t="s">
        <v>28</v>
      </c>
      <c r="F1144" t="s">
        <v>29</v>
      </c>
      <c r="G1144">
        <v>2</v>
      </c>
      <c r="H1144" s="6">
        <v>26732.44</v>
      </c>
      <c r="I1144" s="6">
        <v>1271.1199999999999</v>
      </c>
      <c r="J1144">
        <v>13</v>
      </c>
      <c r="K1144">
        <v>37</v>
      </c>
      <c r="L1144" t="s">
        <v>30</v>
      </c>
      <c r="M1144" t="s">
        <v>31</v>
      </c>
      <c r="N1144">
        <v>4</v>
      </c>
      <c r="O1144" s="4"/>
      <c r="P1144" s="4" t="str">
        <f>IF(Data_Set_2[[#This Row],[valor_bruto]]&gt;$W$13,"OUTLIER+","")</f>
        <v/>
      </c>
      <c r="Q1144" s="4" t="str">
        <f>IF(Data_Set_2[[#This Row],[valor_bruto]]&lt;$W$14,"OUTLIER-","")</f>
        <v/>
      </c>
      <c r="R1144" s="4"/>
      <c r="S1144" s="4"/>
      <c r="T1144">
        <v>11</v>
      </c>
      <c r="U1144">
        <v>14</v>
      </c>
      <c r="V1144">
        <v>2025</v>
      </c>
      <c r="W1144" s="1">
        <f t="shared" si="3"/>
        <v>45975</v>
      </c>
      <c r="AB1144" t="str">
        <v>RES-101142</v>
      </c>
      <c r="AC1144">
        <v>45736</v>
      </c>
      <c r="AD1144">
        <v>0.50972222222222219</v>
      </c>
      <c r="AE1144" t="str">
        <v>Centro</v>
      </c>
      <c r="AF1144" t="str">
        <v>Recoge</v>
      </c>
      <c r="AG1144" t="str">
        <v>Parrilla</v>
      </c>
      <c r="AH1144">
        <v>2</v>
      </c>
      <c r="AI1144">
        <v>26732.44</v>
      </c>
      <c r="AJ1144">
        <v>1271.1199999999999</v>
      </c>
      <c r="AK1144">
        <v>13</v>
      </c>
      <c r="AL1144">
        <v>37</v>
      </c>
      <c r="AM1144" t="str">
        <v>App</v>
      </c>
      <c r="AN1144" t="str">
        <v>Reembolsada</v>
      </c>
      <c r="AO1144">
        <v>4</v>
      </c>
    </row>
    <row r="1145" spans="1:41" x14ac:dyDescent="0.3">
      <c r="A1145" t="s">
        <v>1184</v>
      </c>
      <c r="B1145" s="8">
        <v>45737</v>
      </c>
      <c r="C1145" s="2">
        <v>0.55625000000000002</v>
      </c>
      <c r="D1145" t="s">
        <v>33</v>
      </c>
      <c r="E1145" t="s">
        <v>16</v>
      </c>
      <c r="F1145" t="s">
        <v>34</v>
      </c>
      <c r="G1145">
        <v>4</v>
      </c>
      <c r="H1145" s="6">
        <v>44587.45</v>
      </c>
      <c r="I1145" s="6">
        <v>4595.71</v>
      </c>
      <c r="J1145">
        <v>27</v>
      </c>
      <c r="K1145">
        <v>24</v>
      </c>
      <c r="L1145" t="s">
        <v>18</v>
      </c>
      <c r="M1145" t="s">
        <v>19</v>
      </c>
      <c r="N1145">
        <v>3</v>
      </c>
      <c r="O1145" s="4"/>
      <c r="P1145" s="4" t="str">
        <f>IF(Data_Set_2[[#This Row],[valor_bruto]]&gt;$W$13,"OUTLIER+","")</f>
        <v/>
      </c>
      <c r="Q1145" s="4" t="str">
        <f>IF(Data_Set_2[[#This Row],[valor_bruto]]&lt;$W$14,"OUTLIER-","")</f>
        <v/>
      </c>
      <c r="R1145" s="4"/>
      <c r="S1145" s="4"/>
      <c r="T1145">
        <v>11</v>
      </c>
      <c r="U1145">
        <v>15</v>
      </c>
      <c r="V1145">
        <v>2025</v>
      </c>
      <c r="W1145" s="1">
        <f t="shared" si="3"/>
        <v>45976</v>
      </c>
      <c r="AB1145" t="str">
        <v>RES-101143</v>
      </c>
      <c r="AC1145">
        <v>45737</v>
      </c>
      <c r="AD1145">
        <v>0.55625000000000002</v>
      </c>
      <c r="AE1145" t="str">
        <v>Envigado</v>
      </c>
      <c r="AF1145" t="str">
        <v>Mesa</v>
      </c>
      <c r="AG1145" t="str">
        <v>Vegano</v>
      </c>
      <c r="AH1145">
        <v>4</v>
      </c>
      <c r="AI1145">
        <v>44587.45</v>
      </c>
      <c r="AJ1145">
        <v>4595.71</v>
      </c>
      <c r="AK1145">
        <v>27</v>
      </c>
      <c r="AL1145">
        <v>24</v>
      </c>
      <c r="AM1145" t="str">
        <v>Tarjeta</v>
      </c>
      <c r="AN1145" t="str">
        <v>Entregada</v>
      </c>
      <c r="AO1145">
        <v>3</v>
      </c>
    </row>
    <row r="1146" spans="1:41" x14ac:dyDescent="0.3">
      <c r="A1146" t="s">
        <v>1185</v>
      </c>
      <c r="B1146" s="8">
        <v>45738</v>
      </c>
      <c r="C1146" s="2">
        <v>0.60277777777777775</v>
      </c>
      <c r="D1146" t="s">
        <v>15</v>
      </c>
      <c r="E1146" t="s">
        <v>22</v>
      </c>
      <c r="F1146" t="s">
        <v>36</v>
      </c>
      <c r="G1146">
        <v>2</v>
      </c>
      <c r="H1146" s="6">
        <v>33492.230000000003</v>
      </c>
      <c r="I1146" s="6">
        <v>758.59</v>
      </c>
      <c r="J1146">
        <v>28</v>
      </c>
      <c r="K1146">
        <v>28</v>
      </c>
      <c r="L1146" t="s">
        <v>24</v>
      </c>
      <c r="M1146" t="s">
        <v>25</v>
      </c>
      <c r="N1146">
        <v>3</v>
      </c>
      <c r="O1146" s="4"/>
      <c r="P1146" s="4" t="str">
        <f>IF(Data_Set_2[[#This Row],[valor_bruto]]&gt;$W$13,"OUTLIER+","")</f>
        <v/>
      </c>
      <c r="Q1146" s="4" t="str">
        <f>IF(Data_Set_2[[#This Row],[valor_bruto]]&lt;$W$14,"OUTLIER-","")</f>
        <v/>
      </c>
      <c r="R1146" s="4"/>
      <c r="S1146" s="4"/>
      <c r="T1146">
        <v>11</v>
      </c>
      <c r="U1146">
        <v>16</v>
      </c>
      <c r="V1146">
        <v>2025</v>
      </c>
      <c r="W1146" s="1">
        <f t="shared" si="3"/>
        <v>45977</v>
      </c>
      <c r="AB1146" t="str">
        <v>RES-101144</v>
      </c>
      <c r="AC1146">
        <v>45738</v>
      </c>
      <c r="AD1146">
        <v>0.60277777777777775</v>
      </c>
      <c r="AE1146" t="str">
        <v>Laureles</v>
      </c>
      <c r="AF1146" t="str">
        <v>Domicilio</v>
      </c>
      <c r="AG1146" t="str">
        <v>Bebidas</v>
      </c>
      <c r="AH1146">
        <v>2</v>
      </c>
      <c r="AI1146">
        <v>33492.230000000003</v>
      </c>
      <c r="AJ1146">
        <v>758.59</v>
      </c>
      <c r="AK1146">
        <v>28</v>
      </c>
      <c r="AL1146">
        <v>28</v>
      </c>
      <c r="AM1146" t="str">
        <v>Efectivo</v>
      </c>
      <c r="AN1146" t="str">
        <v>Cancelada</v>
      </c>
      <c r="AO1146">
        <v>3</v>
      </c>
    </row>
    <row r="1147" spans="1:41" x14ac:dyDescent="0.3">
      <c r="A1147" t="s">
        <v>1186</v>
      </c>
      <c r="B1147" s="8">
        <v>45739</v>
      </c>
      <c r="C1147" s="2">
        <v>0.64930555555555558</v>
      </c>
      <c r="D1147" t="s">
        <v>21</v>
      </c>
      <c r="E1147" t="s">
        <v>28</v>
      </c>
      <c r="F1147" t="s">
        <v>17</v>
      </c>
      <c r="G1147">
        <v>4</v>
      </c>
      <c r="H1147" s="6">
        <v>28036.41</v>
      </c>
      <c r="I1147" s="6">
        <v>8325.6</v>
      </c>
      <c r="J1147">
        <v>18</v>
      </c>
      <c r="K1147">
        <v>53</v>
      </c>
      <c r="L1147" t="s">
        <v>30</v>
      </c>
      <c r="M1147" t="s">
        <v>31</v>
      </c>
      <c r="N1147">
        <v>3</v>
      </c>
      <c r="O1147" s="4"/>
      <c r="P1147" s="4" t="str">
        <f>IF(Data_Set_2[[#This Row],[valor_bruto]]&gt;$W$13,"OUTLIER+","")</f>
        <v/>
      </c>
      <c r="Q1147" s="4" t="str">
        <f>IF(Data_Set_2[[#This Row],[valor_bruto]]&lt;$W$14,"OUTLIER-","")</f>
        <v/>
      </c>
      <c r="R1147" s="4"/>
      <c r="S1147" s="4"/>
      <c r="T1147">
        <v>11</v>
      </c>
      <c r="U1147">
        <v>17</v>
      </c>
      <c r="V1147">
        <v>2025</v>
      </c>
      <c r="W1147" s="1">
        <f t="shared" si="3"/>
        <v>45978</v>
      </c>
      <c r="AB1147" t="str">
        <v>RES-101145</v>
      </c>
      <c r="AC1147">
        <v>45739</v>
      </c>
      <c r="AD1147">
        <v>0.64930555555555558</v>
      </c>
      <c r="AE1147" t="str">
        <v>Poblado</v>
      </c>
      <c r="AF1147" t="str">
        <v>Recoge</v>
      </c>
      <c r="AG1147" t="str">
        <v>Comida rapida</v>
      </c>
      <c r="AH1147">
        <v>4</v>
      </c>
      <c r="AI1147">
        <v>28036.41</v>
      </c>
      <c r="AJ1147">
        <v>8325.6</v>
      </c>
      <c r="AK1147">
        <v>18</v>
      </c>
      <c r="AL1147">
        <v>53</v>
      </c>
      <c r="AM1147" t="str">
        <v>App</v>
      </c>
      <c r="AN1147" t="str">
        <v>Reembolsada</v>
      </c>
      <c r="AO1147">
        <v>3</v>
      </c>
    </row>
    <row r="1148" spans="1:41" x14ac:dyDescent="0.3">
      <c r="A1148" t="s">
        <v>1187</v>
      </c>
      <c r="B1148" s="8">
        <v>45740</v>
      </c>
      <c r="C1148" s="2">
        <v>0.6958333333333333</v>
      </c>
      <c r="D1148" t="s">
        <v>27</v>
      </c>
      <c r="E1148" t="s">
        <v>16</v>
      </c>
      <c r="F1148" t="s">
        <v>23</v>
      </c>
      <c r="G1148">
        <v>4</v>
      </c>
      <c r="H1148" s="6">
        <v>38352.33</v>
      </c>
      <c r="I1148" s="6">
        <v>4123.3500000000004</v>
      </c>
      <c r="J1148">
        <v>28</v>
      </c>
      <c r="K1148">
        <v>31</v>
      </c>
      <c r="L1148" t="s">
        <v>18</v>
      </c>
      <c r="M1148" t="s">
        <v>19</v>
      </c>
      <c r="N1148">
        <v>3</v>
      </c>
      <c r="O1148" s="4"/>
      <c r="P1148" s="4" t="str">
        <f>IF(Data_Set_2[[#This Row],[valor_bruto]]&gt;$W$13,"OUTLIER+","")</f>
        <v/>
      </c>
      <c r="Q1148" s="4" t="str">
        <f>IF(Data_Set_2[[#This Row],[valor_bruto]]&lt;$W$14,"OUTLIER-","")</f>
        <v/>
      </c>
      <c r="R1148" s="4"/>
      <c r="S1148" s="4"/>
      <c r="T1148">
        <v>11</v>
      </c>
      <c r="U1148">
        <v>18</v>
      </c>
      <c r="V1148">
        <v>2025</v>
      </c>
      <c r="W1148" s="1">
        <f t="shared" si="3"/>
        <v>45979</v>
      </c>
      <c r="AB1148" t="str">
        <v>RES-101146</v>
      </c>
      <c r="AC1148">
        <v>45740</v>
      </c>
      <c r="AD1148">
        <v>0.6958333333333333</v>
      </c>
      <c r="AE1148" t="str">
        <v>Centro</v>
      </c>
      <c r="AF1148" t="str">
        <v>Mesa</v>
      </c>
      <c r="AG1148" t="str">
        <v>Pasta</v>
      </c>
      <c r="AH1148">
        <v>4</v>
      </c>
      <c r="AI1148">
        <v>38352.33</v>
      </c>
      <c r="AJ1148">
        <v>4123.3500000000004</v>
      </c>
      <c r="AK1148">
        <v>28</v>
      </c>
      <c r="AL1148">
        <v>31</v>
      </c>
      <c r="AM1148" t="str">
        <v>Tarjeta</v>
      </c>
      <c r="AN1148" t="str">
        <v>Entregada</v>
      </c>
      <c r="AO1148">
        <v>3</v>
      </c>
    </row>
    <row r="1149" spans="1:41" x14ac:dyDescent="0.3">
      <c r="A1149" t="s">
        <v>1188</v>
      </c>
      <c r="B1149" s="8">
        <v>45741</v>
      </c>
      <c r="C1149" s="2">
        <v>0.74236111111111114</v>
      </c>
      <c r="D1149" t="s">
        <v>33</v>
      </c>
      <c r="E1149" t="s">
        <v>22</v>
      </c>
      <c r="F1149" t="s">
        <v>29</v>
      </c>
      <c r="G1149">
        <v>3</v>
      </c>
      <c r="H1149" s="6">
        <v>53954.78</v>
      </c>
      <c r="I1149" s="6">
        <v>7894.01</v>
      </c>
      <c r="J1149">
        <v>22</v>
      </c>
      <c r="K1149">
        <v>35</v>
      </c>
      <c r="L1149" t="s">
        <v>24</v>
      </c>
      <c r="M1149" t="s">
        <v>25</v>
      </c>
      <c r="N1149">
        <v>4</v>
      </c>
      <c r="O1149" s="4"/>
      <c r="P1149" s="4" t="str">
        <f>IF(Data_Set_2[[#This Row],[valor_bruto]]&gt;$W$13,"OUTLIER+","")</f>
        <v/>
      </c>
      <c r="Q1149" s="4" t="str">
        <f>IF(Data_Set_2[[#This Row],[valor_bruto]]&lt;$W$14,"OUTLIER-","")</f>
        <v/>
      </c>
      <c r="R1149" s="4"/>
      <c r="S1149" s="4"/>
      <c r="T1149">
        <v>11</v>
      </c>
      <c r="U1149">
        <v>19</v>
      </c>
      <c r="V1149">
        <v>2025</v>
      </c>
      <c r="W1149" s="1">
        <f t="shared" si="3"/>
        <v>45980</v>
      </c>
      <c r="AB1149" t="str">
        <v>RES-101147</v>
      </c>
      <c r="AC1149">
        <v>45741</v>
      </c>
      <c r="AD1149">
        <v>0.74236111111111114</v>
      </c>
      <c r="AE1149" t="str">
        <v>Envigado</v>
      </c>
      <c r="AF1149" t="str">
        <v>Domicilio</v>
      </c>
      <c r="AG1149" t="str">
        <v>Parrilla</v>
      </c>
      <c r="AH1149">
        <v>3</v>
      </c>
      <c r="AI1149">
        <v>53954.78</v>
      </c>
      <c r="AJ1149">
        <v>7894.01</v>
      </c>
      <c r="AK1149">
        <v>22</v>
      </c>
      <c r="AL1149">
        <v>35</v>
      </c>
      <c r="AM1149" t="str">
        <v>Efectivo</v>
      </c>
      <c r="AN1149" t="str">
        <v>Cancelada</v>
      </c>
      <c r="AO1149">
        <v>4</v>
      </c>
    </row>
    <row r="1150" spans="1:41" x14ac:dyDescent="0.3">
      <c r="A1150" t="s">
        <v>1189</v>
      </c>
      <c r="B1150" s="8">
        <v>45742</v>
      </c>
      <c r="C1150" s="2">
        <v>0.78888888888888886</v>
      </c>
      <c r="D1150" t="s">
        <v>15</v>
      </c>
      <c r="E1150" t="s">
        <v>28</v>
      </c>
      <c r="F1150" t="s">
        <v>34</v>
      </c>
      <c r="G1150">
        <v>4</v>
      </c>
      <c r="H1150" s="6">
        <v>38791.050000000003</v>
      </c>
      <c r="I1150" s="6">
        <v>1829.05</v>
      </c>
      <c r="J1150">
        <v>31</v>
      </c>
      <c r="K1150">
        <v>33</v>
      </c>
      <c r="L1150" t="s">
        <v>30</v>
      </c>
      <c r="M1150" t="s">
        <v>31</v>
      </c>
      <c r="N1150">
        <v>5</v>
      </c>
      <c r="O1150" s="4"/>
      <c r="P1150" s="4" t="str">
        <f>IF(Data_Set_2[[#This Row],[valor_bruto]]&gt;$W$13,"OUTLIER+","")</f>
        <v/>
      </c>
      <c r="Q1150" s="4" t="str">
        <f>IF(Data_Set_2[[#This Row],[valor_bruto]]&lt;$W$14,"OUTLIER-","")</f>
        <v/>
      </c>
      <c r="R1150" s="4"/>
      <c r="S1150" s="4"/>
      <c r="T1150">
        <v>11</v>
      </c>
      <c r="U1150">
        <v>20</v>
      </c>
      <c r="V1150">
        <v>2025</v>
      </c>
      <c r="W1150" s="1">
        <f t="shared" si="3"/>
        <v>45981</v>
      </c>
      <c r="AB1150" t="str">
        <v>RES-101148</v>
      </c>
      <c r="AC1150">
        <v>45742</v>
      </c>
      <c r="AD1150">
        <v>0.78888888888888886</v>
      </c>
      <c r="AE1150" t="str">
        <v>Laureles</v>
      </c>
      <c r="AF1150" t="str">
        <v>Recoge</v>
      </c>
      <c r="AG1150" t="str">
        <v>Vegano</v>
      </c>
      <c r="AH1150">
        <v>4</v>
      </c>
      <c r="AI1150">
        <v>38791.050000000003</v>
      </c>
      <c r="AJ1150">
        <v>1829.05</v>
      </c>
      <c r="AK1150">
        <v>31</v>
      </c>
      <c r="AL1150">
        <v>33</v>
      </c>
      <c r="AM1150" t="str">
        <v>App</v>
      </c>
      <c r="AN1150" t="str">
        <v>Reembolsada</v>
      </c>
      <c r="AO1150">
        <v>5</v>
      </c>
    </row>
    <row r="1151" spans="1:41" x14ac:dyDescent="0.3">
      <c r="A1151" t="s">
        <v>1190</v>
      </c>
      <c r="B1151" s="8">
        <v>45743</v>
      </c>
      <c r="C1151" s="2">
        <v>0.79374999999999996</v>
      </c>
      <c r="D1151" t="s">
        <v>21</v>
      </c>
      <c r="E1151" t="s">
        <v>16</v>
      </c>
      <c r="F1151" t="s">
        <v>36</v>
      </c>
      <c r="G1151">
        <v>4</v>
      </c>
      <c r="H1151" s="6">
        <v>26536.15</v>
      </c>
      <c r="I1151" s="6">
        <v>3443.18</v>
      </c>
      <c r="J1151">
        <v>14</v>
      </c>
      <c r="K1151">
        <v>52</v>
      </c>
      <c r="L1151" t="s">
        <v>18</v>
      </c>
      <c r="M1151" t="s">
        <v>19</v>
      </c>
      <c r="N1151">
        <v>4</v>
      </c>
      <c r="O1151" s="4"/>
      <c r="P1151" s="4" t="str">
        <f>IF(Data_Set_2[[#This Row],[valor_bruto]]&gt;$W$13,"OUTLIER+","")</f>
        <v/>
      </c>
      <c r="Q1151" s="4" t="str">
        <f>IF(Data_Set_2[[#This Row],[valor_bruto]]&lt;$W$14,"OUTLIER-","")</f>
        <v/>
      </c>
      <c r="R1151" s="4"/>
      <c r="S1151" s="4"/>
      <c r="T1151">
        <v>11</v>
      </c>
      <c r="U1151">
        <v>21</v>
      </c>
      <c r="V1151">
        <v>2025</v>
      </c>
      <c r="W1151" s="1">
        <f t="shared" si="3"/>
        <v>45982</v>
      </c>
      <c r="AB1151" t="str">
        <v>RES-101149</v>
      </c>
      <c r="AC1151">
        <v>45743</v>
      </c>
      <c r="AD1151">
        <v>0.79374999999999996</v>
      </c>
      <c r="AE1151" t="str">
        <v>Poblado</v>
      </c>
      <c r="AF1151" t="str">
        <v>Mesa</v>
      </c>
      <c r="AG1151" t="str">
        <v>Bebidas</v>
      </c>
      <c r="AH1151">
        <v>4</v>
      </c>
      <c r="AI1151">
        <v>26536.15</v>
      </c>
      <c r="AJ1151">
        <v>3443.18</v>
      </c>
      <c r="AK1151">
        <v>14</v>
      </c>
      <c r="AL1151">
        <v>52</v>
      </c>
      <c r="AM1151" t="str">
        <v>Tarjeta</v>
      </c>
      <c r="AN1151" t="str">
        <v>Entregada</v>
      </c>
      <c r="AO1151">
        <v>4</v>
      </c>
    </row>
    <row r="1152" spans="1:41" x14ac:dyDescent="0.3">
      <c r="A1152" t="s">
        <v>1191</v>
      </c>
      <c r="B1152" s="8">
        <v>45744</v>
      </c>
      <c r="C1152" s="2">
        <v>0.84027777777777779</v>
      </c>
      <c r="D1152" t="s">
        <v>27</v>
      </c>
      <c r="E1152" t="s">
        <v>22</v>
      </c>
      <c r="F1152" t="s">
        <v>17</v>
      </c>
      <c r="G1152">
        <v>2</v>
      </c>
      <c r="H1152" s="6">
        <v>41050.769999999997</v>
      </c>
      <c r="I1152" s="6">
        <v>8459.39</v>
      </c>
      <c r="J1152">
        <v>18</v>
      </c>
      <c r="K1152">
        <v>35</v>
      </c>
      <c r="L1152" t="s">
        <v>24</v>
      </c>
      <c r="M1152" t="s">
        <v>25</v>
      </c>
      <c r="N1152">
        <v>3</v>
      </c>
      <c r="O1152" s="4"/>
      <c r="P1152" s="4" t="str">
        <f>IF(Data_Set_2[[#This Row],[valor_bruto]]&gt;$W$13,"OUTLIER+","")</f>
        <v/>
      </c>
      <c r="Q1152" s="4" t="str">
        <f>IF(Data_Set_2[[#This Row],[valor_bruto]]&lt;$W$14,"OUTLIER-","")</f>
        <v/>
      </c>
      <c r="R1152" s="4"/>
      <c r="S1152" s="4"/>
      <c r="T1152">
        <v>11</v>
      </c>
      <c r="U1152">
        <v>22</v>
      </c>
      <c r="V1152">
        <v>2025</v>
      </c>
      <c r="W1152" s="1">
        <f t="shared" si="3"/>
        <v>45983</v>
      </c>
      <c r="AB1152" t="str">
        <v>RES-101150</v>
      </c>
      <c r="AC1152">
        <v>45744</v>
      </c>
      <c r="AD1152">
        <v>0.84027777777777779</v>
      </c>
      <c r="AE1152" t="str">
        <v>Centro</v>
      </c>
      <c r="AF1152" t="str">
        <v>Domicilio</v>
      </c>
      <c r="AG1152" t="str">
        <v>Comida rapida</v>
      </c>
      <c r="AH1152">
        <v>2</v>
      </c>
      <c r="AI1152">
        <v>41050.769999999997</v>
      </c>
      <c r="AJ1152">
        <v>8459.39</v>
      </c>
      <c r="AK1152">
        <v>18</v>
      </c>
      <c r="AL1152">
        <v>35</v>
      </c>
      <c r="AM1152" t="str">
        <v>Efectivo</v>
      </c>
      <c r="AN1152" t="str">
        <v>Cancelada</v>
      </c>
      <c r="AO1152">
        <v>3</v>
      </c>
    </row>
    <row r="1153" spans="1:41" x14ac:dyDescent="0.3">
      <c r="A1153" t="s">
        <v>1192</v>
      </c>
      <c r="B1153" s="8">
        <v>45745</v>
      </c>
      <c r="C1153" s="2">
        <v>0.88680555555555551</v>
      </c>
      <c r="D1153" t="s">
        <v>33</v>
      </c>
      <c r="E1153" t="s">
        <v>28</v>
      </c>
      <c r="F1153" t="s">
        <v>23</v>
      </c>
      <c r="G1153">
        <v>2</v>
      </c>
      <c r="H1153" s="6">
        <v>41633.69</v>
      </c>
      <c r="I1153" s="6">
        <v>7456.92</v>
      </c>
      <c r="J1153">
        <v>30</v>
      </c>
      <c r="K1153">
        <v>33</v>
      </c>
      <c r="L1153" t="s">
        <v>30</v>
      </c>
      <c r="M1153" t="s">
        <v>31</v>
      </c>
      <c r="N1153">
        <v>3</v>
      </c>
      <c r="O1153" s="4"/>
      <c r="P1153" s="4" t="str">
        <f>IF(Data_Set_2[[#This Row],[valor_bruto]]&gt;$W$13,"OUTLIER+","")</f>
        <v/>
      </c>
      <c r="Q1153" s="4" t="str">
        <f>IF(Data_Set_2[[#This Row],[valor_bruto]]&lt;$W$14,"OUTLIER-","")</f>
        <v/>
      </c>
      <c r="R1153" s="4"/>
      <c r="S1153" s="4"/>
      <c r="T1153">
        <v>11</v>
      </c>
      <c r="U1153">
        <v>23</v>
      </c>
      <c r="V1153">
        <v>2025</v>
      </c>
      <c r="W1153" s="1">
        <f t="shared" si="3"/>
        <v>45984</v>
      </c>
      <c r="AB1153" t="str">
        <v>RES-101151</v>
      </c>
      <c r="AC1153">
        <v>45745</v>
      </c>
      <c r="AD1153">
        <v>0.88680555555555551</v>
      </c>
      <c r="AE1153" t="str">
        <v>Envigado</v>
      </c>
      <c r="AF1153" t="str">
        <v>Recoge</v>
      </c>
      <c r="AG1153" t="str">
        <v>Pasta</v>
      </c>
      <c r="AH1153">
        <v>2</v>
      </c>
      <c r="AI1153">
        <v>41633.69</v>
      </c>
      <c r="AJ1153">
        <v>7456.92</v>
      </c>
      <c r="AK1153">
        <v>30</v>
      </c>
      <c r="AL1153">
        <v>33</v>
      </c>
      <c r="AM1153" t="str">
        <v>App</v>
      </c>
      <c r="AN1153" t="str">
        <v>Reembolsada</v>
      </c>
      <c r="AO1153">
        <v>3</v>
      </c>
    </row>
    <row r="1154" spans="1:41" x14ac:dyDescent="0.3">
      <c r="A1154" t="s">
        <v>1193</v>
      </c>
      <c r="B1154" s="8">
        <v>45746</v>
      </c>
      <c r="C1154" s="2">
        <v>0.43333333333333335</v>
      </c>
      <c r="D1154" t="s">
        <v>15</v>
      </c>
      <c r="E1154" t="s">
        <v>16</v>
      </c>
      <c r="F1154" t="s">
        <v>29</v>
      </c>
      <c r="G1154">
        <v>3</v>
      </c>
      <c r="H1154" s="6">
        <v>39342.589999999997</v>
      </c>
      <c r="I1154" s="6">
        <v>4365.9799999999996</v>
      </c>
      <c r="J1154">
        <v>31</v>
      </c>
      <c r="K1154">
        <v>48</v>
      </c>
      <c r="L1154" t="s">
        <v>18</v>
      </c>
      <c r="M1154" t="s">
        <v>19</v>
      </c>
      <c r="N1154">
        <v>5</v>
      </c>
      <c r="O1154" s="4"/>
      <c r="P1154" s="4" t="str">
        <f>IF(Data_Set_2[[#This Row],[valor_bruto]]&gt;$W$13,"OUTLIER+","")</f>
        <v/>
      </c>
      <c r="Q1154" s="4" t="str">
        <f>IF(Data_Set_2[[#This Row],[valor_bruto]]&lt;$W$14,"OUTLIER-","")</f>
        <v/>
      </c>
      <c r="R1154" s="4"/>
      <c r="S1154" s="4"/>
      <c r="T1154">
        <v>11</v>
      </c>
      <c r="U1154">
        <v>24</v>
      </c>
      <c r="V1154">
        <v>2025</v>
      </c>
      <c r="W1154" s="1">
        <f t="shared" si="3"/>
        <v>45985</v>
      </c>
      <c r="AB1154" t="str">
        <v>RES-101152</v>
      </c>
      <c r="AC1154">
        <v>45746</v>
      </c>
      <c r="AD1154">
        <v>0.43333333333333335</v>
      </c>
      <c r="AE1154" t="str">
        <v>Laureles</v>
      </c>
      <c r="AF1154" t="str">
        <v>Mesa</v>
      </c>
      <c r="AG1154" t="str">
        <v>Parrilla</v>
      </c>
      <c r="AH1154">
        <v>3</v>
      </c>
      <c r="AI1154">
        <v>39342.589999999997</v>
      </c>
      <c r="AJ1154">
        <v>4365.9799999999996</v>
      </c>
      <c r="AK1154">
        <v>31</v>
      </c>
      <c r="AL1154">
        <v>48</v>
      </c>
      <c r="AM1154" t="str">
        <v>Tarjeta</v>
      </c>
      <c r="AN1154" t="str">
        <v>Entregada</v>
      </c>
      <c r="AO1154">
        <v>5</v>
      </c>
    </row>
    <row r="1155" spans="1:41" x14ac:dyDescent="0.3">
      <c r="A1155" t="s">
        <v>1194</v>
      </c>
      <c r="B1155" s="8">
        <v>45747</v>
      </c>
      <c r="C1155" s="2">
        <v>0.47986111111111113</v>
      </c>
      <c r="D1155" t="s">
        <v>21</v>
      </c>
      <c r="E1155" t="s">
        <v>22</v>
      </c>
      <c r="F1155" t="s">
        <v>34</v>
      </c>
      <c r="G1155">
        <v>6</v>
      </c>
      <c r="H1155" s="6">
        <v>57988.97</v>
      </c>
      <c r="I1155" s="6">
        <v>6950.8</v>
      </c>
      <c r="J1155">
        <v>24</v>
      </c>
      <c r="K1155">
        <v>24</v>
      </c>
      <c r="L1155" t="s">
        <v>24</v>
      </c>
      <c r="M1155" t="s">
        <v>25</v>
      </c>
      <c r="N1155">
        <v>4</v>
      </c>
      <c r="O1155" s="4"/>
      <c r="P1155" s="4" t="str">
        <f>IF(Data_Set_2[[#This Row],[valor_bruto]]&gt;$W$13,"OUTLIER+","")</f>
        <v/>
      </c>
      <c r="Q1155" s="4" t="str">
        <f>IF(Data_Set_2[[#This Row],[valor_bruto]]&lt;$W$14,"OUTLIER-","")</f>
        <v/>
      </c>
      <c r="R1155" s="4"/>
      <c r="S1155" s="4"/>
      <c r="T1155">
        <v>11</v>
      </c>
      <c r="U1155">
        <v>25</v>
      </c>
      <c r="V1155">
        <v>2025</v>
      </c>
      <c r="W1155" s="1">
        <f t="shared" si="3"/>
        <v>45986</v>
      </c>
      <c r="AB1155" t="str">
        <v>RES-101153</v>
      </c>
      <c r="AC1155">
        <v>45747</v>
      </c>
      <c r="AD1155">
        <v>0.47986111111111113</v>
      </c>
      <c r="AE1155" t="str">
        <v>Poblado</v>
      </c>
      <c r="AF1155" t="str">
        <v>Domicilio</v>
      </c>
      <c r="AG1155" t="str">
        <v>Vegano</v>
      </c>
      <c r="AH1155">
        <v>6</v>
      </c>
      <c r="AI1155">
        <v>57988.97</v>
      </c>
      <c r="AJ1155">
        <v>6950.8</v>
      </c>
      <c r="AK1155">
        <v>24</v>
      </c>
      <c r="AL1155">
        <v>24</v>
      </c>
      <c r="AM1155" t="str">
        <v>Efectivo</v>
      </c>
      <c r="AN1155" t="str">
        <v>Cancelada</v>
      </c>
      <c r="AO1155">
        <v>4</v>
      </c>
    </row>
    <row r="1156" spans="1:41" x14ac:dyDescent="0.3">
      <c r="A1156" t="s">
        <v>1195</v>
      </c>
      <c r="B1156" s="8">
        <v>45661</v>
      </c>
      <c r="C1156" s="2">
        <v>0.52638888888888891</v>
      </c>
      <c r="D1156" t="s">
        <v>27</v>
      </c>
      <c r="E1156" t="s">
        <v>28</v>
      </c>
      <c r="F1156" t="s">
        <v>36</v>
      </c>
      <c r="G1156">
        <v>4</v>
      </c>
      <c r="H1156" s="6">
        <v>46895.33</v>
      </c>
      <c r="I1156" s="6">
        <v>1089.3499999999999</v>
      </c>
      <c r="J1156">
        <v>31</v>
      </c>
      <c r="K1156">
        <v>34</v>
      </c>
      <c r="L1156" t="s">
        <v>30</v>
      </c>
      <c r="M1156" t="s">
        <v>31</v>
      </c>
      <c r="N1156">
        <v>5</v>
      </c>
      <c r="O1156" s="4"/>
      <c r="P1156" s="4" t="str">
        <f>IF(Data_Set_2[[#This Row],[valor_bruto]]&gt;$W$13,"OUTLIER+","")</f>
        <v/>
      </c>
      <c r="Q1156" s="4" t="str">
        <f>IF(Data_Set_2[[#This Row],[valor_bruto]]&lt;$W$14,"OUTLIER-","")</f>
        <v/>
      </c>
      <c r="R1156" s="4"/>
      <c r="S1156" s="4"/>
      <c r="T1156">
        <v>11</v>
      </c>
      <c r="U1156">
        <v>25</v>
      </c>
      <c r="V1156">
        <v>2025</v>
      </c>
      <c r="W1156" s="1">
        <f t="shared" si="3"/>
        <v>45986</v>
      </c>
      <c r="AB1156" t="str">
        <v>RES-101154</v>
      </c>
      <c r="AC1156">
        <v>45661</v>
      </c>
      <c r="AD1156">
        <v>0.52638888888888891</v>
      </c>
      <c r="AE1156" t="str">
        <v>Centro</v>
      </c>
      <c r="AF1156" t="str">
        <v>Recoge</v>
      </c>
      <c r="AG1156" t="str">
        <v>Bebidas</v>
      </c>
      <c r="AH1156">
        <v>4</v>
      </c>
      <c r="AI1156">
        <v>46895.33</v>
      </c>
      <c r="AJ1156">
        <v>1089.3499999999999</v>
      </c>
      <c r="AK1156">
        <v>31</v>
      </c>
      <c r="AL1156">
        <v>34</v>
      </c>
      <c r="AM1156" t="str">
        <v>App</v>
      </c>
      <c r="AN1156" t="str">
        <v>Reembolsada</v>
      </c>
      <c r="AO1156">
        <v>5</v>
      </c>
    </row>
    <row r="1157" spans="1:41" x14ac:dyDescent="0.3">
      <c r="A1157" t="s">
        <v>1196</v>
      </c>
      <c r="B1157" s="8">
        <v>45749</v>
      </c>
      <c r="C1157" s="2">
        <v>0.57291666666666663</v>
      </c>
      <c r="D1157" t="s">
        <v>33</v>
      </c>
      <c r="E1157" t="s">
        <v>16</v>
      </c>
      <c r="F1157" t="s">
        <v>17</v>
      </c>
      <c r="G1157">
        <v>3</v>
      </c>
      <c r="H1157" s="6">
        <v>65254.17</v>
      </c>
      <c r="I1157" s="6">
        <v>5170.47</v>
      </c>
      <c r="J1157">
        <v>25</v>
      </c>
      <c r="K1157">
        <v>25</v>
      </c>
      <c r="L1157" t="s">
        <v>18</v>
      </c>
      <c r="M1157" t="s">
        <v>19</v>
      </c>
      <c r="N1157">
        <v>5</v>
      </c>
      <c r="O1157" s="4"/>
      <c r="P1157" s="4" t="str">
        <f>IF(Data_Set_2[[#This Row],[valor_bruto]]&gt;$W$13,"OUTLIER+","")</f>
        <v/>
      </c>
      <c r="Q1157" s="4" t="str">
        <f>IF(Data_Set_2[[#This Row],[valor_bruto]]&lt;$W$14,"OUTLIER-","")</f>
        <v/>
      </c>
      <c r="R1157" s="4"/>
      <c r="S1157" s="4"/>
      <c r="T1157">
        <v>11</v>
      </c>
      <c r="U1157">
        <v>26</v>
      </c>
      <c r="V1157">
        <v>2025</v>
      </c>
      <c r="W1157" s="1">
        <f t="shared" si="3"/>
        <v>45987</v>
      </c>
      <c r="AB1157" t="str">
        <v>RES-101155</v>
      </c>
      <c r="AC1157">
        <v>45749</v>
      </c>
      <c r="AD1157">
        <v>0.57291666666666663</v>
      </c>
      <c r="AE1157" t="str">
        <v>Envigado</v>
      </c>
      <c r="AF1157" t="str">
        <v>Mesa</v>
      </c>
      <c r="AG1157" t="str">
        <v>Comida rapida</v>
      </c>
      <c r="AH1157">
        <v>3</v>
      </c>
      <c r="AI1157">
        <v>65254.17</v>
      </c>
      <c r="AJ1157">
        <v>5170.47</v>
      </c>
      <c r="AK1157">
        <v>25</v>
      </c>
      <c r="AL1157">
        <v>25</v>
      </c>
      <c r="AM1157" t="str">
        <v>Tarjeta</v>
      </c>
      <c r="AN1157" t="str">
        <v>Entregada</v>
      </c>
      <c r="AO1157">
        <v>5</v>
      </c>
    </row>
    <row r="1158" spans="1:41" x14ac:dyDescent="0.3">
      <c r="A1158" t="s">
        <v>1197</v>
      </c>
      <c r="B1158" s="8">
        <v>45750</v>
      </c>
      <c r="C1158" s="2">
        <v>0.61944444444444446</v>
      </c>
      <c r="D1158" t="s">
        <v>15</v>
      </c>
      <c r="E1158" t="s">
        <v>22</v>
      </c>
      <c r="F1158" t="s">
        <v>23</v>
      </c>
      <c r="G1158">
        <v>4</v>
      </c>
      <c r="H1158" s="6">
        <v>60779.89</v>
      </c>
      <c r="I1158" s="6">
        <v>4952.03</v>
      </c>
      <c r="J1158">
        <v>25</v>
      </c>
      <c r="K1158">
        <v>25</v>
      </c>
      <c r="L1158" t="s">
        <v>24</v>
      </c>
      <c r="M1158" t="s">
        <v>25</v>
      </c>
      <c r="N1158">
        <v>3</v>
      </c>
      <c r="O1158" s="4"/>
      <c r="P1158" s="4" t="str">
        <f>IF(Data_Set_2[[#This Row],[valor_bruto]]&gt;$W$13,"OUTLIER+","")</f>
        <v/>
      </c>
      <c r="Q1158" s="4" t="str">
        <f>IF(Data_Set_2[[#This Row],[valor_bruto]]&lt;$W$14,"OUTLIER-","")</f>
        <v/>
      </c>
      <c r="R1158" s="4"/>
      <c r="S1158" s="4"/>
      <c r="T1158">
        <v>11</v>
      </c>
      <c r="U1158">
        <v>27</v>
      </c>
      <c r="V1158">
        <v>2025</v>
      </c>
      <c r="W1158" s="1">
        <f t="shared" si="3"/>
        <v>45988</v>
      </c>
      <c r="AB1158" t="str">
        <v>RES-101156</v>
      </c>
      <c r="AC1158">
        <v>45750</v>
      </c>
      <c r="AD1158">
        <v>0.61944444444444446</v>
      </c>
      <c r="AE1158" t="str">
        <v>Laureles</v>
      </c>
      <c r="AF1158" t="str">
        <v>Domicilio</v>
      </c>
      <c r="AG1158" t="str">
        <v>Pasta</v>
      </c>
      <c r="AH1158">
        <v>4</v>
      </c>
      <c r="AI1158">
        <v>60779.89</v>
      </c>
      <c r="AJ1158">
        <v>4952.03</v>
      </c>
      <c r="AK1158">
        <v>25</v>
      </c>
      <c r="AL1158">
        <v>25</v>
      </c>
      <c r="AM1158" t="str">
        <v>Efectivo</v>
      </c>
      <c r="AN1158" t="str">
        <v>Cancelada</v>
      </c>
      <c r="AO1158">
        <v>3</v>
      </c>
    </row>
    <row r="1159" spans="1:41" x14ac:dyDescent="0.3">
      <c r="A1159" t="s">
        <v>1198</v>
      </c>
      <c r="B1159" s="8">
        <v>45751</v>
      </c>
      <c r="C1159" s="2">
        <v>0.66597222222222219</v>
      </c>
      <c r="D1159" t="s">
        <v>21</v>
      </c>
      <c r="E1159" t="s">
        <v>28</v>
      </c>
      <c r="F1159" t="s">
        <v>29</v>
      </c>
      <c r="G1159">
        <v>6</v>
      </c>
      <c r="H1159" s="6">
        <v>48160.75</v>
      </c>
      <c r="I1159" s="6">
        <v>5871.35</v>
      </c>
      <c r="J1159">
        <v>23</v>
      </c>
      <c r="K1159">
        <v>52</v>
      </c>
      <c r="L1159" t="s">
        <v>30</v>
      </c>
      <c r="M1159" t="s">
        <v>31</v>
      </c>
      <c r="N1159">
        <v>3</v>
      </c>
      <c r="O1159" s="4"/>
      <c r="P1159" s="4" t="str">
        <f>IF(Data_Set_2[[#This Row],[valor_bruto]]&gt;$W$13,"OUTLIER+","")</f>
        <v/>
      </c>
      <c r="Q1159" s="4" t="str">
        <f>IF(Data_Set_2[[#This Row],[valor_bruto]]&lt;$W$14,"OUTLIER-","")</f>
        <v/>
      </c>
      <c r="R1159" s="4"/>
      <c r="S1159" s="4"/>
      <c r="T1159">
        <v>11</v>
      </c>
      <c r="U1159">
        <v>28</v>
      </c>
      <c r="V1159">
        <v>2025</v>
      </c>
      <c r="W1159" s="1">
        <f t="shared" si="3"/>
        <v>45989</v>
      </c>
      <c r="AB1159" t="str">
        <v>RES-101157</v>
      </c>
      <c r="AC1159">
        <v>45751</v>
      </c>
      <c r="AD1159">
        <v>0.66597222222222219</v>
      </c>
      <c r="AE1159" t="str">
        <v>Poblado</v>
      </c>
      <c r="AF1159" t="str">
        <v>Recoge</v>
      </c>
      <c r="AG1159" t="str">
        <v>Parrilla</v>
      </c>
      <c r="AH1159">
        <v>6</v>
      </c>
      <c r="AI1159">
        <v>48160.75</v>
      </c>
      <c r="AJ1159">
        <v>5871.35</v>
      </c>
      <c r="AK1159">
        <v>23</v>
      </c>
      <c r="AL1159">
        <v>52</v>
      </c>
      <c r="AM1159" t="str">
        <v>App</v>
      </c>
      <c r="AN1159" t="str">
        <v>Reembolsada</v>
      </c>
      <c r="AO1159">
        <v>3</v>
      </c>
    </row>
    <row r="1160" spans="1:41" x14ac:dyDescent="0.3">
      <c r="A1160" t="s">
        <v>1199</v>
      </c>
      <c r="B1160" s="8">
        <v>45752</v>
      </c>
      <c r="C1160" s="2">
        <v>0.67083333333333328</v>
      </c>
      <c r="D1160" t="s">
        <v>27</v>
      </c>
      <c r="E1160" t="s">
        <v>16</v>
      </c>
      <c r="F1160" t="s">
        <v>34</v>
      </c>
      <c r="G1160">
        <v>3</v>
      </c>
      <c r="H1160" s="6">
        <v>48518.02</v>
      </c>
      <c r="I1160" s="6">
        <v>7275.59</v>
      </c>
      <c r="J1160">
        <v>24</v>
      </c>
      <c r="K1160">
        <v>34</v>
      </c>
      <c r="L1160" t="s">
        <v>18</v>
      </c>
      <c r="M1160" t="s">
        <v>19</v>
      </c>
      <c r="N1160">
        <v>4</v>
      </c>
      <c r="O1160" s="4"/>
      <c r="P1160" s="4" t="str">
        <f>IF(Data_Set_2[[#This Row],[valor_bruto]]&gt;$W$13,"OUTLIER+","")</f>
        <v/>
      </c>
      <c r="Q1160" s="4" t="str">
        <f>IF(Data_Set_2[[#This Row],[valor_bruto]]&lt;$W$14,"OUTLIER-","")</f>
        <v/>
      </c>
      <c r="R1160" s="4"/>
      <c r="S1160" s="4"/>
      <c r="T1160">
        <v>11</v>
      </c>
      <c r="U1160">
        <v>29</v>
      </c>
      <c r="V1160">
        <v>2025</v>
      </c>
      <c r="W1160" s="1">
        <f t="shared" si="3"/>
        <v>45990</v>
      </c>
      <c r="AB1160" t="str">
        <v>RES-101158</v>
      </c>
      <c r="AC1160">
        <v>45752</v>
      </c>
      <c r="AD1160">
        <v>0.67083333333333328</v>
      </c>
      <c r="AE1160" t="str">
        <v>Centro</v>
      </c>
      <c r="AF1160" t="str">
        <v>Mesa</v>
      </c>
      <c r="AG1160" t="str">
        <v>Vegano</v>
      </c>
      <c r="AH1160">
        <v>3</v>
      </c>
      <c r="AI1160">
        <v>48518.02</v>
      </c>
      <c r="AJ1160">
        <v>7275.59</v>
      </c>
      <c r="AK1160">
        <v>24</v>
      </c>
      <c r="AL1160">
        <v>34</v>
      </c>
      <c r="AM1160" t="str">
        <v>Tarjeta</v>
      </c>
      <c r="AN1160" t="str">
        <v>Entregada</v>
      </c>
      <c r="AO1160">
        <v>4</v>
      </c>
    </row>
    <row r="1161" spans="1:41" x14ac:dyDescent="0.3">
      <c r="A1161" t="s">
        <v>1200</v>
      </c>
      <c r="B1161" s="8">
        <v>45753</v>
      </c>
      <c r="C1161" s="2">
        <v>0.71736111111111112</v>
      </c>
      <c r="D1161" t="s">
        <v>33</v>
      </c>
      <c r="E1161" t="s">
        <v>22</v>
      </c>
      <c r="F1161" t="s">
        <v>36</v>
      </c>
      <c r="G1161">
        <v>6</v>
      </c>
      <c r="H1161" s="6">
        <v>46758.57</v>
      </c>
      <c r="I1161" s="6">
        <v>4179.13</v>
      </c>
      <c r="J1161">
        <v>21</v>
      </c>
      <c r="K1161">
        <v>29</v>
      </c>
      <c r="L1161" t="s">
        <v>24</v>
      </c>
      <c r="M1161" t="s">
        <v>25</v>
      </c>
      <c r="N1161">
        <v>5</v>
      </c>
      <c r="O1161" s="4"/>
      <c r="P1161" s="4" t="str">
        <f>IF(Data_Set_2[[#This Row],[valor_bruto]]&gt;$W$13,"OUTLIER+","")</f>
        <v/>
      </c>
      <c r="Q1161" s="4" t="str">
        <f>IF(Data_Set_2[[#This Row],[valor_bruto]]&lt;$W$14,"OUTLIER-","")</f>
        <v/>
      </c>
      <c r="R1161" s="4"/>
      <c r="S1161" s="4"/>
      <c r="T1161">
        <v>11</v>
      </c>
      <c r="U1161">
        <v>30</v>
      </c>
      <c r="V1161">
        <v>2025</v>
      </c>
      <c r="W1161" s="1">
        <f t="shared" si="3"/>
        <v>45991</v>
      </c>
      <c r="AB1161" t="str">
        <v>RES-101159</v>
      </c>
      <c r="AC1161">
        <v>45753</v>
      </c>
      <c r="AD1161">
        <v>0.71736111111111112</v>
      </c>
      <c r="AE1161" t="str">
        <v>Envigado</v>
      </c>
      <c r="AF1161" t="str">
        <v>Domicilio</v>
      </c>
      <c r="AG1161" t="str">
        <v>Bebidas</v>
      </c>
      <c r="AH1161">
        <v>6</v>
      </c>
      <c r="AI1161">
        <v>46758.57</v>
      </c>
      <c r="AJ1161">
        <v>4179.13</v>
      </c>
      <c r="AK1161">
        <v>21</v>
      </c>
      <c r="AL1161">
        <v>29</v>
      </c>
      <c r="AM1161" t="str">
        <v>Efectivo</v>
      </c>
      <c r="AN1161" t="str">
        <v>Cancelada</v>
      </c>
      <c r="AO1161">
        <v>5</v>
      </c>
    </row>
    <row r="1162" spans="1:41" x14ac:dyDescent="0.3">
      <c r="A1162" t="s">
        <v>1201</v>
      </c>
      <c r="B1162" s="8">
        <v>45842</v>
      </c>
      <c r="C1162" s="2">
        <v>0.76388888888888884</v>
      </c>
      <c r="D1162" t="s">
        <v>15</v>
      </c>
      <c r="E1162" t="s">
        <v>28</v>
      </c>
      <c r="F1162" t="s">
        <v>17</v>
      </c>
      <c r="G1162">
        <v>4</v>
      </c>
      <c r="H1162" s="6">
        <v>27842.46</v>
      </c>
      <c r="I1162" s="6">
        <v>4599.46</v>
      </c>
      <c r="J1162">
        <v>28</v>
      </c>
      <c r="K1162">
        <v>23</v>
      </c>
      <c r="L1162" t="s">
        <v>30</v>
      </c>
      <c r="M1162" t="s">
        <v>31</v>
      </c>
      <c r="N1162">
        <v>3</v>
      </c>
      <c r="O1162" s="4"/>
      <c r="P1162" s="4" t="str">
        <f>IF(Data_Set_2[[#This Row],[valor_bruto]]&gt;$W$13,"OUTLIER+","")</f>
        <v/>
      </c>
      <c r="Q1162" s="4" t="str">
        <f>IF(Data_Set_2[[#This Row],[valor_bruto]]&lt;$W$14,"OUTLIER-","")</f>
        <v/>
      </c>
      <c r="R1162" s="4"/>
      <c r="S1162" s="4"/>
      <c r="T1162">
        <v>12</v>
      </c>
      <c r="U1162">
        <v>13</v>
      </c>
      <c r="V1162">
        <v>2025</v>
      </c>
      <c r="W1162" s="1">
        <f t="shared" si="3"/>
        <v>46004</v>
      </c>
      <c r="AB1162" t="str">
        <v>RES-101160</v>
      </c>
      <c r="AC1162">
        <v>45842</v>
      </c>
      <c r="AD1162">
        <v>0.76388888888888884</v>
      </c>
      <c r="AE1162" t="str">
        <v>Laureles</v>
      </c>
      <c r="AF1162" t="str">
        <v>Recoge</v>
      </c>
      <c r="AG1162" t="str">
        <v>Comida rapida</v>
      </c>
      <c r="AH1162">
        <v>4</v>
      </c>
      <c r="AI1162">
        <v>27842.46</v>
      </c>
      <c r="AJ1162">
        <v>4599.46</v>
      </c>
      <c r="AK1162">
        <v>28</v>
      </c>
      <c r="AL1162">
        <v>23</v>
      </c>
      <c r="AM1162" t="str">
        <v>App</v>
      </c>
      <c r="AN1162" t="str">
        <v>Reembolsada</v>
      </c>
      <c r="AO1162">
        <v>3</v>
      </c>
    </row>
    <row r="1163" spans="1:41" x14ac:dyDescent="0.3">
      <c r="A1163" t="s">
        <v>1202</v>
      </c>
      <c r="B1163" s="8">
        <v>45755</v>
      </c>
      <c r="C1163" s="2">
        <v>0.81041666666666667</v>
      </c>
      <c r="D1163" t="s">
        <v>21</v>
      </c>
      <c r="E1163" t="s">
        <v>16</v>
      </c>
      <c r="F1163" t="s">
        <v>23</v>
      </c>
      <c r="G1163">
        <v>3</v>
      </c>
      <c r="H1163" s="6">
        <v>32182.5</v>
      </c>
      <c r="I1163" s="6">
        <v>5175.32</v>
      </c>
      <c r="J1163">
        <v>24</v>
      </c>
      <c r="K1163">
        <v>50</v>
      </c>
      <c r="L1163" t="s">
        <v>18</v>
      </c>
      <c r="M1163" t="s">
        <v>19</v>
      </c>
      <c r="N1163">
        <v>3</v>
      </c>
      <c r="O1163" s="4"/>
      <c r="P1163" s="4" t="str">
        <f>IF(Data_Set_2[[#This Row],[valor_bruto]]&gt;$W$13,"OUTLIER+","")</f>
        <v/>
      </c>
      <c r="Q1163" s="4" t="str">
        <f>IF(Data_Set_2[[#This Row],[valor_bruto]]&lt;$W$14,"OUTLIER-","")</f>
        <v/>
      </c>
      <c r="R1163" s="4"/>
      <c r="S1163" s="4"/>
      <c r="T1163">
        <v>12</v>
      </c>
      <c r="U1163">
        <v>13</v>
      </c>
      <c r="V1163">
        <v>2025</v>
      </c>
      <c r="W1163" s="1">
        <f t="shared" si="3"/>
        <v>46004</v>
      </c>
      <c r="AB1163" t="str">
        <v>RES-101161</v>
      </c>
      <c r="AC1163">
        <v>45755</v>
      </c>
      <c r="AD1163">
        <v>0.81041666666666667</v>
      </c>
      <c r="AE1163" t="str">
        <v>Poblado</v>
      </c>
      <c r="AF1163" t="str">
        <v>Mesa</v>
      </c>
      <c r="AG1163" t="str">
        <v>Pasta</v>
      </c>
      <c r="AH1163">
        <v>3</v>
      </c>
      <c r="AI1163">
        <v>32182.5</v>
      </c>
      <c r="AJ1163">
        <v>5175.32</v>
      </c>
      <c r="AK1163">
        <v>24</v>
      </c>
      <c r="AL1163">
        <v>50</v>
      </c>
      <c r="AM1163" t="str">
        <v>Tarjeta</v>
      </c>
      <c r="AN1163" t="str">
        <v>Entregada</v>
      </c>
      <c r="AO1163">
        <v>3</v>
      </c>
    </row>
    <row r="1164" spans="1:41" x14ac:dyDescent="0.3">
      <c r="A1164" t="s">
        <v>1203</v>
      </c>
      <c r="B1164" s="8">
        <v>45756</v>
      </c>
      <c r="C1164" s="2">
        <v>0.8569444444444444</v>
      </c>
      <c r="D1164" t="s">
        <v>27</v>
      </c>
      <c r="E1164" t="s">
        <v>22</v>
      </c>
      <c r="F1164" t="s">
        <v>29</v>
      </c>
      <c r="G1164">
        <v>5</v>
      </c>
      <c r="H1164" s="6">
        <v>44539.42</v>
      </c>
      <c r="I1164" s="6">
        <v>4028.29</v>
      </c>
      <c r="J1164">
        <v>16</v>
      </c>
      <c r="K1164">
        <v>40</v>
      </c>
      <c r="L1164" t="s">
        <v>24</v>
      </c>
      <c r="M1164" t="s">
        <v>25</v>
      </c>
      <c r="N1164">
        <v>4</v>
      </c>
      <c r="O1164" s="4"/>
      <c r="P1164" s="4" t="str">
        <f>IF(Data_Set_2[[#This Row],[valor_bruto]]&gt;$W$13,"OUTLIER+","")</f>
        <v/>
      </c>
      <c r="Q1164" s="4" t="str">
        <f>IF(Data_Set_2[[#This Row],[valor_bruto]]&lt;$W$14,"OUTLIER-","")</f>
        <v/>
      </c>
      <c r="R1164" s="4"/>
      <c r="S1164" s="4"/>
      <c r="T1164">
        <v>12</v>
      </c>
      <c r="U1164">
        <v>14</v>
      </c>
      <c r="V1164">
        <v>2025</v>
      </c>
      <c r="W1164" s="1">
        <f t="shared" si="3"/>
        <v>46005</v>
      </c>
      <c r="AB1164" t="str">
        <v>RES-101162</v>
      </c>
      <c r="AC1164">
        <v>45756</v>
      </c>
      <c r="AD1164">
        <v>0.8569444444444444</v>
      </c>
      <c r="AE1164" t="str">
        <v>Centro</v>
      </c>
      <c r="AF1164" t="str">
        <v>Domicilio</v>
      </c>
      <c r="AG1164" t="str">
        <v>Parrilla</v>
      </c>
      <c r="AH1164">
        <v>5</v>
      </c>
      <c r="AI1164">
        <v>44539.42</v>
      </c>
      <c r="AJ1164">
        <v>4028.29</v>
      </c>
      <c r="AK1164">
        <v>16</v>
      </c>
      <c r="AL1164">
        <v>40</v>
      </c>
      <c r="AM1164" t="str">
        <v>Efectivo</v>
      </c>
      <c r="AN1164" t="str">
        <v>Cancelada</v>
      </c>
      <c r="AO1164">
        <v>4</v>
      </c>
    </row>
    <row r="1165" spans="1:41" x14ac:dyDescent="0.3">
      <c r="A1165" t="s">
        <v>1204</v>
      </c>
      <c r="B1165" s="8">
        <v>45934</v>
      </c>
      <c r="C1165" s="2">
        <v>0.90347222222222223</v>
      </c>
      <c r="D1165" t="s">
        <v>33</v>
      </c>
      <c r="E1165" t="s">
        <v>28</v>
      </c>
      <c r="F1165" t="s">
        <v>34</v>
      </c>
      <c r="G1165">
        <v>2</v>
      </c>
      <c r="H1165" s="6">
        <v>55821.11</v>
      </c>
      <c r="I1165" s="6">
        <v>5458.39</v>
      </c>
      <c r="J1165">
        <v>26</v>
      </c>
      <c r="K1165">
        <v>39</v>
      </c>
      <c r="L1165" t="s">
        <v>30</v>
      </c>
      <c r="M1165" t="s">
        <v>31</v>
      </c>
      <c r="N1165">
        <v>3</v>
      </c>
      <c r="O1165" s="4"/>
      <c r="P1165" s="4" t="str">
        <f>IF(Data_Set_2[[#This Row],[valor_bruto]]&gt;$W$13,"OUTLIER+","")</f>
        <v/>
      </c>
      <c r="Q1165" s="4" t="str">
        <f>IF(Data_Set_2[[#This Row],[valor_bruto]]&lt;$W$14,"OUTLIER-","")</f>
        <v/>
      </c>
      <c r="R1165" s="4"/>
      <c r="S1165" s="4"/>
      <c r="T1165">
        <v>12</v>
      </c>
      <c r="U1165">
        <v>15</v>
      </c>
      <c r="V1165">
        <v>2025</v>
      </c>
      <c r="W1165" s="1">
        <f t="shared" si="3"/>
        <v>46006</v>
      </c>
      <c r="AB1165" t="str">
        <v>RES-101163</v>
      </c>
      <c r="AC1165">
        <v>45934</v>
      </c>
      <c r="AD1165">
        <v>0.90347222222222223</v>
      </c>
      <c r="AE1165" t="str">
        <v>Envigado</v>
      </c>
      <c r="AF1165" t="str">
        <v>Recoge</v>
      </c>
      <c r="AG1165" t="str">
        <v>Vegano</v>
      </c>
      <c r="AH1165">
        <v>2</v>
      </c>
      <c r="AI1165">
        <v>55821.11</v>
      </c>
      <c r="AJ1165">
        <v>5458.39</v>
      </c>
      <c r="AK1165">
        <v>26</v>
      </c>
      <c r="AL1165">
        <v>39</v>
      </c>
      <c r="AM1165" t="str">
        <v>App</v>
      </c>
      <c r="AN1165" t="str">
        <v>Reembolsada</v>
      </c>
      <c r="AO1165">
        <v>3</v>
      </c>
    </row>
    <row r="1166" spans="1:41" x14ac:dyDescent="0.3">
      <c r="A1166" t="s">
        <v>1205</v>
      </c>
      <c r="B1166" s="8">
        <v>45758</v>
      </c>
      <c r="C1166" s="2">
        <v>0.45</v>
      </c>
      <c r="D1166" t="s">
        <v>15</v>
      </c>
      <c r="E1166" t="s">
        <v>16</v>
      </c>
      <c r="F1166" t="s">
        <v>36</v>
      </c>
      <c r="G1166">
        <v>5</v>
      </c>
      <c r="H1166" s="6">
        <v>34364.71</v>
      </c>
      <c r="I1166" s="6">
        <v>5879.81</v>
      </c>
      <c r="J1166">
        <v>14</v>
      </c>
      <c r="K1166">
        <v>27</v>
      </c>
      <c r="L1166" t="s">
        <v>18</v>
      </c>
      <c r="M1166" t="s">
        <v>19</v>
      </c>
      <c r="N1166">
        <v>3</v>
      </c>
      <c r="O1166" s="4"/>
      <c r="P1166" s="4" t="str">
        <f>IF(Data_Set_2[[#This Row],[valor_bruto]]&gt;$W$13,"OUTLIER+","")</f>
        <v/>
      </c>
      <c r="Q1166" s="4" t="str">
        <f>IF(Data_Set_2[[#This Row],[valor_bruto]]&lt;$W$14,"OUTLIER-","")</f>
        <v/>
      </c>
      <c r="R1166" s="4"/>
      <c r="S1166" s="4"/>
      <c r="T1166">
        <v>12</v>
      </c>
      <c r="U1166">
        <v>16</v>
      </c>
      <c r="V1166">
        <v>2025</v>
      </c>
      <c r="W1166" s="1">
        <f t="shared" si="3"/>
        <v>46007</v>
      </c>
      <c r="AB1166" t="str">
        <v>RES-101164</v>
      </c>
      <c r="AC1166">
        <v>45758</v>
      </c>
      <c r="AD1166">
        <v>0.45</v>
      </c>
      <c r="AE1166" t="str">
        <v>Laureles</v>
      </c>
      <c r="AF1166" t="str">
        <v>Mesa</v>
      </c>
      <c r="AG1166" t="str">
        <v>Bebidas</v>
      </c>
      <c r="AH1166">
        <v>5</v>
      </c>
      <c r="AI1166">
        <v>34364.71</v>
      </c>
      <c r="AJ1166">
        <v>5879.81</v>
      </c>
      <c r="AK1166">
        <v>14</v>
      </c>
      <c r="AL1166">
        <v>27</v>
      </c>
      <c r="AM1166" t="str">
        <v>Tarjeta</v>
      </c>
      <c r="AN1166" t="str">
        <v>Entregada</v>
      </c>
      <c r="AO1166">
        <v>3</v>
      </c>
    </row>
    <row r="1167" spans="1:41" x14ac:dyDescent="0.3">
      <c r="A1167" t="s">
        <v>1206</v>
      </c>
      <c r="B1167" s="8">
        <v>45759</v>
      </c>
      <c r="C1167" s="2">
        <v>0.49652777777777779</v>
      </c>
      <c r="D1167" t="s">
        <v>21</v>
      </c>
      <c r="E1167" t="s">
        <v>22</v>
      </c>
      <c r="F1167" t="s">
        <v>17</v>
      </c>
      <c r="G1167">
        <v>4</v>
      </c>
      <c r="H1167" s="6">
        <v>46966.68</v>
      </c>
      <c r="I1167" s="6">
        <v>6751.27</v>
      </c>
      <c r="J1167">
        <v>30</v>
      </c>
      <c r="K1167">
        <v>38</v>
      </c>
      <c r="L1167" t="s">
        <v>24</v>
      </c>
      <c r="M1167" t="s">
        <v>25</v>
      </c>
      <c r="N1167">
        <v>5</v>
      </c>
      <c r="O1167" s="4"/>
      <c r="P1167" s="4" t="str">
        <f>IF(Data_Set_2[[#This Row],[valor_bruto]]&gt;$W$13,"OUTLIER+","")</f>
        <v/>
      </c>
      <c r="Q1167" s="4" t="str">
        <f>IF(Data_Set_2[[#This Row],[valor_bruto]]&lt;$W$14,"OUTLIER-","")</f>
        <v/>
      </c>
      <c r="R1167" s="4"/>
      <c r="S1167" s="4"/>
      <c r="T1167">
        <v>12</v>
      </c>
      <c r="U1167">
        <v>17</v>
      </c>
      <c r="V1167">
        <v>2025</v>
      </c>
      <c r="W1167" s="1">
        <f t="shared" si="3"/>
        <v>46008</v>
      </c>
      <c r="AB1167" t="str">
        <v>RES-101165</v>
      </c>
      <c r="AC1167">
        <v>45759</v>
      </c>
      <c r="AD1167">
        <v>0.49652777777777779</v>
      </c>
      <c r="AE1167" t="str">
        <v>Poblado</v>
      </c>
      <c r="AF1167" t="str">
        <v>Domicilio</v>
      </c>
      <c r="AG1167" t="str">
        <v>Comida rapida</v>
      </c>
      <c r="AH1167">
        <v>4</v>
      </c>
      <c r="AI1167">
        <v>46966.68</v>
      </c>
      <c r="AJ1167">
        <v>6751.27</v>
      </c>
      <c r="AK1167">
        <v>30</v>
      </c>
      <c r="AL1167">
        <v>38</v>
      </c>
      <c r="AM1167" t="str">
        <v>Efectivo</v>
      </c>
      <c r="AN1167" t="str">
        <v>Cancelada</v>
      </c>
      <c r="AO1167">
        <v>5</v>
      </c>
    </row>
    <row r="1168" spans="1:41" x14ac:dyDescent="0.3">
      <c r="A1168" t="s">
        <v>1207</v>
      </c>
      <c r="B1168" s="8">
        <v>45760</v>
      </c>
      <c r="C1168" s="2">
        <v>0.50138888888888888</v>
      </c>
      <c r="D1168" t="s">
        <v>27</v>
      </c>
      <c r="E1168" t="s">
        <v>28</v>
      </c>
      <c r="F1168" t="s">
        <v>23</v>
      </c>
      <c r="G1168">
        <v>6</v>
      </c>
      <c r="H1168" s="6">
        <v>51432.07</v>
      </c>
      <c r="I1168" s="6">
        <v>6130.62</v>
      </c>
      <c r="J1168">
        <v>26</v>
      </c>
      <c r="K1168">
        <v>29</v>
      </c>
      <c r="L1168" t="s">
        <v>30</v>
      </c>
      <c r="M1168" t="s">
        <v>31</v>
      </c>
      <c r="N1168">
        <v>3</v>
      </c>
      <c r="O1168" s="4"/>
      <c r="P1168" s="4" t="str">
        <f>IF(Data_Set_2[[#This Row],[valor_bruto]]&gt;$W$13,"OUTLIER+","")</f>
        <v/>
      </c>
      <c r="Q1168" s="4" t="str">
        <f>IF(Data_Set_2[[#This Row],[valor_bruto]]&lt;$W$14,"OUTLIER-","")</f>
        <v/>
      </c>
      <c r="R1168" s="4"/>
      <c r="S1168" s="4"/>
      <c r="T1168">
        <v>12</v>
      </c>
      <c r="U1168">
        <v>18</v>
      </c>
      <c r="V1168">
        <v>2025</v>
      </c>
      <c r="W1168" s="1">
        <f t="shared" si="3"/>
        <v>46009</v>
      </c>
      <c r="AB1168" t="str">
        <v>RES-101166</v>
      </c>
      <c r="AC1168">
        <v>45760</v>
      </c>
      <c r="AD1168">
        <v>0.50138888888888888</v>
      </c>
      <c r="AE1168" t="str">
        <v>Centro</v>
      </c>
      <c r="AF1168" t="str">
        <v>Recoge</v>
      </c>
      <c r="AG1168" t="str">
        <v>Pasta</v>
      </c>
      <c r="AH1168">
        <v>6</v>
      </c>
      <c r="AI1168">
        <v>51432.07</v>
      </c>
      <c r="AJ1168">
        <v>6130.62</v>
      </c>
      <c r="AK1168">
        <v>26</v>
      </c>
      <c r="AL1168">
        <v>29</v>
      </c>
      <c r="AM1168" t="str">
        <v>App</v>
      </c>
      <c r="AN1168" t="str">
        <v>Reembolsada</v>
      </c>
      <c r="AO1168">
        <v>3</v>
      </c>
    </row>
    <row r="1169" spans="1:41" x14ac:dyDescent="0.3">
      <c r="A1169" t="s">
        <v>1208</v>
      </c>
      <c r="B1169" s="8">
        <v>45761</v>
      </c>
      <c r="C1169" s="2">
        <v>0.54791666666666672</v>
      </c>
      <c r="D1169" t="s">
        <v>33</v>
      </c>
      <c r="E1169" t="s">
        <v>16</v>
      </c>
      <c r="F1169" t="s">
        <v>29</v>
      </c>
      <c r="G1169">
        <v>4</v>
      </c>
      <c r="H1169" s="6">
        <v>52703.77</v>
      </c>
      <c r="I1169" s="6">
        <v>1440.2</v>
      </c>
      <c r="J1169">
        <v>24</v>
      </c>
      <c r="K1169">
        <v>30</v>
      </c>
      <c r="L1169" t="s">
        <v>18</v>
      </c>
      <c r="M1169" t="s">
        <v>19</v>
      </c>
      <c r="N1169">
        <v>3</v>
      </c>
      <c r="O1169" s="4"/>
      <c r="P1169" s="4" t="str">
        <f>IF(Data_Set_2[[#This Row],[valor_bruto]]&gt;$W$13,"OUTLIER+","")</f>
        <v/>
      </c>
      <c r="Q1169" s="4" t="str">
        <f>IF(Data_Set_2[[#This Row],[valor_bruto]]&lt;$W$14,"OUTLIER-","")</f>
        <v/>
      </c>
      <c r="R1169" s="4"/>
      <c r="S1169" s="4"/>
      <c r="T1169">
        <v>12</v>
      </c>
      <c r="U1169">
        <v>19</v>
      </c>
      <c r="V1169">
        <v>2025</v>
      </c>
      <c r="W1169" s="1">
        <f t="shared" si="3"/>
        <v>46010</v>
      </c>
      <c r="AB1169" t="str">
        <v>RES-101167</v>
      </c>
      <c r="AC1169">
        <v>45761</v>
      </c>
      <c r="AD1169">
        <v>0.54791666666666672</v>
      </c>
      <c r="AE1169" t="str">
        <v>Envigado</v>
      </c>
      <c r="AF1169" t="str">
        <v>Mesa</v>
      </c>
      <c r="AG1169" t="str">
        <v>Parrilla</v>
      </c>
      <c r="AH1169">
        <v>4</v>
      </c>
      <c r="AI1169">
        <v>52703.77</v>
      </c>
      <c r="AJ1169">
        <v>1440.2</v>
      </c>
      <c r="AK1169">
        <v>24</v>
      </c>
      <c r="AL1169">
        <v>30</v>
      </c>
      <c r="AM1169" t="str">
        <v>Tarjeta</v>
      </c>
      <c r="AN1169" t="str">
        <v>Entregada</v>
      </c>
      <c r="AO1169">
        <v>3</v>
      </c>
    </row>
    <row r="1170" spans="1:41" x14ac:dyDescent="0.3">
      <c r="A1170" t="s">
        <v>1209</v>
      </c>
      <c r="B1170" s="8">
        <v>45762</v>
      </c>
      <c r="C1170" s="2">
        <v>0.59444444444444444</v>
      </c>
      <c r="D1170" t="s">
        <v>15</v>
      </c>
      <c r="E1170" t="s">
        <v>22</v>
      </c>
      <c r="F1170" t="s">
        <v>34</v>
      </c>
      <c r="G1170">
        <v>5</v>
      </c>
      <c r="H1170" s="6">
        <v>46252.41</v>
      </c>
      <c r="I1170" s="6">
        <v>8336.6200000000008</v>
      </c>
      <c r="J1170">
        <v>17</v>
      </c>
      <c r="K1170">
        <v>26</v>
      </c>
      <c r="L1170" t="s">
        <v>24</v>
      </c>
      <c r="M1170" t="s">
        <v>25</v>
      </c>
      <c r="N1170">
        <v>3</v>
      </c>
      <c r="O1170" s="4"/>
      <c r="P1170" s="4" t="str">
        <f>IF(Data_Set_2[[#This Row],[valor_bruto]]&gt;$W$13,"OUTLIER+","")</f>
        <v/>
      </c>
      <c r="Q1170" s="4" t="str">
        <f>IF(Data_Set_2[[#This Row],[valor_bruto]]&lt;$W$14,"OUTLIER-","")</f>
        <v/>
      </c>
      <c r="R1170" s="4"/>
      <c r="S1170" s="4"/>
      <c r="T1170">
        <v>12</v>
      </c>
      <c r="U1170">
        <v>20</v>
      </c>
      <c r="V1170">
        <v>2025</v>
      </c>
      <c r="W1170" s="1">
        <f t="shared" si="3"/>
        <v>46011</v>
      </c>
      <c r="AB1170" t="str">
        <v>RES-101168</v>
      </c>
      <c r="AC1170">
        <v>45762</v>
      </c>
      <c r="AD1170">
        <v>0.59444444444444444</v>
      </c>
      <c r="AE1170" t="str">
        <v>Laureles</v>
      </c>
      <c r="AF1170" t="str">
        <v>Domicilio</v>
      </c>
      <c r="AG1170" t="str">
        <v>Vegano</v>
      </c>
      <c r="AH1170">
        <v>5</v>
      </c>
      <c r="AI1170">
        <v>46252.41</v>
      </c>
      <c r="AJ1170">
        <v>8336.6200000000008</v>
      </c>
      <c r="AK1170">
        <v>17</v>
      </c>
      <c r="AL1170">
        <v>26</v>
      </c>
      <c r="AM1170" t="str">
        <v>Efectivo</v>
      </c>
      <c r="AN1170" t="str">
        <v>Cancelada</v>
      </c>
      <c r="AO1170">
        <v>3</v>
      </c>
    </row>
    <row r="1171" spans="1:41" x14ac:dyDescent="0.3">
      <c r="A1171" t="s">
        <v>1210</v>
      </c>
      <c r="B1171" s="8">
        <v>45763</v>
      </c>
      <c r="C1171" s="2">
        <v>0.64097222222222228</v>
      </c>
      <c r="D1171" t="s">
        <v>21</v>
      </c>
      <c r="E1171" t="s">
        <v>28</v>
      </c>
      <c r="F1171" t="s">
        <v>36</v>
      </c>
      <c r="G1171">
        <v>5</v>
      </c>
      <c r="H1171" s="6">
        <v>67950.94</v>
      </c>
      <c r="I1171" s="6">
        <v>1277.3399999999999</v>
      </c>
      <c r="J1171">
        <v>29</v>
      </c>
      <c r="K1171">
        <v>34</v>
      </c>
      <c r="L1171" t="s">
        <v>30</v>
      </c>
      <c r="M1171" t="s">
        <v>31</v>
      </c>
      <c r="N1171">
        <v>4</v>
      </c>
      <c r="O1171" s="4"/>
      <c r="P1171" s="4" t="str">
        <f>IF(Data_Set_2[[#This Row],[valor_bruto]]&gt;$W$13,"OUTLIER+","")</f>
        <v/>
      </c>
      <c r="Q1171" s="4" t="str">
        <f>IF(Data_Set_2[[#This Row],[valor_bruto]]&lt;$W$14,"OUTLIER-","")</f>
        <v/>
      </c>
      <c r="R1171" s="4"/>
      <c r="S1171" s="4"/>
      <c r="T1171">
        <v>12</v>
      </c>
      <c r="U1171">
        <v>21</v>
      </c>
      <c r="V1171">
        <v>2025</v>
      </c>
      <c r="W1171" s="1">
        <f t="shared" si="3"/>
        <v>46012</v>
      </c>
      <c r="AB1171" t="str">
        <v>RES-101169</v>
      </c>
      <c r="AC1171">
        <v>45763</v>
      </c>
      <c r="AD1171">
        <v>0.64097222222222228</v>
      </c>
      <c r="AE1171" t="str">
        <v>Poblado</v>
      </c>
      <c r="AF1171" t="str">
        <v>Recoge</v>
      </c>
      <c r="AG1171" t="str">
        <v>Bebidas</v>
      </c>
      <c r="AH1171">
        <v>5</v>
      </c>
      <c r="AI1171">
        <v>67950.94</v>
      </c>
      <c r="AJ1171">
        <v>1277.3399999999999</v>
      </c>
      <c r="AK1171">
        <v>29</v>
      </c>
      <c r="AL1171">
        <v>34</v>
      </c>
      <c r="AM1171" t="str">
        <v>App</v>
      </c>
      <c r="AN1171" t="str">
        <v>Reembolsada</v>
      </c>
      <c r="AO1171">
        <v>4</v>
      </c>
    </row>
    <row r="1172" spans="1:41" x14ac:dyDescent="0.3">
      <c r="A1172" t="s">
        <v>1211</v>
      </c>
      <c r="B1172" s="8">
        <v>45764</v>
      </c>
      <c r="C1172" s="2">
        <v>0.6875</v>
      </c>
      <c r="D1172" t="s">
        <v>27</v>
      </c>
      <c r="E1172" t="s">
        <v>16</v>
      </c>
      <c r="F1172" t="s">
        <v>17</v>
      </c>
      <c r="G1172">
        <v>4</v>
      </c>
      <c r="H1172" s="6">
        <v>42976.67</v>
      </c>
      <c r="I1172" s="6">
        <v>1582.92</v>
      </c>
      <c r="J1172">
        <v>14</v>
      </c>
      <c r="K1172">
        <v>51</v>
      </c>
      <c r="L1172" t="s">
        <v>18</v>
      </c>
      <c r="M1172" t="s">
        <v>19</v>
      </c>
      <c r="N1172">
        <v>3</v>
      </c>
      <c r="O1172" s="4"/>
      <c r="P1172" s="4" t="str">
        <f>IF(Data_Set_2[[#This Row],[valor_bruto]]&gt;$W$13,"OUTLIER+","")</f>
        <v/>
      </c>
      <c r="Q1172" s="4" t="str">
        <f>IF(Data_Set_2[[#This Row],[valor_bruto]]&lt;$W$14,"OUTLIER-","")</f>
        <v/>
      </c>
      <c r="R1172" s="4"/>
      <c r="S1172" s="4"/>
      <c r="T1172">
        <v>12</v>
      </c>
      <c r="U1172">
        <v>22</v>
      </c>
      <c r="V1172">
        <v>2025</v>
      </c>
      <c r="W1172" s="1">
        <f t="shared" si="3"/>
        <v>46013</v>
      </c>
      <c r="AB1172" t="str">
        <v>RES-101170</v>
      </c>
      <c r="AC1172">
        <v>45764</v>
      </c>
      <c r="AD1172">
        <v>0.6875</v>
      </c>
      <c r="AE1172" t="str">
        <v>Centro</v>
      </c>
      <c r="AF1172" t="str">
        <v>Mesa</v>
      </c>
      <c r="AG1172" t="str">
        <v>Comida rapida</v>
      </c>
      <c r="AH1172">
        <v>4</v>
      </c>
      <c r="AI1172">
        <v>42976.67</v>
      </c>
      <c r="AJ1172">
        <v>1582.92</v>
      </c>
      <c r="AK1172">
        <v>14</v>
      </c>
      <c r="AL1172">
        <v>51</v>
      </c>
      <c r="AM1172" t="str">
        <v>Tarjeta</v>
      </c>
      <c r="AN1172" t="str">
        <v>Entregada</v>
      </c>
      <c r="AO1172">
        <v>3</v>
      </c>
    </row>
    <row r="1173" spans="1:41" x14ac:dyDescent="0.3">
      <c r="A1173" t="s">
        <v>1212</v>
      </c>
      <c r="B1173" s="8">
        <v>45765</v>
      </c>
      <c r="C1173" s="2">
        <v>0.73402777777777772</v>
      </c>
      <c r="D1173" t="s">
        <v>33</v>
      </c>
      <c r="E1173" t="s">
        <v>22</v>
      </c>
      <c r="F1173" t="s">
        <v>23</v>
      </c>
      <c r="G1173">
        <v>2</v>
      </c>
      <c r="H1173" s="6">
        <v>50035.55</v>
      </c>
      <c r="I1173" s="6">
        <v>3611.88</v>
      </c>
      <c r="J1173">
        <v>31</v>
      </c>
      <c r="K1173">
        <v>31</v>
      </c>
      <c r="L1173" t="s">
        <v>24</v>
      </c>
      <c r="M1173" t="s">
        <v>25</v>
      </c>
      <c r="N1173">
        <v>3</v>
      </c>
      <c r="O1173" s="4"/>
      <c r="P1173" s="4" t="str">
        <f>IF(Data_Set_2[[#This Row],[valor_bruto]]&gt;$W$13,"OUTLIER+","")</f>
        <v/>
      </c>
      <c r="Q1173" s="4" t="str">
        <f>IF(Data_Set_2[[#This Row],[valor_bruto]]&lt;$W$14,"OUTLIER-","")</f>
        <v/>
      </c>
      <c r="R1173" s="4"/>
      <c r="S1173" s="4"/>
      <c r="T1173">
        <v>12</v>
      </c>
      <c r="U1173">
        <v>23</v>
      </c>
      <c r="V1173">
        <v>2025</v>
      </c>
      <c r="W1173" s="1">
        <f t="shared" si="3"/>
        <v>46014</v>
      </c>
      <c r="AB1173" t="str">
        <v>RES-101171</v>
      </c>
      <c r="AC1173">
        <v>45765</v>
      </c>
      <c r="AD1173">
        <v>0.73402777777777772</v>
      </c>
      <c r="AE1173" t="str">
        <v>Envigado</v>
      </c>
      <c r="AF1173" t="str">
        <v>Domicilio</v>
      </c>
      <c r="AG1173" t="str">
        <v>Pasta</v>
      </c>
      <c r="AH1173">
        <v>2</v>
      </c>
      <c r="AI1173">
        <v>50035.55</v>
      </c>
      <c r="AJ1173">
        <v>3611.88</v>
      </c>
      <c r="AK1173">
        <v>31</v>
      </c>
      <c r="AL1173">
        <v>31</v>
      </c>
      <c r="AM1173" t="str">
        <v>Efectivo</v>
      </c>
      <c r="AN1173" t="str">
        <v>Cancelada</v>
      </c>
      <c r="AO1173">
        <v>3</v>
      </c>
    </row>
    <row r="1174" spans="1:41" x14ac:dyDescent="0.3">
      <c r="A1174" t="s">
        <v>1213</v>
      </c>
      <c r="B1174" s="8">
        <v>45766</v>
      </c>
      <c r="C1174" s="2">
        <v>0.78055555555555556</v>
      </c>
      <c r="D1174" t="s">
        <v>15</v>
      </c>
      <c r="E1174" t="s">
        <v>28</v>
      </c>
      <c r="F1174" t="s">
        <v>29</v>
      </c>
      <c r="G1174">
        <v>2</v>
      </c>
      <c r="H1174" s="6">
        <v>28997.040000000001</v>
      </c>
      <c r="I1174" s="6">
        <v>8019.39</v>
      </c>
      <c r="J1174">
        <v>15</v>
      </c>
      <c r="K1174">
        <v>39</v>
      </c>
      <c r="L1174" t="s">
        <v>30</v>
      </c>
      <c r="M1174" t="s">
        <v>31</v>
      </c>
      <c r="N1174">
        <v>3</v>
      </c>
      <c r="O1174" s="4"/>
      <c r="P1174" s="4" t="str">
        <f>IF(Data_Set_2[[#This Row],[valor_bruto]]&gt;$W$13,"OUTLIER+","")</f>
        <v/>
      </c>
      <c r="Q1174" s="4" t="str">
        <f>IF(Data_Set_2[[#This Row],[valor_bruto]]&lt;$W$14,"OUTLIER-","")</f>
        <v/>
      </c>
      <c r="R1174" s="4"/>
      <c r="S1174" s="4"/>
      <c r="T1174">
        <v>12</v>
      </c>
      <c r="U1174">
        <v>24</v>
      </c>
      <c r="V1174">
        <v>2025</v>
      </c>
      <c r="W1174" s="1">
        <f t="shared" si="3"/>
        <v>46015</v>
      </c>
      <c r="AB1174" t="str">
        <v>RES-101172</v>
      </c>
      <c r="AC1174">
        <v>45766</v>
      </c>
      <c r="AD1174">
        <v>0.78055555555555556</v>
      </c>
      <c r="AE1174" t="str">
        <v>Laureles</v>
      </c>
      <c r="AF1174" t="str">
        <v>Recoge</v>
      </c>
      <c r="AG1174" t="str">
        <v>Parrilla</v>
      </c>
      <c r="AH1174">
        <v>2</v>
      </c>
      <c r="AI1174">
        <v>28997.040000000001</v>
      </c>
      <c r="AJ1174">
        <v>8019.39</v>
      </c>
      <c r="AK1174">
        <v>15</v>
      </c>
      <c r="AL1174">
        <v>39</v>
      </c>
      <c r="AM1174" t="str">
        <v>App</v>
      </c>
      <c r="AN1174" t="str">
        <v>Reembolsada</v>
      </c>
      <c r="AO1174">
        <v>3</v>
      </c>
    </row>
    <row r="1175" spans="1:41" x14ac:dyDescent="0.3">
      <c r="A1175" t="s">
        <v>1214</v>
      </c>
      <c r="B1175" s="8">
        <v>45767</v>
      </c>
      <c r="C1175" s="2">
        <v>0.82708333333333328</v>
      </c>
      <c r="D1175" t="s">
        <v>21</v>
      </c>
      <c r="E1175" t="s">
        <v>16</v>
      </c>
      <c r="F1175" t="s">
        <v>34</v>
      </c>
      <c r="G1175">
        <v>6</v>
      </c>
      <c r="H1175" s="6">
        <v>33375.81</v>
      </c>
      <c r="I1175" s="6">
        <v>5292.92</v>
      </c>
      <c r="J1175">
        <v>17</v>
      </c>
      <c r="K1175">
        <v>46</v>
      </c>
      <c r="L1175" t="s">
        <v>18</v>
      </c>
      <c r="M1175" t="s">
        <v>19</v>
      </c>
      <c r="N1175">
        <v>5</v>
      </c>
      <c r="O1175" s="4"/>
      <c r="P1175" s="4" t="str">
        <f>IF(Data_Set_2[[#This Row],[valor_bruto]]&gt;$W$13,"OUTLIER+","")</f>
        <v/>
      </c>
      <c r="Q1175" s="4" t="str">
        <f>IF(Data_Set_2[[#This Row],[valor_bruto]]&lt;$W$14,"OUTLIER-","")</f>
        <v/>
      </c>
      <c r="R1175" s="4"/>
      <c r="S1175" s="4"/>
      <c r="T1175">
        <v>12</v>
      </c>
      <c r="U1175">
        <v>25</v>
      </c>
      <c r="V1175">
        <v>2025</v>
      </c>
      <c r="W1175" s="1">
        <f t="shared" si="3"/>
        <v>46016</v>
      </c>
      <c r="AB1175" t="str">
        <v>RES-101173</v>
      </c>
      <c r="AC1175">
        <v>45767</v>
      </c>
      <c r="AD1175">
        <v>0.82708333333333328</v>
      </c>
      <c r="AE1175" t="str">
        <v>Poblado</v>
      </c>
      <c r="AF1175" t="str">
        <v>Mesa</v>
      </c>
      <c r="AG1175" t="str">
        <v>Vegano</v>
      </c>
      <c r="AH1175">
        <v>6</v>
      </c>
      <c r="AI1175">
        <v>33375.81</v>
      </c>
      <c r="AJ1175">
        <v>5292.92</v>
      </c>
      <c r="AK1175">
        <v>17</v>
      </c>
      <c r="AL1175">
        <v>46</v>
      </c>
      <c r="AM1175" t="str">
        <v>Tarjeta</v>
      </c>
      <c r="AN1175" t="str">
        <v>Entregada</v>
      </c>
      <c r="AO1175">
        <v>5</v>
      </c>
    </row>
    <row r="1176" spans="1:41" x14ac:dyDescent="0.3">
      <c r="A1176" t="s">
        <v>1215</v>
      </c>
      <c r="B1176" s="8">
        <v>45768</v>
      </c>
      <c r="C1176" s="2">
        <v>0.87361111111111112</v>
      </c>
      <c r="D1176" t="s">
        <v>27</v>
      </c>
      <c r="E1176" t="s">
        <v>22</v>
      </c>
      <c r="F1176" t="s">
        <v>36</v>
      </c>
      <c r="G1176">
        <v>4</v>
      </c>
      <c r="H1176" s="6">
        <v>37554.28</v>
      </c>
      <c r="I1176" s="6">
        <v>3804.11</v>
      </c>
      <c r="J1176">
        <v>23</v>
      </c>
      <c r="K1176">
        <v>42</v>
      </c>
      <c r="L1176" t="s">
        <v>24</v>
      </c>
      <c r="M1176" t="s">
        <v>25</v>
      </c>
      <c r="N1176">
        <v>3</v>
      </c>
      <c r="O1176" s="4"/>
      <c r="P1176" s="4" t="str">
        <f>IF(Data_Set_2[[#This Row],[valor_bruto]]&gt;$W$13,"OUTLIER+","")</f>
        <v/>
      </c>
      <c r="Q1176" s="4" t="str">
        <f>IF(Data_Set_2[[#This Row],[valor_bruto]]&lt;$W$14,"OUTLIER-","")</f>
        <v/>
      </c>
      <c r="R1176" s="4"/>
      <c r="S1176" s="4"/>
      <c r="T1176">
        <v>12</v>
      </c>
      <c r="U1176">
        <v>26</v>
      </c>
      <c r="V1176">
        <v>2025</v>
      </c>
      <c r="W1176" s="1">
        <f t="shared" si="3"/>
        <v>46017</v>
      </c>
      <c r="AB1176" t="str">
        <v>RES-101174</v>
      </c>
      <c r="AC1176">
        <v>45768</v>
      </c>
      <c r="AD1176">
        <v>0.87361111111111112</v>
      </c>
      <c r="AE1176" t="str">
        <v>Centro</v>
      </c>
      <c r="AF1176" t="str">
        <v>Domicilio</v>
      </c>
      <c r="AG1176" t="str">
        <v>Bebidas</v>
      </c>
      <c r="AH1176">
        <v>4</v>
      </c>
      <c r="AI1176">
        <v>37554.28</v>
      </c>
      <c r="AJ1176">
        <v>3804.11</v>
      </c>
      <c r="AK1176">
        <v>23</v>
      </c>
      <c r="AL1176">
        <v>42</v>
      </c>
      <c r="AM1176" t="str">
        <v>Efectivo</v>
      </c>
      <c r="AN1176" t="str">
        <v>Cancelada</v>
      </c>
      <c r="AO1176">
        <v>3</v>
      </c>
    </row>
    <row r="1177" spans="1:41" x14ac:dyDescent="0.3">
      <c r="A1177" t="s">
        <v>1216</v>
      </c>
      <c r="B1177" s="8">
        <v>45769</v>
      </c>
      <c r="C1177" s="2">
        <v>0.87847222222222221</v>
      </c>
      <c r="D1177" t="s">
        <v>33</v>
      </c>
      <c r="E1177" t="s">
        <v>28</v>
      </c>
      <c r="F1177" t="s">
        <v>17</v>
      </c>
      <c r="G1177">
        <v>4</v>
      </c>
      <c r="H1177" s="6">
        <v>56425.33</v>
      </c>
      <c r="I1177" s="6">
        <v>6082.3342105263173</v>
      </c>
      <c r="J1177">
        <v>20</v>
      </c>
      <c r="K1177">
        <v>28</v>
      </c>
      <c r="L1177" t="s">
        <v>30</v>
      </c>
      <c r="M1177" t="s">
        <v>31</v>
      </c>
      <c r="N1177">
        <v>3</v>
      </c>
      <c r="O1177" s="4"/>
      <c r="P1177" s="4" t="str">
        <f>IF(Data_Set_2[[#This Row],[valor_bruto]]&gt;$W$13,"OUTLIER+","")</f>
        <v/>
      </c>
      <c r="Q1177" s="4" t="str">
        <f>IF(Data_Set_2[[#This Row],[valor_bruto]]&lt;$W$14,"OUTLIER-","")</f>
        <v/>
      </c>
      <c r="R1177" s="4"/>
      <c r="S1177" s="4"/>
      <c r="T1177">
        <v>12</v>
      </c>
      <c r="U1177">
        <v>27</v>
      </c>
      <c r="V1177">
        <v>2025</v>
      </c>
      <c r="W1177" s="1">
        <f t="shared" si="3"/>
        <v>46018</v>
      </c>
      <c r="AB1177" t="str">
        <v>RES-101175</v>
      </c>
      <c r="AC1177">
        <v>45769</v>
      </c>
      <c r="AD1177">
        <v>0.87847222222222221</v>
      </c>
      <c r="AE1177" t="str">
        <v>Envigado</v>
      </c>
      <c r="AF1177" t="str">
        <v>Recoge</v>
      </c>
      <c r="AG1177" t="str">
        <v>Comida rapida</v>
      </c>
      <c r="AH1177">
        <v>4</v>
      </c>
      <c r="AI1177">
        <v>56425.33</v>
      </c>
      <c r="AJ1177">
        <v>6082.3342105263173</v>
      </c>
      <c r="AK1177">
        <v>20</v>
      </c>
      <c r="AL1177">
        <v>28</v>
      </c>
      <c r="AM1177" t="str">
        <v>App</v>
      </c>
      <c r="AN1177" t="str">
        <v>Reembolsada</v>
      </c>
      <c r="AO1177">
        <v>3</v>
      </c>
    </row>
    <row r="1178" spans="1:41" x14ac:dyDescent="0.3">
      <c r="A1178" t="s">
        <v>1217</v>
      </c>
      <c r="B1178" s="8">
        <v>45770</v>
      </c>
      <c r="C1178" s="2">
        <v>0.42499999999999999</v>
      </c>
      <c r="D1178" t="s">
        <v>15</v>
      </c>
      <c r="E1178" t="s">
        <v>16</v>
      </c>
      <c r="F1178" t="s">
        <v>23</v>
      </c>
      <c r="G1178">
        <v>5</v>
      </c>
      <c r="H1178" s="6">
        <v>30864.44</v>
      </c>
      <c r="I1178" s="6">
        <v>6601.97</v>
      </c>
      <c r="J1178">
        <v>31</v>
      </c>
      <c r="K1178">
        <v>40</v>
      </c>
      <c r="L1178" t="s">
        <v>18</v>
      </c>
      <c r="M1178" t="s">
        <v>19</v>
      </c>
      <c r="N1178">
        <v>4</v>
      </c>
      <c r="O1178" s="4"/>
      <c r="P1178" s="4" t="str">
        <f>IF(Data_Set_2[[#This Row],[valor_bruto]]&gt;$W$13,"OUTLIER+","")</f>
        <v/>
      </c>
      <c r="Q1178" s="4" t="str">
        <f>IF(Data_Set_2[[#This Row],[valor_bruto]]&lt;$W$14,"OUTLIER-","")</f>
        <v/>
      </c>
      <c r="R1178" s="4"/>
      <c r="S1178" s="4"/>
      <c r="T1178">
        <v>12</v>
      </c>
      <c r="U1178">
        <v>28</v>
      </c>
      <c r="V1178">
        <v>2025</v>
      </c>
      <c r="W1178" s="1">
        <f t="shared" si="3"/>
        <v>46019</v>
      </c>
      <c r="AB1178" t="str">
        <v>RES-101176</v>
      </c>
      <c r="AC1178">
        <v>45770</v>
      </c>
      <c r="AD1178">
        <v>0.42499999999999999</v>
      </c>
      <c r="AE1178" t="str">
        <v>Laureles</v>
      </c>
      <c r="AF1178" t="str">
        <v>Mesa</v>
      </c>
      <c r="AG1178" t="str">
        <v>Pasta</v>
      </c>
      <c r="AH1178">
        <v>5</v>
      </c>
      <c r="AI1178">
        <v>30864.44</v>
      </c>
      <c r="AJ1178">
        <v>6601.97</v>
      </c>
      <c r="AK1178">
        <v>31</v>
      </c>
      <c r="AL1178">
        <v>40</v>
      </c>
      <c r="AM1178" t="str">
        <v>Tarjeta</v>
      </c>
      <c r="AN1178" t="str">
        <v>Entregada</v>
      </c>
      <c r="AO1178">
        <v>4</v>
      </c>
    </row>
    <row r="1179" spans="1:41" x14ac:dyDescent="0.3">
      <c r="A1179" t="s">
        <v>1218</v>
      </c>
      <c r="B1179" s="8">
        <v>45771</v>
      </c>
      <c r="C1179" s="2">
        <v>0.47152777777777777</v>
      </c>
      <c r="D1179" t="s">
        <v>21</v>
      </c>
      <c r="E1179" t="s">
        <v>22</v>
      </c>
      <c r="F1179" t="s">
        <v>29</v>
      </c>
      <c r="G1179">
        <v>2</v>
      </c>
      <c r="H1179" s="6">
        <v>68427.990000000005</v>
      </c>
      <c r="I1179" s="6">
        <v>6006.99</v>
      </c>
      <c r="J1179">
        <v>31</v>
      </c>
      <c r="K1179">
        <v>33</v>
      </c>
      <c r="L1179" t="s">
        <v>24</v>
      </c>
      <c r="M1179" t="s">
        <v>25</v>
      </c>
      <c r="N1179">
        <v>5</v>
      </c>
      <c r="O1179" s="4"/>
      <c r="P1179" s="4" t="str">
        <f>IF(Data_Set_2[[#This Row],[valor_bruto]]&gt;$W$13,"OUTLIER+","")</f>
        <v/>
      </c>
      <c r="Q1179" s="4" t="str">
        <f>IF(Data_Set_2[[#This Row],[valor_bruto]]&lt;$W$14,"OUTLIER-","")</f>
        <v/>
      </c>
      <c r="R1179" s="4"/>
      <c r="S1179" s="4"/>
      <c r="T1179">
        <v>12</v>
      </c>
      <c r="U1179">
        <v>29</v>
      </c>
      <c r="V1179">
        <v>2025</v>
      </c>
      <c r="W1179" s="1">
        <f t="shared" si="3"/>
        <v>46020</v>
      </c>
      <c r="AB1179" t="str">
        <v>RES-101177</v>
      </c>
      <c r="AC1179">
        <v>45771</v>
      </c>
      <c r="AD1179">
        <v>0.47152777777777777</v>
      </c>
      <c r="AE1179" t="str">
        <v>Poblado</v>
      </c>
      <c r="AF1179" t="str">
        <v>Domicilio</v>
      </c>
      <c r="AG1179" t="str">
        <v>Parrilla</v>
      </c>
      <c r="AH1179">
        <v>2</v>
      </c>
      <c r="AI1179">
        <v>68427.990000000005</v>
      </c>
      <c r="AJ1179">
        <v>6006.99</v>
      </c>
      <c r="AK1179">
        <v>31</v>
      </c>
      <c r="AL1179">
        <v>33</v>
      </c>
      <c r="AM1179" t="str">
        <v>Efectivo</v>
      </c>
      <c r="AN1179" t="str">
        <v>Cancelada</v>
      </c>
      <c r="AO1179">
        <v>5</v>
      </c>
    </row>
    <row r="1180" spans="1:41" x14ac:dyDescent="0.3">
      <c r="A1180" t="s">
        <v>1219</v>
      </c>
      <c r="B1180" s="8">
        <v>45772</v>
      </c>
      <c r="C1180" s="2">
        <v>0.5180555555555556</v>
      </c>
      <c r="D1180" t="s">
        <v>27</v>
      </c>
      <c r="E1180" t="s">
        <v>28</v>
      </c>
      <c r="F1180" t="s">
        <v>34</v>
      </c>
      <c r="G1180">
        <v>3</v>
      </c>
      <c r="H1180" s="6">
        <v>40676.239999999998</v>
      </c>
      <c r="I1180" s="6">
        <v>1471.82</v>
      </c>
      <c r="J1180">
        <v>21</v>
      </c>
      <c r="K1180">
        <v>44</v>
      </c>
      <c r="L1180" t="s">
        <v>30</v>
      </c>
      <c r="M1180" t="s">
        <v>31</v>
      </c>
      <c r="N1180">
        <v>4</v>
      </c>
      <c r="O1180" s="4"/>
      <c r="P1180" s="4" t="str">
        <f>IF(Data_Set_2[[#This Row],[valor_bruto]]&gt;$W$13,"OUTLIER+","")</f>
        <v/>
      </c>
      <c r="Q1180" s="4" t="str">
        <f>IF(Data_Set_2[[#This Row],[valor_bruto]]&lt;$W$14,"OUTLIER-","")</f>
        <v/>
      </c>
      <c r="R1180" s="4"/>
      <c r="S1180" s="4"/>
      <c r="T1180">
        <v>12</v>
      </c>
      <c r="U1180">
        <v>30</v>
      </c>
      <c r="V1180">
        <v>2025</v>
      </c>
      <c r="W1180" s="1">
        <f t="shared" si="3"/>
        <v>46021</v>
      </c>
      <c r="AB1180" t="str">
        <v>RES-101178</v>
      </c>
      <c r="AC1180">
        <v>45772</v>
      </c>
      <c r="AD1180">
        <v>0.5180555555555556</v>
      </c>
      <c r="AE1180" t="str">
        <v>Centro</v>
      </c>
      <c r="AF1180" t="str">
        <v>Recoge</v>
      </c>
      <c r="AG1180" t="str">
        <v>Vegano</v>
      </c>
      <c r="AH1180">
        <v>3</v>
      </c>
      <c r="AI1180">
        <v>40676.239999999998</v>
      </c>
      <c r="AJ1180">
        <v>1471.82</v>
      </c>
      <c r="AK1180">
        <v>21</v>
      </c>
      <c r="AL1180">
        <v>44</v>
      </c>
      <c r="AM1180" t="str">
        <v>App</v>
      </c>
      <c r="AN1180" t="str">
        <v>Reembolsada</v>
      </c>
      <c r="AO1180">
        <v>4</v>
      </c>
    </row>
    <row r="1181" spans="1:41" x14ac:dyDescent="0.3">
      <c r="A1181" t="s">
        <v>1220</v>
      </c>
      <c r="B1181" s="8">
        <v>45773</v>
      </c>
      <c r="C1181" s="2">
        <v>0.56458333333333333</v>
      </c>
      <c r="D1181" t="s">
        <v>33</v>
      </c>
      <c r="E1181" t="s">
        <v>16</v>
      </c>
      <c r="F1181" t="s">
        <v>36</v>
      </c>
      <c r="G1181">
        <v>2</v>
      </c>
      <c r="H1181" s="6">
        <v>27715.41</v>
      </c>
      <c r="I1181" s="6">
        <v>3014.4</v>
      </c>
      <c r="J1181">
        <v>15</v>
      </c>
      <c r="K1181">
        <v>43</v>
      </c>
      <c r="L1181" t="s">
        <v>18</v>
      </c>
      <c r="M1181" t="s">
        <v>19</v>
      </c>
      <c r="N1181">
        <v>4</v>
      </c>
      <c r="O1181" s="4"/>
      <c r="P1181" s="4" t="str">
        <f>IF(Data_Set_2[[#This Row],[valor_bruto]]&gt;$W$13,"OUTLIER+","")</f>
        <v/>
      </c>
      <c r="Q1181" s="4" t="str">
        <f>IF(Data_Set_2[[#This Row],[valor_bruto]]&lt;$W$14,"OUTLIER-","")</f>
        <v/>
      </c>
      <c r="R1181" s="4"/>
      <c r="S1181" s="4"/>
      <c r="T1181">
        <v>12</v>
      </c>
      <c r="U1181">
        <v>31</v>
      </c>
      <c r="V1181">
        <v>2025</v>
      </c>
      <c r="W1181" s="1">
        <f t="shared" si="3"/>
        <v>46022</v>
      </c>
      <c r="AB1181" t="str">
        <v>RES-101179</v>
      </c>
      <c r="AC1181">
        <v>45773</v>
      </c>
      <c r="AD1181">
        <v>0.56458333333333333</v>
      </c>
      <c r="AE1181" t="str">
        <v>Envigado</v>
      </c>
      <c r="AF1181" t="str">
        <v>Mesa</v>
      </c>
      <c r="AG1181" t="str">
        <v>Bebidas</v>
      </c>
      <c r="AH1181">
        <v>2</v>
      </c>
      <c r="AI1181">
        <v>27715.41</v>
      </c>
      <c r="AJ1181">
        <v>3014.4</v>
      </c>
      <c r="AK1181">
        <v>15</v>
      </c>
      <c r="AL1181">
        <v>43</v>
      </c>
      <c r="AM1181" t="str">
        <v>Tarjeta</v>
      </c>
      <c r="AN1181" t="str">
        <v>Entregada</v>
      </c>
      <c r="AO1181">
        <v>4</v>
      </c>
    </row>
    <row r="1182" spans="1:41" x14ac:dyDescent="0.3">
      <c r="A1182" t="s">
        <v>1236</v>
      </c>
      <c r="B1182" s="8"/>
      <c r="C1182" s="2"/>
      <c r="H1182" s="6">
        <f>SUBTOTAL(109,Data_Set_2[valor_bruto])</f>
        <v>56959503.797864355</v>
      </c>
      <c r="I1182" s="6">
        <f>SUBTOTAL(109,Data_Set_2[descuento_cupon])</f>
        <v>5362525.5710223578</v>
      </c>
    </row>
  </sheetData>
  <autoFilter ref="P1:Q1181" xr:uid="{FE50DBDF-4F5A-40D3-B352-56E8DB47DEE8}"/>
  <mergeCells count="2">
    <mergeCell ref="V15:W18"/>
    <mergeCell ref="Y15:Z18"/>
  </mergeCells>
  <conditionalFormatting sqref="A2:A1181">
    <cfRule type="duplicateValues" dxfId="0" priority="22"/>
  </conditionalFormatting>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A0D50-97CD-4DF0-A7DD-2A4766169B26}">
  <sheetPr>
    <pageSetUpPr fitToPage="1"/>
  </sheetPr>
  <dimension ref="A2:O46"/>
  <sheetViews>
    <sheetView showGridLines="0" tabSelected="1" topLeftCell="G1" zoomScale="90" zoomScaleNormal="90" workbookViewId="0">
      <selection activeCell="R7" sqref="R7"/>
    </sheetView>
  </sheetViews>
  <sheetFormatPr defaultColWidth="11.5546875" defaultRowHeight="14.4" outlineLevelCol="1" x14ac:dyDescent="0.3"/>
  <cols>
    <col min="1" max="1" width="17.5546875" hidden="1" customWidth="1" outlineLevel="1"/>
    <col min="2" max="2" width="19.33203125" hidden="1" customWidth="1" outlineLevel="1"/>
    <col min="3" max="3" width="16.77734375" hidden="1" customWidth="1" outlineLevel="1"/>
    <col min="4" max="4" width="17.5546875" hidden="1" customWidth="1" outlineLevel="1"/>
    <col min="5" max="5" width="24.77734375" hidden="1" customWidth="1" outlineLevel="1"/>
    <col min="6" max="6" width="16.77734375" hidden="1" customWidth="1" outlineLevel="1"/>
    <col min="7" max="7" width="21.44140625" bestFit="1" customWidth="1" collapsed="1"/>
    <col min="8" max="12" width="21.44140625" bestFit="1" customWidth="1"/>
    <col min="13" max="13" width="11.88671875" bestFit="1" customWidth="1"/>
    <col min="14" max="387" width="21.44140625" bestFit="1" customWidth="1"/>
    <col min="388" max="388" width="11.88671875" bestFit="1" customWidth="1"/>
  </cols>
  <sheetData>
    <row r="2" spans="1:15" x14ac:dyDescent="0.3">
      <c r="I2" s="26" t="s">
        <v>1271</v>
      </c>
      <c r="J2" s="26"/>
      <c r="K2" s="26"/>
      <c r="L2" s="26"/>
      <c r="M2" s="26"/>
      <c r="N2" s="26"/>
      <c r="O2" s="26"/>
    </row>
    <row r="3" spans="1:15" x14ac:dyDescent="0.3">
      <c r="A3" s="18" t="s">
        <v>1244</v>
      </c>
      <c r="B3" s="18" t="s">
        <v>1241</v>
      </c>
      <c r="I3" s="26"/>
      <c r="J3" s="26"/>
      <c r="K3" s="26"/>
      <c r="L3" s="26"/>
      <c r="M3" s="26"/>
      <c r="N3" s="26"/>
      <c r="O3" s="26"/>
    </row>
    <row r="4" spans="1:15" x14ac:dyDescent="0.3">
      <c r="A4" s="18" t="s">
        <v>1243</v>
      </c>
      <c r="B4" t="s">
        <v>27</v>
      </c>
      <c r="C4" t="s">
        <v>33</v>
      </c>
      <c r="D4" t="s">
        <v>15</v>
      </c>
      <c r="E4" t="s">
        <v>21</v>
      </c>
      <c r="F4" t="s">
        <v>1242</v>
      </c>
    </row>
    <row r="5" spans="1:15" x14ac:dyDescent="0.3">
      <c r="A5" s="19" t="s">
        <v>22</v>
      </c>
      <c r="B5" s="10">
        <v>5018706.919999999</v>
      </c>
      <c r="C5" s="10">
        <v>4918545.41</v>
      </c>
      <c r="D5" s="10">
        <v>4828570.2200000016</v>
      </c>
      <c r="E5" s="10">
        <v>5058811.330000001</v>
      </c>
      <c r="F5" s="10">
        <v>19824633.880000003</v>
      </c>
    </row>
    <row r="6" spans="1:15" x14ac:dyDescent="0.3">
      <c r="A6" s="19" t="s">
        <v>16</v>
      </c>
      <c r="B6" s="10">
        <v>4654526.669999999</v>
      </c>
      <c r="C6" s="10">
        <v>5021866.3599999994</v>
      </c>
      <c r="D6" s="10">
        <v>4597582.8900000006</v>
      </c>
      <c r="E6" s="10">
        <v>4631365.8900000015</v>
      </c>
      <c r="F6" s="10">
        <v>18905341.809999999</v>
      </c>
    </row>
    <row r="7" spans="1:15" x14ac:dyDescent="0.3">
      <c r="A7" s="19" t="s">
        <v>28</v>
      </c>
      <c r="B7" s="10">
        <v>5226960.99</v>
      </c>
      <c r="C7" s="10">
        <v>4699299.0000000009</v>
      </c>
      <c r="D7" s="10">
        <v>4664697.5800000019</v>
      </c>
      <c r="E7" s="10">
        <v>4813804.5600000005</v>
      </c>
      <c r="F7" s="10">
        <v>19404762.130000003</v>
      </c>
    </row>
    <row r="8" spans="1:15" x14ac:dyDescent="0.3">
      <c r="A8" s="19" t="s">
        <v>1242</v>
      </c>
      <c r="B8" s="10">
        <v>14900194.579999998</v>
      </c>
      <c r="C8" s="10">
        <v>14639710.77</v>
      </c>
      <c r="D8" s="10">
        <v>14090850.690000005</v>
      </c>
      <c r="E8" s="10">
        <v>14503981.780000003</v>
      </c>
      <c r="F8" s="10">
        <v>58134737.82</v>
      </c>
    </row>
    <row r="11" spans="1:15" x14ac:dyDescent="0.3">
      <c r="A11" s="18" t="s">
        <v>1243</v>
      </c>
      <c r="B11" t="s">
        <v>1244</v>
      </c>
    </row>
    <row r="12" spans="1:15" x14ac:dyDescent="0.3">
      <c r="A12" s="19" t="s">
        <v>36</v>
      </c>
      <c r="B12" s="10">
        <v>11316065.640000004</v>
      </c>
    </row>
    <row r="13" spans="1:15" x14ac:dyDescent="0.3">
      <c r="A13" s="19" t="s">
        <v>34</v>
      </c>
      <c r="B13" s="10">
        <v>11353654.259999994</v>
      </c>
    </row>
    <row r="14" spans="1:15" x14ac:dyDescent="0.3">
      <c r="A14" s="19" t="s">
        <v>23</v>
      </c>
      <c r="B14" s="10">
        <v>11620521.079999998</v>
      </c>
    </row>
    <row r="15" spans="1:15" x14ac:dyDescent="0.3">
      <c r="A15" s="19" t="s">
        <v>17</v>
      </c>
      <c r="B15" s="10">
        <v>11706493.050000003</v>
      </c>
    </row>
    <row r="16" spans="1:15" x14ac:dyDescent="0.3">
      <c r="A16" s="19" t="s">
        <v>29</v>
      </c>
      <c r="B16" s="10">
        <v>12138003.789999986</v>
      </c>
    </row>
    <row r="17" spans="1:6" x14ac:dyDescent="0.3">
      <c r="A17" s="19" t="s">
        <v>1242</v>
      </c>
      <c r="B17" s="10">
        <v>58134737.819999978</v>
      </c>
      <c r="C17" s="23">
        <f>GETPIVOTDATA("valor_bruto",$A$11)</f>
        <v>58134737.819999978</v>
      </c>
    </row>
    <row r="19" spans="1:6" x14ac:dyDescent="0.3">
      <c r="A19" s="18" t="s">
        <v>1243</v>
      </c>
      <c r="B19" t="s">
        <v>1244</v>
      </c>
      <c r="D19" s="18" t="s">
        <v>1243</v>
      </c>
      <c r="E19" t="s">
        <v>1269</v>
      </c>
    </row>
    <row r="20" spans="1:6" x14ac:dyDescent="0.3">
      <c r="A20" s="19" t="s">
        <v>1245</v>
      </c>
      <c r="B20" s="10">
        <v>53716557.520000011</v>
      </c>
      <c r="D20" s="19" t="s">
        <v>36</v>
      </c>
      <c r="E20">
        <v>1038495.1600000005</v>
      </c>
    </row>
    <row r="21" spans="1:6" x14ac:dyDescent="0.3">
      <c r="A21" s="20" t="s">
        <v>1247</v>
      </c>
      <c r="B21" s="10">
        <v>631662.79999999993</v>
      </c>
      <c r="D21" s="19" t="s">
        <v>17</v>
      </c>
      <c r="E21">
        <v>1066203.1049752315</v>
      </c>
    </row>
    <row r="22" spans="1:6" x14ac:dyDescent="0.3">
      <c r="A22" s="20" t="s">
        <v>1248</v>
      </c>
      <c r="B22" s="10">
        <v>5654620.7800000012</v>
      </c>
      <c r="D22" s="19" t="s">
        <v>29</v>
      </c>
      <c r="E22">
        <v>1063747.3186959061</v>
      </c>
    </row>
    <row r="23" spans="1:6" x14ac:dyDescent="0.3">
      <c r="A23" s="20" t="s">
        <v>1249</v>
      </c>
      <c r="B23" s="10">
        <v>5769124.4200000018</v>
      </c>
      <c r="D23" s="19" t="s">
        <v>23</v>
      </c>
      <c r="E23">
        <v>1086701.6610646721</v>
      </c>
    </row>
    <row r="24" spans="1:6" x14ac:dyDescent="0.3">
      <c r="A24" s="20" t="s">
        <v>1250</v>
      </c>
      <c r="B24" s="10">
        <v>5287208.4200000009</v>
      </c>
      <c r="D24" s="19" t="s">
        <v>34</v>
      </c>
      <c r="E24">
        <v>1107378.3262865497</v>
      </c>
    </row>
    <row r="25" spans="1:6" x14ac:dyDescent="0.3">
      <c r="A25" s="20" t="s">
        <v>1251</v>
      </c>
      <c r="B25" s="10">
        <v>4355592.9799999986</v>
      </c>
      <c r="D25" s="19" t="s">
        <v>1242</v>
      </c>
      <c r="E25">
        <v>5362525.5710223597</v>
      </c>
      <c r="F25" s="23">
        <f>GETPIVOTDATA("descuento_cupon",$D$19)</f>
        <v>5362525.5710223597</v>
      </c>
    </row>
    <row r="26" spans="1:6" x14ac:dyDescent="0.3">
      <c r="A26" s="20" t="s">
        <v>1252</v>
      </c>
      <c r="B26" s="10">
        <v>4895219.8899999997</v>
      </c>
    </row>
    <row r="27" spans="1:6" x14ac:dyDescent="0.3">
      <c r="A27" s="20" t="s">
        <v>1253</v>
      </c>
      <c r="B27" s="10">
        <v>4551200.8500000006</v>
      </c>
    </row>
    <row r="28" spans="1:6" x14ac:dyDescent="0.3">
      <c r="A28" s="20" t="s">
        <v>1254</v>
      </c>
      <c r="B28" s="10">
        <v>4962275.53</v>
      </c>
      <c r="D28" s="18" t="s">
        <v>1243</v>
      </c>
      <c r="E28" t="s">
        <v>1270</v>
      </c>
    </row>
    <row r="29" spans="1:6" x14ac:dyDescent="0.3">
      <c r="A29" s="20" t="s">
        <v>1255</v>
      </c>
      <c r="B29" s="10">
        <v>4323690.0799999982</v>
      </c>
      <c r="D29" s="19" t="s">
        <v>27</v>
      </c>
      <c r="E29">
        <v>1225</v>
      </c>
    </row>
    <row r="30" spans="1:6" x14ac:dyDescent="0.3">
      <c r="A30" s="20" t="s">
        <v>1256</v>
      </c>
      <c r="B30" s="10">
        <v>4132942.7</v>
      </c>
      <c r="D30" s="19" t="s">
        <v>33</v>
      </c>
      <c r="E30">
        <v>1190</v>
      </c>
    </row>
    <row r="31" spans="1:6" x14ac:dyDescent="0.3">
      <c r="A31" s="20" t="s">
        <v>1257</v>
      </c>
      <c r="B31" s="10">
        <v>4587404.9500000011</v>
      </c>
      <c r="D31" s="19" t="s">
        <v>15</v>
      </c>
      <c r="E31">
        <v>1173</v>
      </c>
    </row>
    <row r="32" spans="1:6" x14ac:dyDescent="0.3">
      <c r="A32" s="20" t="s">
        <v>1258</v>
      </c>
      <c r="B32" s="10">
        <v>4565614.1199999992</v>
      </c>
      <c r="D32" s="19" t="s">
        <v>21</v>
      </c>
      <c r="E32">
        <v>1172</v>
      </c>
    </row>
    <row r="33" spans="1:6" x14ac:dyDescent="0.3">
      <c r="A33" s="19" t="s">
        <v>1246</v>
      </c>
      <c r="B33" s="10">
        <v>4418180.3</v>
      </c>
      <c r="D33" s="19" t="s">
        <v>1242</v>
      </c>
      <c r="E33">
        <v>4760</v>
      </c>
      <c r="F33" s="24">
        <f>GETPIVOTDATA("calificacion",$D$28)</f>
        <v>4760</v>
      </c>
    </row>
    <row r="34" spans="1:6" x14ac:dyDescent="0.3">
      <c r="A34" s="20" t="s">
        <v>1247</v>
      </c>
      <c r="B34" s="10">
        <v>3833677.290000001</v>
      </c>
    </row>
    <row r="35" spans="1:6" x14ac:dyDescent="0.3">
      <c r="A35" s="20" t="s">
        <v>1248</v>
      </c>
      <c r="B35" s="10">
        <v>53043.22</v>
      </c>
    </row>
    <row r="36" spans="1:6" x14ac:dyDescent="0.3">
      <c r="A36" s="20" t="s">
        <v>1249</v>
      </c>
      <c r="B36" s="10">
        <v>40139.230000000003</v>
      </c>
    </row>
    <row r="37" spans="1:6" x14ac:dyDescent="0.3">
      <c r="A37" s="20" t="s">
        <v>1250</v>
      </c>
      <c r="B37" s="10">
        <v>54137.09</v>
      </c>
    </row>
    <row r="38" spans="1:6" x14ac:dyDescent="0.3">
      <c r="A38" s="20" t="s">
        <v>1251</v>
      </c>
      <c r="B38" s="10">
        <v>66034.38</v>
      </c>
    </row>
    <row r="39" spans="1:6" x14ac:dyDescent="0.3">
      <c r="A39" s="20" t="s">
        <v>1252</v>
      </c>
      <c r="B39" s="10">
        <v>45403.4</v>
      </c>
    </row>
    <row r="40" spans="1:6" x14ac:dyDescent="0.3">
      <c r="A40" s="20" t="s">
        <v>1253</v>
      </c>
      <c r="B40" s="10">
        <v>45911.42</v>
      </c>
    </row>
    <row r="41" spans="1:6" x14ac:dyDescent="0.3">
      <c r="A41" s="20" t="s">
        <v>1254</v>
      </c>
      <c r="B41" s="10">
        <v>66280.289999999994</v>
      </c>
    </row>
    <row r="42" spans="1:6" x14ac:dyDescent="0.3">
      <c r="A42" s="20" t="s">
        <v>1255</v>
      </c>
      <c r="B42" s="10">
        <v>69271.429999999993</v>
      </c>
    </row>
    <row r="43" spans="1:6" x14ac:dyDescent="0.3">
      <c r="A43" s="20" t="s">
        <v>1256</v>
      </c>
      <c r="B43" s="10">
        <v>49548.07</v>
      </c>
    </row>
    <row r="44" spans="1:6" x14ac:dyDescent="0.3">
      <c r="A44" s="20" t="s">
        <v>1257</v>
      </c>
      <c r="B44" s="10">
        <v>50195.06</v>
      </c>
    </row>
    <row r="45" spans="1:6" x14ac:dyDescent="0.3">
      <c r="A45" s="20" t="s">
        <v>1258</v>
      </c>
      <c r="B45" s="10">
        <v>44539.42</v>
      </c>
    </row>
    <row r="46" spans="1:6" x14ac:dyDescent="0.3">
      <c r="A46" s="19" t="s">
        <v>1242</v>
      </c>
      <c r="B46" s="10">
        <v>58134737.820000015</v>
      </c>
    </row>
  </sheetData>
  <mergeCells count="1">
    <mergeCell ref="I2:O3"/>
  </mergeCells>
  <pageMargins left="0.7" right="0.7" top="0.75" bottom="0.75" header="0.3" footer="0.3"/>
  <pageSetup scale="54" orientation="landscape"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1677770-44D3-49D3-A441-46FE629ACE1E}">
  <ds:schemaRefs/>
</ds:datastoreItem>
</file>

<file path=customXml/itemProps2.xml><?xml version="1.0" encoding="utf-8"?>
<ds:datastoreItem xmlns:ds="http://schemas.openxmlformats.org/officeDocument/2006/customXml" ds:itemID="{E8A09CCE-01F2-4B57-9C08-1C6001F0C00D}">
  <ds:schemaRefs/>
</ds:datastoreItem>
</file>

<file path=customXml/itemProps3.xml><?xml version="1.0" encoding="utf-8"?>
<ds:datastoreItem xmlns:ds="http://schemas.openxmlformats.org/officeDocument/2006/customXml" ds:itemID="{3B0A624B-048A-48B9-8A77-E827CD3A50EB}">
  <ds:schemaRefs/>
</ds:datastoreItem>
</file>

<file path=customXml/itemProps4.xml><?xml version="1.0" encoding="utf-8"?>
<ds:datastoreItem xmlns:ds="http://schemas.openxmlformats.org/officeDocument/2006/customXml" ds:itemID="{BC98F3D8-F9F7-4DD3-9537-C5BAEA065BE4}">
  <ds:schemaRefs/>
</ds:datastoreItem>
</file>

<file path=customXml/itemProps5.xml><?xml version="1.0" encoding="utf-8"?>
<ds:datastoreItem xmlns:ds="http://schemas.openxmlformats.org/officeDocument/2006/customXml" ds:itemID="{46131CCF-20B4-4D07-B03B-21B674A8CFDD}">
  <ds:schemaRefs/>
</ds:datastoreItem>
</file>

<file path=customXml/itemProps6.xml><?xml version="1.0" encoding="utf-8"?>
<ds:datastoreItem xmlns:ds="http://schemas.openxmlformats.org/officeDocument/2006/customXml" ds:itemID="{1AC13DBA-0129-41C5-BF7A-35B0775B254A}">
  <ds:schemaRefs/>
</ds:datastoreItem>
</file>

<file path=customXml/itemProps7.xml><?xml version="1.0" encoding="utf-8"?>
<ds:datastoreItem xmlns:ds="http://schemas.openxmlformats.org/officeDocument/2006/customXml" ds:itemID="{F3E0807B-89DB-4C04-8AE8-9BFD1FC9E282}">
  <ds:schemaRefs/>
</ds:datastoreItem>
</file>

<file path=customXml/itemProps8.xml><?xml version="1.0" encoding="utf-8"?>
<ds:datastoreItem xmlns:ds="http://schemas.openxmlformats.org/officeDocument/2006/customXml" ds:itemID="{E039DD5C-4A8B-4E98-AC78-1AEA45436AA3}">
  <ds:schemaRefs/>
</ds:datastoreItem>
</file>

<file path=customXml/itemProps9.xml><?xml version="1.0" encoding="utf-8"?>
<ds:datastoreItem xmlns:ds="http://schemas.openxmlformats.org/officeDocument/2006/customXml" ds:itemID="{14F439BA-E7DF-47CC-9786-23B7A7CD2A2F}">
  <ds:schemaRefs/>
</ds:datastoreItem>
</file>

<file path=customXml/itemProps10.xml><?xml version="1.0" encoding="utf-8"?>
<ds:datastoreItem xmlns:ds="http://schemas.openxmlformats.org/officeDocument/2006/customXml" ds:itemID="{82CC611A-EB3E-4B26-A4F5-7CD0675A7F04}">
  <ds:schemaRefs/>
</ds:datastoreItem>
</file>

<file path=customXml/itemProps11.xml><?xml version="1.0" encoding="utf-8"?>
<ds:datastoreItem xmlns:ds="http://schemas.openxmlformats.org/officeDocument/2006/customXml" ds:itemID="{251678A2-5589-4B37-8626-0401277EE2C6}">
  <ds:schemaRefs/>
</ds:datastoreItem>
</file>

<file path=customXml/itemProps12.xml><?xml version="1.0" encoding="utf-8"?>
<ds:datastoreItem xmlns:ds="http://schemas.openxmlformats.org/officeDocument/2006/customXml" ds:itemID="{913A8DD7-C375-4E4F-BED6-72C7E640969B}">
  <ds:schemaRefs/>
</ds:datastoreItem>
</file>

<file path=customXml/itemProps13.xml><?xml version="1.0" encoding="utf-8"?>
<ds:datastoreItem xmlns:ds="http://schemas.openxmlformats.org/officeDocument/2006/customXml" ds:itemID="{8640CABA-86C3-4C91-A75F-1E17D8D5B52A}">
  <ds:schemaRefs/>
</ds:datastoreItem>
</file>

<file path=customXml/itemProps14.xml><?xml version="1.0" encoding="utf-8"?>
<ds:datastoreItem xmlns:ds="http://schemas.openxmlformats.org/officeDocument/2006/customXml" ds:itemID="{8A56278C-C70F-48BB-A7E2-3B17A9EC12FC}">
  <ds:schemaRefs/>
</ds:datastoreItem>
</file>

<file path=customXml/itemProps15.xml><?xml version="1.0" encoding="utf-8"?>
<ds:datastoreItem xmlns:ds="http://schemas.openxmlformats.org/officeDocument/2006/customXml" ds:itemID="{506470BB-FB76-4BEC-A901-640BDCC0B523}">
  <ds:schemaRefs/>
</ds:datastoreItem>
</file>

<file path=customXml/itemProps16.xml><?xml version="1.0" encoding="utf-8"?>
<ds:datastoreItem xmlns:ds="http://schemas.openxmlformats.org/officeDocument/2006/customXml" ds:itemID="{4401F707-A481-439B-B9D2-E6CD32B3BE06}">
  <ds:schemaRefs/>
</ds:datastoreItem>
</file>

<file path=customXml/itemProps17.xml><?xml version="1.0" encoding="utf-8"?>
<ds:datastoreItem xmlns:ds="http://schemas.openxmlformats.org/officeDocument/2006/customXml" ds:itemID="{66EF8638-91EF-4FB8-9DC7-2C3B1BDA33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dataset_02_restaurante_operacio</vt:lpstr>
      <vt:lpstr>Tabla Dinámica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giraldo perez</dc:creator>
  <cp:lastModifiedBy>Cristhian  Calderon Cuenca</cp:lastModifiedBy>
  <cp:lastPrinted>2026-06-15T19:31:49Z</cp:lastPrinted>
  <dcterms:created xsi:type="dcterms:W3CDTF">2026-03-21T01:15:47Z</dcterms:created>
  <dcterms:modified xsi:type="dcterms:W3CDTF">2026-06-15T20:33:36Z</dcterms:modified>
</cp:coreProperties>
</file>